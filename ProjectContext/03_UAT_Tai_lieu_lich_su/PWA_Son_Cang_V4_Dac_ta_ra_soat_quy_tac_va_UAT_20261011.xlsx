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TONG_QUAN" sheetId="1" state="visible" r:id="rId1"/>
    <sheet xmlns:r="http://schemas.openxmlformats.org/officeDocument/2006/relationships" name="01_CAU_HOI" sheetId="2" state="visible" r:id="rId2"/>
    <sheet xmlns:r="http://schemas.openxmlformats.org/officeDocument/2006/relationships" name="02_DA_CHOT" sheetId="3" state="visible" r:id="rId3"/>
    <sheet xmlns:r="http://schemas.openxmlformats.org/officeDocument/2006/relationships" name="03_BANG_GIA" sheetId="4" state="visible" r:id="rId4"/>
    <sheet xmlns:r="http://schemas.openxmlformats.org/officeDocument/2006/relationships" name="04_PHAN_QUYEN" sheetId="5" state="visible" r:id="rId5"/>
    <sheet xmlns:r="http://schemas.openxmlformats.org/officeDocument/2006/relationships" name="05_KICH_BAN" sheetId="6" state="visible" r:id="rId6"/>
    <sheet xmlns:r="http://schemas.openxmlformats.org/officeDocument/2006/relationships" name="06_MAPPING_V1" sheetId="7" state="visible" r:id="rId7"/>
    <sheet xmlns:r="http://schemas.openxmlformats.org/officeDocument/2006/relationships" name="07_TAI_KHOAN" sheetId="8" state="visible" r:id="rId8"/>
    <sheet xmlns:r="http://schemas.openxmlformats.org/officeDocument/2006/relationships" name="08_DOI_SOAT" sheetId="9" state="visible" r:id="rId9"/>
    <sheet xmlns:r="http://schemas.openxmlformats.org/officeDocument/2006/relationships" name="09_TINH_DIEN" sheetId="10" state="visible" r:id="rId10"/>
    <sheet xmlns:r="http://schemas.openxmlformats.org/officeDocument/2006/relationships" name="10_DU_KIEN_SUA_SO_CONT" sheetId="11" state="visible" r:id="rId11"/>
    <sheet xmlns:r="http://schemas.openxmlformats.org/officeDocument/2006/relationships" name="11_RA_SOAT_V1" sheetId="12" state="visible" r:id="rId12"/>
    <sheet xmlns:r="http://schemas.openxmlformats.org/officeDocument/2006/relationships" name="12_TRA_LOI_V1_GOC" sheetId="13" state="visible" r:id="rId13"/>
    <sheet xmlns:r="http://schemas.openxmlformats.org/officeDocument/2006/relationships" name="13_V4_QUY_TAC" sheetId="14" state="visible" r:id="rId14"/>
    <sheet xmlns:r="http://schemas.openxmlformats.org/officeDocument/2006/relationships" name="14_V4_KICH_BAN" sheetId="15" state="visible" r:id="rId15"/>
    <sheet xmlns:r="http://schemas.openxmlformats.org/officeDocument/2006/relationships" name="15_V4_DIEM_CAN_KIEM" sheetId="16" state="visible" r:id="rId16"/>
    <sheet xmlns:r="http://schemas.openxmlformats.org/officeDocument/2006/relationships" name="16_V4_CHANGELOG" sheetId="17" state="visible" r:id="rId17"/>
  </sheets>
  <definedNames>
    <definedName name="_xlnm._FilterDatabase" localSheetId="1" hidden="1">'01_CAU_HOI'!$A$4:$O$121</definedName>
    <definedName name="_xlnm._FilterDatabase" localSheetId="2" hidden="1">'02_DA_CHOT'!$A$4:$G$55</definedName>
    <definedName name="_xlnm._FilterDatabase" localSheetId="3" hidden="1">'03_BANG_GIA'!$A$4:$O$15</definedName>
    <definedName name="_xlnm._FilterDatabase" localSheetId="4" hidden="1">'04_PHAN_QUYEN'!$A$4:$M$43</definedName>
    <definedName name="_xlnm._FilterDatabase" localSheetId="5" hidden="1">'05_KICH_BAN'!$A$4:$I$48</definedName>
    <definedName name="_xlnm._FilterDatabase" localSheetId="6" hidden="1">'06_MAPPING_V1'!$A$4:$H$61</definedName>
    <definedName name="_xlnm._FilterDatabase" localSheetId="7" hidden="1">'07_TAI_KHOAN'!$A$4:$I$10</definedName>
    <definedName name="_xlnm._FilterDatabase" localSheetId="8" hidden="1">'08_DOI_SOAT'!$A$4:$I$11</definedName>
    <definedName name="_xlnm._FilterDatabase" localSheetId="11" hidden="1">'11_RA_SOAT_V1'!$A$4:$J$60</definedName>
    <definedName name="_xlnm._FilterDatabase" localSheetId="12" hidden="1">'12_TRA_LOI_V1_GOC'!$A$4:$M$102</definedName>
    <definedName name="_xlnm._FilterDatabase" localSheetId="13" hidden="1">'13_V4_QUY_TAC'!$A$4:$G$55</definedName>
    <definedName name="_xlnm._FilterDatabase" localSheetId="14" hidden="1">'14_V4_KICH_BAN'!$A$4:$H$48</definedName>
    <definedName name="_xlnm._FilterDatabase" localSheetId="15" hidden="1">'15_V4_DIEM_CAN_KIEM'!$A$4:$H$16</definedName>
    <definedName name="_xlnm._FilterDatabase" localSheetId="16" hidden="1">'16_V4_CHANGELOG'!$A$4:$E$11</definedName>
  </definedNames>
  <calcPr calcId="124519" calcMode="auto" fullCalcOnLoad="1"/>
</workbook>
</file>

<file path=xl/styles.xml><?xml version="1.0" encoding="utf-8"?>
<styleSheet xmlns="http://schemas.openxmlformats.org/spreadsheetml/2006/main">
  <numFmts count="6">
    <numFmt numFmtId="164" formatCode="#,##0&quot; ₫&quot;;[Red](#,##0&quot; ₫&quot;);-"/>
    <numFmt numFmtId="165" formatCode="dd/mm/yyyy"/>
    <numFmt numFmtId="166" formatCode="#,##0&quot; ₫&quot;"/>
    <numFmt numFmtId="167" formatCode="0&quot; phút&quot;"/>
    <numFmt numFmtId="168" formatCode="dd/mm/yyyy hh:mm"/>
    <numFmt numFmtId="169" formatCode="0.00&quot; giờ&quot;"/>
  </numFmts>
  <fonts count="48">
    <font>
      <name val="Calibri"/>
      <color theme="1"/>
      <sz val="11"/>
      <scheme val="minor"/>
    </font>
    <font>
      <name val="Aptos"/>
      <b val="1"/>
      <color rgb="FFFFFFFF"/>
      <sz val="17"/>
    </font>
    <font/>
    <font>
      <name val="Aptos"/>
      <i val="1"/>
      <color rgb="FF677586"/>
      <sz val="10"/>
    </font>
    <font>
      <name val="Aptos"/>
      <b val="1"/>
      <color rgb="FFFFFFFF"/>
      <sz val="10"/>
    </font>
    <font>
      <name val="Aptos"/>
      <b val="1"/>
      <color rgb="FF223873"/>
      <sz val="12"/>
    </font>
    <font>
      <name val="Aptos"/>
      <b val="1"/>
      <color rgb="FF677586"/>
      <sz val="10"/>
    </font>
    <font>
      <name val="Aptos"/>
      <color rgb="FF677586"/>
      <sz val="10"/>
    </font>
    <font>
      <name val="Aptos"/>
      <color rgb="FF203346"/>
      <sz val="10"/>
    </font>
    <font>
      <name val="Aptos"/>
      <b val="1"/>
      <color rgb="FF19734A"/>
      <sz val="10"/>
    </font>
    <font>
      <name val="Aptos"/>
      <b val="1"/>
      <color rgb="FF223873"/>
      <sz val="19"/>
    </font>
    <font>
      <name val="Aptos"/>
      <color rgb="FF19734A"/>
      <sz val="10"/>
    </font>
    <font>
      <name val="Aptos"/>
      <b val="1"/>
      <color rgb="FF64748B"/>
      <sz val="10"/>
    </font>
    <font>
      <name val="Aptos"/>
      <color rgb="FF64748B"/>
      <sz val="10"/>
    </font>
    <font>
      <name val="Aptos"/>
      <b val="1"/>
      <color rgb="FFAB3C11"/>
    </font>
    <font>
      <name val="Aptos"/>
      <b val="1"/>
      <color rgb="FF164DAD"/>
      <sz val="10"/>
    </font>
    <font>
      <name val="Aptos"/>
      <color rgb="FF174AA2"/>
      <sz val="10"/>
    </font>
    <font>
      <name val="Aptos"/>
      <color rgb="FF164DAD"/>
      <sz val="10"/>
    </font>
    <font>
      <name val="Aptos"/>
      <b val="1"/>
      <color rgb="FF223873"/>
      <sz val="10"/>
    </font>
    <font>
      <name val="Aptos"/>
      <color rgb="FF223873"/>
      <sz val="10"/>
    </font>
    <font>
      <name val="Aptos"/>
      <b val="1"/>
      <color rgb="FF9D591D"/>
      <sz val="10"/>
    </font>
    <font>
      <name val="Aptos"/>
      <color rgb="FF9D591D"/>
      <sz val="10"/>
    </font>
    <font>
      <name val="Aptos"/>
      <b val="1"/>
      <color rgb="FF94720F"/>
    </font>
    <font>
      <name val="Aptos"/>
      <b val="1"/>
      <color rgb="FFA34E06"/>
      <sz val="10"/>
    </font>
    <font>
      <name val="Aptos"/>
      <i val="1"/>
      <color rgb="FFB45309"/>
      <sz val="10"/>
    </font>
    <font>
      <name val="Aptos"/>
      <b val="1"/>
      <color rgb="FF1C59AC"/>
      <sz val="11"/>
      <u val="single"/>
    </font>
    <font>
      <name val="Aptos"/>
      <b val="1"/>
      <color rgb="FF64748B"/>
    </font>
    <font>
      <name val="Arial"/>
      <color rgb="FF174AA2"/>
      <sz val="10"/>
    </font>
    <font>
      <name val="Arial"/>
      <color rgb="FF203346"/>
      <sz val="10"/>
    </font>
    <font>
      <name val="Aptos"/>
      <b val="1"/>
      <color rgb="FF203346"/>
      <sz val="10"/>
    </font>
    <font>
      <name val="Aptos"/>
      <b val="1"/>
      <color rgb="FF174AA2"/>
      <sz val="10"/>
    </font>
    <font>
      <name val="Play"/>
      <b val="1"/>
      <color rgb="FFFFFFFF"/>
      <sz val="16"/>
    </font>
    <font>
      <name val="Aptos"/>
      <i val="1"/>
      <color rgb="FF64748B"/>
      <sz val="10"/>
    </font>
    <font>
      <name val="Aptos"/>
      <b val="1"/>
      <color rgb="FFFFFFFF"/>
      <sz val="11"/>
    </font>
    <font>
      <name val="Aptos"/>
      <b val="1"/>
      <color rgb="FF0A9444"/>
      <sz val="10"/>
    </font>
    <font>
      <name val="Aptos"/>
      <b val="1"/>
      <color rgb="FFFFFFFF"/>
      <sz val="16"/>
    </font>
    <font>
      <name val="Aptos"/>
      <b val="1"/>
      <color rgb="FFA65D05"/>
      <sz val="10"/>
    </font>
    <font>
      <name val="Aptos"/>
      <color rgb="FF233245"/>
      <sz val="10"/>
    </font>
    <font>
      <name val="Aptos"/>
      <b val="1"/>
      <color rgb="FFB84631"/>
      <sz val="10"/>
    </font>
    <font>
      <name val="Aptos"/>
      <b val="1"/>
      <color rgb="FF223873"/>
    </font>
    <font>
      <name val="Aptos"/>
      <i val="1"/>
      <color rgb="FF203346"/>
      <sz val="10"/>
    </font>
    <font>
      <name val="Aptos"/>
      <b val="1"/>
      <color rgb="FF9A4A0F"/>
    </font>
    <font>
      <name val="Aptos Display"/>
      <b val="1"/>
      <color rgb="00FFFFFF"/>
      <sz val="17"/>
    </font>
    <font>
      <name val="Aptos"/>
      <i val="1"/>
      <color rgb="00637689"/>
      <sz val="10"/>
    </font>
    <font>
      <name val="Aptos"/>
      <b val="1"/>
      <color rgb="00FFFFFF"/>
      <sz val="10"/>
    </font>
    <font>
      <name val="Aptos"/>
      <b val="1"/>
      <color rgb="00223873"/>
      <sz val="10"/>
    </font>
    <font>
      <name val="Aptos"/>
      <color rgb="0027425A"/>
      <sz val="10"/>
    </font>
    <font>
      <name val="Aptos"/>
      <color rgb="001D4ED8"/>
      <sz val="10"/>
    </font>
  </fonts>
  <fills count="20">
    <fill>
      <patternFill/>
    </fill>
    <fill>
      <patternFill patternType="lightGray"/>
    </fill>
    <fill>
      <patternFill patternType="solid">
        <fgColor rgb="FF223873"/>
        <bgColor rgb="FF223873"/>
      </patternFill>
    </fill>
    <fill>
      <patternFill patternType="solid">
        <fgColor rgb="FFF5F8FA"/>
        <bgColor rgb="FFF5F8FA"/>
      </patternFill>
    </fill>
    <fill>
      <patternFill patternType="solid">
        <fgColor rgb="FF0A9444"/>
        <bgColor rgb="FF0A9444"/>
      </patternFill>
    </fill>
    <fill>
      <patternFill patternType="solid">
        <fgColor rgb="FFFFFFFF"/>
        <bgColor rgb="FFFFFFFF"/>
      </patternFill>
    </fill>
    <fill>
      <patternFill patternType="solid">
        <fgColor rgb="FFE9F5ED"/>
        <bgColor rgb="FFE9F5ED"/>
      </patternFill>
    </fill>
    <fill>
      <patternFill patternType="solid">
        <fgColor rgb="FFFFF5D9"/>
        <bgColor rgb="FFFFF5D9"/>
      </patternFill>
    </fill>
    <fill>
      <patternFill patternType="solid">
        <fgColor rgb="FFEAF7EF"/>
        <bgColor rgb="FFEAF7EF"/>
      </patternFill>
    </fill>
    <fill>
      <patternFill patternType="solid">
        <fgColor rgb="FFFBE9E7"/>
        <bgColor rgb="FFFBE9E7"/>
      </patternFill>
    </fill>
    <fill>
      <patternFill patternType="solid">
        <fgColor rgb="FFFFF0D1"/>
        <bgColor rgb="FFFFF0D1"/>
      </patternFill>
    </fill>
    <fill>
      <patternFill patternType="solid">
        <fgColor rgb="FFFFF0D9"/>
        <bgColor rgb="FFFFF0D9"/>
      </patternFill>
    </fill>
    <fill>
      <patternFill patternType="solid">
        <fgColor rgb="FFEFF8F2"/>
        <bgColor rgb="FFEFF8F2"/>
      </patternFill>
    </fill>
    <fill>
      <patternFill patternType="solid">
        <fgColor rgb="FFF5F7FA"/>
        <bgColor rgb="FFF5F7FA"/>
      </patternFill>
    </fill>
    <fill>
      <patternFill patternType="solid">
        <fgColor rgb="FFE7EEF9"/>
        <bgColor rgb="FFE7EEF9"/>
      </patternFill>
    </fill>
    <fill>
      <patternFill patternType="solid">
        <fgColor rgb="FFF4F7FA"/>
        <bgColor rgb="FFF4F7FA"/>
      </patternFill>
    </fill>
    <fill>
      <patternFill patternType="solid">
        <fgColor rgb="00223873"/>
      </patternFill>
    </fill>
    <fill>
      <patternFill patternType="solid">
        <fgColor rgb="000A9444"/>
      </patternFill>
    </fill>
    <fill>
      <patternFill patternType="solid">
        <fgColor rgb="00F4F7FA"/>
      </patternFill>
    </fill>
    <fill>
      <patternFill patternType="solid">
        <fgColor rgb="00FFF6CF"/>
      </patternFill>
    </fill>
  </fills>
  <borders count="5">
    <border/>
    <border>
      <left/>
      <top/>
      <bottom/>
    </border>
    <border>
      <top/>
      <bottom/>
    </border>
    <border>
      <right/>
      <top/>
      <bottom/>
    </border>
    <border>
      <left/>
      <right/>
      <top/>
      <bottom/>
    </border>
  </borders>
  <cellStyleXfs count="1">
    <xf numFmtId="0" fontId="0" fillId="0" borderId="0"/>
  </cellStyleXfs>
  <cellXfs count="99">
    <xf numFmtId="0" fontId="0" fillId="0" borderId="0" applyAlignment="1" pivotButton="0" quotePrefix="0" xfId="0">
      <alignment vertical="bottom"/>
    </xf>
    <xf numFmtId="0" fontId="1" fillId="2" borderId="1" applyAlignment="1" pivotButton="0" quotePrefix="0" xfId="0">
      <alignment horizontal="left" vertical="center"/>
    </xf>
    <xf numFmtId="0" fontId="2" fillId="0" borderId="2" pivotButton="0" quotePrefix="0" xfId="0"/>
    <xf numFmtId="0" fontId="2" fillId="0" borderId="3" pivotButton="0" quotePrefix="0" xfId="0"/>
    <xf numFmtId="0" fontId="3" fillId="3" borderId="1" applyAlignment="1" pivotButton="0" quotePrefix="0" xfId="0">
      <alignment vertical="center" wrapText="1"/>
    </xf>
    <xf numFmtId="0" fontId="4" fillId="4" borderId="4" applyAlignment="1" pivotButton="0" quotePrefix="0" xfId="0">
      <alignment horizontal="left" vertical="center" wrapText="1"/>
    </xf>
    <xf numFmtId="0" fontId="5" fillId="0" borderId="0" pivotButton="0" quotePrefix="0" xfId="0"/>
    <xf numFmtId="0" fontId="6" fillId="0" borderId="0" applyAlignment="1" pivotButton="0" quotePrefix="0" xfId="0">
      <alignment horizontal="center"/>
    </xf>
    <xf numFmtId="0" fontId="6" fillId="5" borderId="4" applyAlignment="1" pivotButton="0" quotePrefix="0" xfId="0">
      <alignment vertical="center" wrapText="1"/>
    </xf>
    <xf numFmtId="0" fontId="7" fillId="5" borderId="4" applyAlignment="1" pivotButton="0" quotePrefix="0" xfId="0">
      <alignment vertical="center" wrapText="1"/>
    </xf>
    <xf numFmtId="0" fontId="8" fillId="5" borderId="4" applyAlignment="1" pivotButton="0" quotePrefix="0" xfId="0">
      <alignment vertical="center" wrapText="1"/>
    </xf>
    <xf numFmtId="0" fontId="4" fillId="4" borderId="4" applyAlignment="1" pivotButton="0" quotePrefix="0" xfId="0">
      <alignment vertical="center" wrapText="1"/>
    </xf>
    <xf numFmtId="0" fontId="6" fillId="3" borderId="4" applyAlignment="1" pivotButton="0" quotePrefix="0" xfId="0">
      <alignment vertical="center" wrapText="1"/>
    </xf>
    <xf numFmtId="0" fontId="7" fillId="3" borderId="4" applyAlignment="1" pivotButton="0" quotePrefix="0" xfId="0">
      <alignment vertical="center" wrapText="1"/>
    </xf>
    <xf numFmtId="0" fontId="8" fillId="3" borderId="4" applyAlignment="1" pivotButton="0" quotePrefix="0" xfId="0">
      <alignment vertical="center" wrapText="1"/>
    </xf>
    <xf numFmtId="0" fontId="9" fillId="6" borderId="4" applyAlignment="1" pivotButton="0" quotePrefix="0" xfId="0">
      <alignment vertical="center" wrapText="1"/>
    </xf>
    <xf numFmtId="0" fontId="10" fillId="6" borderId="4" applyAlignment="1" pivotButton="0" quotePrefix="0" xfId="0">
      <alignment horizontal="center" vertical="center"/>
    </xf>
    <xf numFmtId="0" fontId="11" fillId="6" borderId="4" applyAlignment="1" pivotButton="0" quotePrefix="0" xfId="0">
      <alignment vertical="center" wrapText="1"/>
    </xf>
    <xf numFmtId="0" fontId="12" fillId="5" borderId="4" applyAlignment="1" pivotButton="0" quotePrefix="0" xfId="0">
      <alignment vertical="center" wrapText="1"/>
    </xf>
    <xf numFmtId="0" fontId="13" fillId="5" borderId="4" applyAlignment="1" pivotButton="0" quotePrefix="0" xfId="0">
      <alignment vertical="center" wrapText="1"/>
    </xf>
    <xf numFmtId="0" fontId="14" fillId="5" borderId="4" applyAlignment="1" pivotButton="0" quotePrefix="0" xfId="0">
      <alignment horizontal="center" vertical="center"/>
    </xf>
    <xf numFmtId="164" fontId="11" fillId="6" borderId="4" applyAlignment="1" pivotButton="0" quotePrefix="0" xfId="0">
      <alignment vertical="center" wrapText="1"/>
    </xf>
    <xf numFmtId="0" fontId="15" fillId="7" borderId="4" applyAlignment="1" pivotButton="0" quotePrefix="0" xfId="0">
      <alignment vertical="center" wrapText="1"/>
    </xf>
    <xf numFmtId="0" fontId="7" fillId="6" borderId="4" applyAlignment="1" pivotButton="0" quotePrefix="0" xfId="0">
      <alignment vertical="center" wrapText="1"/>
    </xf>
    <xf numFmtId="0" fontId="16" fillId="7" borderId="4" applyAlignment="1" pivotButton="0" quotePrefix="0" xfId="0">
      <alignment vertical="center" wrapText="1"/>
    </xf>
    <xf numFmtId="0" fontId="17" fillId="7" borderId="4" applyAlignment="1" pivotButton="0" quotePrefix="0" xfId="0">
      <alignment vertical="center" wrapText="1"/>
    </xf>
    <xf numFmtId="165" fontId="16" fillId="7" borderId="4" applyAlignment="1" pivotButton="0" quotePrefix="0" xfId="0">
      <alignment vertical="center" wrapText="1"/>
    </xf>
    <xf numFmtId="0" fontId="18" fillId="8" borderId="4" applyAlignment="1" pivotButton="0" quotePrefix="0" xfId="0">
      <alignment vertical="center" wrapText="1"/>
    </xf>
    <xf numFmtId="0" fontId="19" fillId="8" borderId="4" applyAlignment="1" pivotButton="0" quotePrefix="0" xfId="0">
      <alignment vertical="center" wrapText="1"/>
    </xf>
    <xf numFmtId="0" fontId="12" fillId="3" borderId="4" applyAlignment="1" pivotButton="0" quotePrefix="0" xfId="0">
      <alignment vertical="center" wrapText="1"/>
    </xf>
    <xf numFmtId="0" fontId="13" fillId="3" borderId="4" applyAlignment="1" pivotButton="0" quotePrefix="0" xfId="0">
      <alignment vertical="center" wrapText="1"/>
    </xf>
    <xf numFmtId="0" fontId="14" fillId="3" borderId="4" applyAlignment="1" pivotButton="0" quotePrefix="0" xfId="0">
      <alignment horizontal="center" vertical="center"/>
    </xf>
    <xf numFmtId="9" fontId="10" fillId="6" borderId="4" applyAlignment="1" pivotButton="0" quotePrefix="0" xfId="0">
      <alignment horizontal="center" vertical="center"/>
    </xf>
    <xf numFmtId="0" fontId="8" fillId="3" borderId="1" applyAlignment="1" pivotButton="0" quotePrefix="0" xfId="0">
      <alignment vertical="center" wrapText="1"/>
    </xf>
    <xf numFmtId="0" fontId="20" fillId="9" borderId="4" applyAlignment="1" pivotButton="0" quotePrefix="0" xfId="0">
      <alignment vertical="center" wrapText="1"/>
    </xf>
    <xf numFmtId="0" fontId="21" fillId="9" borderId="4" applyAlignment="1" pivotButton="0" quotePrefix="0" xfId="0">
      <alignment vertical="center" wrapText="1"/>
    </xf>
    <xf numFmtId="0" fontId="8" fillId="0" borderId="0" applyAlignment="1" pivotButton="0" quotePrefix="0" xfId="0">
      <alignment vertical="center" wrapText="1"/>
    </xf>
    <xf numFmtId="0" fontId="9" fillId="3" borderId="4" applyAlignment="1" pivotButton="0" quotePrefix="0" xfId="0">
      <alignment vertical="center" wrapText="1"/>
    </xf>
    <xf numFmtId="0" fontId="11" fillId="3" borderId="4" applyAlignment="1" pivotButton="0" quotePrefix="0" xfId="0">
      <alignment vertical="center" wrapText="1"/>
    </xf>
    <xf numFmtId="0" fontId="20" fillId="10" borderId="4" applyAlignment="1" pivotButton="0" quotePrefix="0" xfId="0">
      <alignment vertical="center" wrapText="1"/>
    </xf>
    <xf numFmtId="0" fontId="21" fillId="10" borderId="4" applyAlignment="1" pivotButton="0" quotePrefix="0" xfId="0">
      <alignment vertical="center" wrapText="1"/>
    </xf>
    <xf numFmtId="164" fontId="11" fillId="3" borderId="4" applyAlignment="1" pivotButton="0" quotePrefix="0" xfId="0">
      <alignment vertical="center" wrapText="1"/>
    </xf>
    <xf numFmtId="0" fontId="4" fillId="2" borderId="4" applyAlignment="1" pivotButton="0" quotePrefix="0" xfId="0">
      <alignment vertical="center" wrapText="1"/>
    </xf>
    <xf numFmtId="0" fontId="22" fillId="3" borderId="4" applyAlignment="1" pivotButton="0" quotePrefix="0" xfId="0">
      <alignment horizontal="center" vertical="center"/>
    </xf>
    <xf numFmtId="0" fontId="22" fillId="5" borderId="4" applyAlignment="1" pivotButton="0" quotePrefix="0" xfId="0">
      <alignment horizontal="center" vertical="center"/>
    </xf>
    <xf numFmtId="0" fontId="23" fillId="11" borderId="1" pivotButton="0" quotePrefix="0" xfId="0"/>
    <xf numFmtId="0" fontId="7" fillId="0" borderId="0" pivotButton="0" quotePrefix="0" xfId="0"/>
    <xf numFmtId="0" fontId="24" fillId="0" borderId="0" applyAlignment="1" pivotButton="0" quotePrefix="0" xfId="0">
      <alignment wrapText="1"/>
    </xf>
    <xf numFmtId="0" fontId="25" fillId="0" borderId="0" pivotButton="0" quotePrefix="0" xfId="0"/>
    <xf numFmtId="0" fontId="26" fillId="5" borderId="4" applyAlignment="1" pivotButton="0" quotePrefix="0" xfId="0">
      <alignment horizontal="center" vertical="center"/>
    </xf>
    <xf numFmtId="0" fontId="26" fillId="3" borderId="4" applyAlignment="1" pivotButton="0" quotePrefix="0" xfId="0">
      <alignment horizontal="center" vertical="center"/>
    </xf>
    <xf numFmtId="0" fontId="27" fillId="7" borderId="4" applyAlignment="1" pivotButton="0" quotePrefix="0" xfId="0">
      <alignment vertical="center" wrapText="1"/>
    </xf>
    <xf numFmtId="0" fontId="16" fillId="12" borderId="4" applyAlignment="1" pivotButton="0" quotePrefix="0" xfId="0">
      <alignment vertical="center" wrapText="1"/>
    </xf>
    <xf numFmtId="0" fontId="28" fillId="5" borderId="4" applyAlignment="1" pivotButton="0" quotePrefix="0" xfId="0">
      <alignment vertical="center" wrapText="1"/>
    </xf>
    <xf numFmtId="0" fontId="29" fillId="3" borderId="4" applyAlignment="1" pivotButton="0" quotePrefix="0" xfId="0">
      <alignment vertical="center" wrapText="1"/>
    </xf>
    <xf numFmtId="166" fontId="30" fillId="7" borderId="4" applyAlignment="1" pivotButton="0" quotePrefix="0" xfId="0">
      <alignment vertical="center" wrapText="1"/>
    </xf>
    <xf numFmtId="167" fontId="30" fillId="7" borderId="4" applyAlignment="1" pivotButton="0" quotePrefix="0" xfId="0">
      <alignment vertical="center" wrapText="1"/>
    </xf>
    <xf numFmtId="168" fontId="16" fillId="7" borderId="4" applyAlignment="1" pivotButton="0" quotePrefix="0" xfId="0">
      <alignment vertical="center" wrapText="1"/>
    </xf>
    <xf numFmtId="0" fontId="31" fillId="2" borderId="1" applyAlignment="1" pivotButton="0" quotePrefix="0" xfId="0">
      <alignment vertical="center"/>
    </xf>
    <xf numFmtId="0" fontId="32" fillId="0" borderId="0" applyAlignment="1" pivotButton="0" quotePrefix="0" xfId="0">
      <alignment vertical="center" wrapText="1"/>
    </xf>
    <xf numFmtId="0" fontId="33" fillId="4" borderId="1" applyAlignment="1" pivotButton="0" quotePrefix="0" xfId="0">
      <alignment vertical="center"/>
    </xf>
    <xf numFmtId="0" fontId="8" fillId="0" borderId="0" applyAlignment="1" pivotButton="0" quotePrefix="0" xfId="0">
      <alignment vertical="top" wrapText="1"/>
    </xf>
    <xf numFmtId="0" fontId="34" fillId="12" borderId="4" applyAlignment="1" pivotButton="0" quotePrefix="0" xfId="0">
      <alignment vertical="top" wrapText="1"/>
    </xf>
    <xf numFmtId="0" fontId="35" fillId="2" borderId="1" applyAlignment="1" pivotButton="0" quotePrefix="0" xfId="0">
      <alignment vertical="center" wrapText="1"/>
    </xf>
    <xf numFmtId="0" fontId="8" fillId="13" borderId="4" applyAlignment="1" pivotButton="0" quotePrefix="0" xfId="0">
      <alignment vertical="top" wrapText="1"/>
    </xf>
    <xf numFmtId="0" fontId="36" fillId="7" borderId="4" applyAlignment="1" pivotButton="0" quotePrefix="0" xfId="0">
      <alignment vertical="top" wrapText="1"/>
    </xf>
    <xf numFmtId="0" fontId="37" fillId="14" borderId="1" applyAlignment="1" pivotButton="0" quotePrefix="0" xfId="0">
      <alignment vertical="center" wrapText="1"/>
    </xf>
    <xf numFmtId="169" fontId="8" fillId="5" borderId="4" applyAlignment="1" pivotButton="0" quotePrefix="0" xfId="0">
      <alignment vertical="center" wrapText="1"/>
    </xf>
    <xf numFmtId="0" fontId="37" fillId="0" borderId="0" applyAlignment="1" pivotButton="0" quotePrefix="0" xfId="0">
      <alignment vertical="center" wrapText="1"/>
    </xf>
    <xf numFmtId="0" fontId="38" fillId="9" borderId="4" applyAlignment="1" pivotButton="0" quotePrefix="0" xfId="0">
      <alignment vertical="center" wrapText="1"/>
    </xf>
    <xf numFmtId="164" fontId="8" fillId="5" borderId="4" applyAlignment="1" pivotButton="0" quotePrefix="0" xfId="0">
      <alignment vertical="center" wrapText="1"/>
    </xf>
    <xf numFmtId="0" fontId="37" fillId="15" borderId="4" applyAlignment="1" pivotButton="0" quotePrefix="0" xfId="0">
      <alignment vertical="center" wrapText="1"/>
    </xf>
    <xf numFmtId="169" fontId="8" fillId="3" borderId="4" applyAlignment="1" pivotButton="0" quotePrefix="0" xfId="0">
      <alignment vertical="center" wrapText="1"/>
    </xf>
    <xf numFmtId="164" fontId="8" fillId="3" borderId="4" applyAlignment="1" pivotButton="0" quotePrefix="0" xfId="0">
      <alignment vertical="center" wrapText="1"/>
    </xf>
    <xf numFmtId="0" fontId="18" fillId="7" borderId="1" applyAlignment="1" pivotButton="0" quotePrefix="0" xfId="0">
      <alignment vertical="center" wrapText="1"/>
    </xf>
    <xf numFmtId="0" fontId="39" fillId="0" borderId="0" pivotButton="0" quotePrefix="0" xfId="0"/>
    <xf numFmtId="0" fontId="40" fillId="0" borderId="0" applyAlignment="1" pivotButton="0" quotePrefix="0" xfId="0">
      <alignment vertical="center" wrapText="1"/>
    </xf>
    <xf numFmtId="0" fontId="8" fillId="0" borderId="0" pivotButton="0" quotePrefix="0" xfId="0"/>
    <xf numFmtId="0" fontId="41" fillId="11" borderId="1" pivotButton="0" quotePrefix="0" xfId="0"/>
    <xf numFmtId="0" fontId="17" fillId="0" borderId="0" applyAlignment="1" pivotButton="0" quotePrefix="0" xfId="0">
      <alignment vertical="center" wrapText="1"/>
    </xf>
    <xf numFmtId="0" fontId="17" fillId="15" borderId="4" applyAlignment="1" pivotButton="0" quotePrefix="0" xfId="0">
      <alignment vertical="center" wrapText="1"/>
    </xf>
    <xf numFmtId="0" fontId="0" fillId="0" borderId="0" pivotButton="0" quotePrefix="0" xfId="0"/>
    <xf numFmtId="0" fontId="1" fillId="2" borderId="4" applyAlignment="1" pivotButton="0" quotePrefix="0" xfId="0">
      <alignment horizontal="left" vertical="center"/>
    </xf>
    <xf numFmtId="0" fontId="3" fillId="3" borderId="4" applyAlignment="1" pivotButton="0" quotePrefix="0" xfId="0">
      <alignment vertical="center" wrapText="1"/>
    </xf>
    <xf numFmtId="0" fontId="23" fillId="11" borderId="4" pivotButton="0" quotePrefix="0" xfId="0"/>
    <xf numFmtId="0" fontId="41" fillId="11" borderId="4" pivotButton="0" quotePrefix="0" xfId="0"/>
    <xf numFmtId="0" fontId="31" fillId="2" borderId="4" applyAlignment="1" pivotButton="0" quotePrefix="0" xfId="0">
      <alignment vertical="center"/>
    </xf>
    <xf numFmtId="0" fontId="33" fillId="4" borderId="4" applyAlignment="1" pivotButton="0" quotePrefix="0" xfId="0">
      <alignment vertical="center"/>
    </xf>
    <xf numFmtId="0" fontId="18" fillId="7" borderId="4" applyAlignment="1" pivotButton="0" quotePrefix="0" xfId="0">
      <alignment vertical="center" wrapText="1"/>
    </xf>
    <xf numFmtId="0" fontId="35" fillId="2" borderId="4" applyAlignment="1" pivotButton="0" quotePrefix="0" xfId="0">
      <alignment vertical="center" wrapText="1"/>
    </xf>
    <xf numFmtId="0" fontId="37" fillId="14" borderId="4" applyAlignment="1" pivotButton="0" quotePrefix="0" xfId="0">
      <alignment vertical="center" wrapText="1"/>
    </xf>
    <xf numFmtId="0" fontId="42" fillId="16" borderId="0" applyAlignment="1" pivotButton="0" quotePrefix="0" xfId="0">
      <alignment vertical="center"/>
    </xf>
    <xf numFmtId="0" fontId="43" fillId="0" borderId="0" pivotButton="0" quotePrefix="0" xfId="0"/>
    <xf numFmtId="0" fontId="44" fillId="17" borderId="0" applyAlignment="1" pivotButton="0" quotePrefix="0" xfId="0">
      <alignment vertical="center" wrapText="1"/>
    </xf>
    <xf numFmtId="0" fontId="45" fillId="0" borderId="0" applyAlignment="1" pivotButton="0" quotePrefix="0" xfId="0">
      <alignment vertical="top" wrapText="1"/>
    </xf>
    <xf numFmtId="0" fontId="46" fillId="0" borderId="0" applyAlignment="1" pivotButton="0" quotePrefix="0" xfId="0">
      <alignment vertical="top" wrapText="1"/>
    </xf>
    <xf numFmtId="0" fontId="45" fillId="18" borderId="0" applyAlignment="1" pivotButton="0" quotePrefix="0" xfId="0">
      <alignment vertical="top" wrapText="1"/>
    </xf>
    <xf numFmtId="0" fontId="46" fillId="18" borderId="0" applyAlignment="1" pivotButton="0" quotePrefix="0" xfId="0">
      <alignment vertical="top" wrapText="1"/>
    </xf>
    <xf numFmtId="0" fontId="47" fillId="19" borderId="0" applyAlignment="1" pivotButton="0" quotePrefix="0" xfId="0">
      <alignment vertical="top" wrapText="1"/>
    </xf>
  </cellXfs>
  <cellStyles count="1">
    <cellStyle name="Normal" xfId="0" builtinId="0"/>
  </cellStyles>
  <dxfs count="2">
    <dxf>
      <font/>
      <fill>
        <patternFill patternType="solid">
          <fgColor rgb="FFE9F5ED"/>
          <bgColor rgb="FFE9F5ED"/>
        </patternFill>
      </fill>
      <border/>
    </dxf>
    <dxf>
      <font/>
      <fill>
        <patternFill patternType="solid">
          <fgColor rgb="FFFFF0D9"/>
          <bgColor rgb="FFFFF0D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None</author>
  </authors>
  <commentList>
    <comment ref="F4" authorId="0" shapeId="0">
      <text>
        <t>Chọn A, B, C, Khác hoặc Không áp dụng. Nếu chọn Khác hãy ghi đầy đủ tại G.</t>
      </text>
    </comment>
    <comment ref="H4" authorId="0" shapeId="0">
      <text>
        <t>Chỉ chọn Đã chốt sau khi người có trách nhiệm xác nhận quyết định.</t>
      </text>
    </comment>
  </commentList>
</comments>
</file>

<file path=xl/comments/comment2.xml><?xml version="1.0" encoding="utf-8"?>
<comments xmlns="http://schemas.openxmlformats.org/spreadsheetml/2006/main">
  <authors>
    <author>None</author>
  </authors>
  <commentList>
    <comment ref="E5" authorId="0" shapeId="0">
      <text>
        <t>Dữ liệu nguồn: Bảng PRICE_LIST người dùng cung cấp ngày 11/10/2026.</t>
      </text>
    </comment>
    <comment ref="E6" authorId="0" shapeId="0">
      <text>
        <t>Dữ liệu nguồn: Bảng PRICE_LIST người dùng cung cấp ngày 11/10/2026.</t>
      </text>
    </comment>
    <comment ref="E7" authorId="0" shapeId="0">
      <text>
        <t>Dữ liệu nguồn: Bảng PRICE_LIST người dùng cung cấp ngày 11/10/2026.</t>
      </text>
    </comment>
    <comment ref="E8" authorId="0" shapeId="0">
      <text>
        <t>Dữ liệu nguồn: Bảng PRICE_LIST người dùng cung cấp ngày 11/10/2026.</t>
      </text>
    </comment>
    <comment ref="E9" authorId="0" shapeId="0">
      <text>
        <t>Dữ liệu nguồn: Bảng PRICE_LIST người dùng cung cấp ngày 11/10/2026.</t>
      </text>
    </comment>
    <comment ref="E10" authorId="0" shapeId="0">
      <text>
        <t>Dữ liệu nguồn: Bảng PRICE_LIST người dùng cung cấp ngày 11/10/2026.</t>
      </text>
    </comment>
    <comment ref="E11" authorId="0" shapeId="0">
      <text>
        <t>Dữ liệu nguồn: Bảng PRICE_LIST người dùng cung cấp ngày 11/10/2026.</t>
      </text>
    </comment>
    <comment ref="E12" authorId="0" shapeId="0">
      <text>
        <t>Dữ liệu nguồn: Bảng PRICE_LIST người dùng cung cấp ngày 11/10/2026.</t>
      </text>
    </comment>
    <comment ref="E13" authorId="0" shapeId="0">
      <text>
        <t>Nguồn: Sơn Cảng chốt 100.000 đồng/giờ điện; thông báo phạt vé 250.000 đồng.</t>
      </text>
    </comment>
    <comment ref="E14" authorId="0" shapeId="0">
      <text>
        <t>Nguồn: Sơn Cảng chốt 100.000 đồng/giờ điện; thông báo phạt vé 250.000 đồng.</t>
      </text>
    </comment>
    <comment ref="E15" authorId="0" shapeId="0">
      <text>
        <t>Nguồn: Sơn Cảng chốt 100.000 đồng/giờ điện; thông báo phạt vé 250.000 đồng.</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about:blank" TargetMode="External" Id="rId1"/><Relationship Type="http://schemas.openxmlformats.org/officeDocument/2006/relationships/hyperlink" Target="about:blank" TargetMode="External" Id="rId2"/><Relationship Type="http://schemas.openxmlformats.org/officeDocument/2006/relationships/hyperlink" Target="about:blank" TargetMode="External" Id="rId3"/><Relationship Type="http://schemas.openxmlformats.org/officeDocument/2006/relationships/hyperlink" Target="about:blank" TargetMode="External" Id="rId4"/><Relationship Type="http://schemas.openxmlformats.org/officeDocument/2006/relationships/hyperlink" Target="about:blank" TargetMode="External" Id="rId5"/><Relationship Type="http://schemas.openxmlformats.org/officeDocument/2006/relationships/hyperlink" Target="about:blank" TargetMode="External" Id="rId6"/></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FF0A9444"/>
    <outlinePr summaryBelow="1" summaryRight="1"/>
    <pageSetUpPr fitToPage="1"/>
  </sheetPr>
  <dimension ref="A1:I38"/>
  <sheetViews>
    <sheetView showGridLines="0" workbookViewId="0">
      <pane ySplit="3" topLeftCell="A4" activePane="bottomLeft" state="frozen"/>
      <selection pane="bottomLeft" activeCell="B5" sqref="B5"/>
    </sheetView>
  </sheetViews>
  <sheetFormatPr baseColWidth="8" defaultColWidth="14.43" defaultRowHeight="15" customHeight="1"/>
  <cols>
    <col width="18" customWidth="1" style="81" min="1" max="1"/>
    <col width="19" customWidth="1" style="81" min="2" max="2"/>
    <col width="22" customWidth="1" style="81" min="3" max="3"/>
    <col width="19" customWidth="1" style="81" min="4" max="4"/>
    <col width="20" customWidth="1" style="81" min="5" max="5"/>
    <col width="19" customWidth="1" style="81" min="6" max="6"/>
    <col width="20" customWidth="1" style="81" min="7" max="7"/>
    <col width="18" customWidth="1" style="81" min="8" max="8"/>
    <col width="19" customWidth="1" style="81" min="9" max="9"/>
    <col width="8.710000000000001" customWidth="1" style="81" min="10" max="26"/>
  </cols>
  <sheetData>
    <row r="1" ht="36" customHeight="1" s="81">
      <c r="A1" s="82" t="inlineStr">
        <is>
          <t>BẢNG TỔNG HỢP YÊU CẦU PWA SƠN CẢNG — V3</t>
        </is>
      </c>
    </row>
    <row r="2" ht="33" customHeight="1" s="81">
      <c r="A2" s="83" t="inlineStr">
        <is>
          <t>11/10/2026 | Đã nhập nguyên văn phản hồi V1 đúng; bổ sung đăng ký cắm điện trước khi cont vào và chỉnh số cont.</t>
        </is>
      </c>
    </row>
    <row r="4">
      <c r="A4" s="6" t="inlineStr">
        <is>
          <t>TIẾN ĐỘ XÁC NHẬN</t>
        </is>
      </c>
    </row>
    <row r="5">
      <c r="A5" s="7" t="inlineStr">
        <is>
          <t>TỔNG CÂU HỎI</t>
        </is>
      </c>
      <c r="C5" s="7" t="inlineStr">
        <is>
          <t>ĐÃ CÓ LỰA CHỌN</t>
        </is>
      </c>
      <c r="E5" s="7" t="inlineStr">
        <is>
          <t>CẦN LÀM RÕ</t>
        </is>
      </c>
      <c r="G5" s="7" t="inlineStr">
        <is>
          <t>P0 CẦN XỬ LÝ</t>
        </is>
      </c>
      <c r="I5" s="7" t="inlineStr">
        <is>
          <t>ĐỦ RÕ ĐẶC TẢ</t>
        </is>
      </c>
    </row>
    <row r="6" ht="39.75" customHeight="1" s="81">
      <c r="A6" s="16">
        <f>COUNTA('01_CAU_HOI'!$A$5:$A$250)</f>
        <v/>
      </c>
      <c r="C6" s="16">
        <f>COUNTIF('01_CAU_HOI'!$F$5:$F$250,"&lt;&gt;")</f>
        <v/>
      </c>
      <c r="E6" s="16">
        <f>COUNTIF('01_CAU_HOI'!$N$5:$N$250,"Cần làm rõ")</f>
        <v/>
      </c>
      <c r="G6" s="16">
        <f>COUNTIFS('01_CAU_HOI'!$C$5:$C$250,"P0",'01_CAU_HOI'!$N$5:$N$250,"Cần làm rõ")+COUNTIFS('01_CAU_HOI'!$C$5:$C$250,"P0",'01_CAU_HOI'!$N$5:$N$250,"Chưa trả lời")</f>
        <v/>
      </c>
      <c r="I6" s="32">
        <f>IFERROR(COUNTIF('01_CAU_HOI'!$N$5:$N$250,"Đủ rõ để đặc tả")/A6,0)</f>
        <v/>
      </c>
    </row>
    <row r="8">
      <c r="A8" s="6" t="inlineStr">
        <is>
          <t>CÁCH ĐIỀN FILE</t>
        </is>
      </c>
    </row>
    <row r="9" ht="27.75" customHeight="1" s="81">
      <c r="A9" s="14" t="inlineStr">
        <is>
          <t>1. Mở 01_CAU_HOI: F/G/H giữ NGUYÊN phản hồi V1 của bạn; không cần nhập lại.</t>
        </is>
      </c>
    </row>
    <row r="10" ht="34.5" customHeight="1" s="81">
      <c r="A10" s="36" t="inlineStr">
        <is>
          <t>2. Lọc N = Cần làm rõ/Chưa trả lời; hoặc vào 11_RA_SOAT_V1 để bổ sung quyết định và giải thích.</t>
        </is>
      </c>
    </row>
    <row r="11" ht="27.75" customHeight="1" s="81">
      <c r="A11" s="14" t="inlineStr">
        <is>
          <t>3. Những câu PR/SC liên quan container dự kiến, sai số cont đã được đưa từ V2 sang và vẫn giữ trạng thái đúng.</t>
        </is>
      </c>
    </row>
    <row r="12" ht="34.5" customHeight="1" s="81">
      <c r="A12" s="36" t="inlineStr">
        <is>
          <t>4. 02_DA_CHOT tổng hợp các nguyên tắc được xác nhận; 12_TRA_LOI_V1_GOC lưu nguyên các câu trả lời V1 để đối chiếu.</t>
        </is>
      </c>
    </row>
    <row r="13" ht="27.75" customHeight="1" s="81">
      <c r="A13" s="14" t="inlineStr">
        <is>
          <t>5. Tiếp tục rà soát giá/thu tiền/ngoại lệ cho ra; KHÔNG xem mọi ô H=Đã chốt là đặc tả đã đủ rõ.</t>
        </is>
      </c>
    </row>
    <row r="14" ht="27.75" customHeight="1" s="81">
      <c r="A14" s="36" t="inlineStr">
        <is>
          <t>6. Dùng 04_PHAN_QUYEN để gán quyền, 05_KICH_BAN để kiểm thử, 09_TINH_DIEN để thử tiền điện 15 phút.</t>
        </is>
      </c>
    </row>
    <row r="15" ht="34.5" customHeight="1" s="81">
      <c r="A15" s="14" t="inlineStr">
        <is>
          <t>7. Sử dụng các tab tham chiếu: giá, tài khoản, mapping, đối soát và quy trình dự kiến/sửa số cont.</t>
        </is>
      </c>
    </row>
    <row r="18">
      <c r="A18" s="6" t="inlineStr">
        <is>
          <t>TỔNG HỢP THEO NHÓM</t>
        </is>
      </c>
    </row>
    <row r="19">
      <c r="A19" s="42" t="inlineStr">
        <is>
          <t>Nhóm nghiệp vụ</t>
        </is>
      </c>
      <c r="D19" s="42" t="inlineStr">
        <is>
          <t>Tổng</t>
        </is>
      </c>
      <c r="F19" s="42" t="inlineStr">
        <is>
          <t>Đủ rõ</t>
        </is>
      </c>
      <c r="H19" s="42" t="inlineStr">
        <is>
          <t>Cần xử lý</t>
        </is>
      </c>
    </row>
    <row r="20" ht="24" customHeight="1" s="81">
      <c r="A20" s="36" t="inlineStr">
        <is>
          <t>01. Vé xe / cổng</t>
        </is>
      </c>
      <c r="D20" s="36">
        <f>COUNTIF('01_CAU_HOI'!$B$5:$B$250,A20)</f>
        <v/>
      </c>
      <c r="F20" s="36">
        <f>COUNTIFS('01_CAU_HOI'!$B$5:$B$250,A20,'01_CAU_HOI'!$N$5:$N$250,"Đủ rõ để đặc tả")</f>
        <v/>
      </c>
      <c r="H20" s="36">
        <f>COUNTIFS('01_CAU_HOI'!$B$5:$B$250,A20,'01_CAU_HOI'!$N$5:$N$250,"Cần làm rõ")+COUNTIFS('01_CAU_HOI'!$B$5:$B$250,A20,'01_CAU_HOI'!$N$5:$N$250,"Chưa trả lời")</f>
        <v/>
      </c>
    </row>
    <row r="21" ht="24" customHeight="1" s="81">
      <c r="A21" s="14" t="inlineStr">
        <is>
          <t>02. Lưu container</t>
        </is>
      </c>
      <c r="D21" s="14">
        <f>COUNTIF('01_CAU_HOI'!$B$5:$B$250,A21)</f>
        <v/>
      </c>
      <c r="F21" s="14">
        <f>COUNTIFS('01_CAU_HOI'!$B$5:$B$250,A21,'01_CAU_HOI'!$N$5:$N$250,"Đủ rõ để đặc tả")</f>
        <v/>
      </c>
      <c r="H21" s="14">
        <f>COUNTIFS('01_CAU_HOI'!$B$5:$B$250,A21,'01_CAU_HOI'!$N$5:$N$250,"Cần làm rõ")+COUNTIFS('01_CAU_HOI'!$B$5:$B$250,A21,'01_CAU_HOI'!$N$5:$N$250,"Chưa trả lời")</f>
        <v/>
      </c>
    </row>
    <row r="22" ht="24" customHeight="1" s="81">
      <c r="A22" s="36" t="inlineStr">
        <is>
          <t>03. Cắm/rút điện</t>
        </is>
      </c>
      <c r="D22" s="36">
        <f>COUNTIF('01_CAU_HOI'!$B$5:$B$250,A22)</f>
        <v/>
      </c>
      <c r="F22" s="36">
        <f>COUNTIFS('01_CAU_HOI'!$B$5:$B$250,A22,'01_CAU_HOI'!$N$5:$N$250,"Đủ rõ để đặc tả")</f>
        <v/>
      </c>
      <c r="H22" s="36">
        <f>COUNTIFS('01_CAU_HOI'!$B$5:$B$250,A22,'01_CAU_HOI'!$N$5:$N$250,"Cần làm rõ")+COUNTIFS('01_CAU_HOI'!$B$5:$B$250,A22,'01_CAU_HOI'!$N$5:$N$250,"Chưa trả lời")</f>
        <v/>
      </c>
    </row>
    <row r="23" ht="24" customHeight="1" s="81">
      <c r="A23" s="14" t="inlineStr">
        <is>
          <t>04. Thanh toán</t>
        </is>
      </c>
      <c r="D23" s="14">
        <f>COUNTIF('01_CAU_HOI'!$B$5:$B$250,A23)</f>
        <v/>
      </c>
      <c r="F23" s="14">
        <f>COUNTIFS('01_CAU_HOI'!$B$5:$B$250,A23,'01_CAU_HOI'!$N$5:$N$250,"Đủ rõ để đặc tả")</f>
        <v/>
      </c>
      <c r="H23" s="14">
        <f>COUNTIFS('01_CAU_HOI'!$B$5:$B$250,A23,'01_CAU_HOI'!$N$5:$N$250,"Cần làm rõ")+COUNTIFS('01_CAU_HOI'!$B$5:$B$250,A23,'01_CAU_HOI'!$N$5:$N$250,"Chưa trả lời")</f>
        <v/>
      </c>
    </row>
    <row r="24" ht="24" customHeight="1" s="81">
      <c r="A24" s="36" t="inlineStr">
        <is>
          <t>05. Phân quyền</t>
        </is>
      </c>
      <c r="D24" s="36">
        <f>COUNTIF('01_CAU_HOI'!$B$5:$B$250,A24)</f>
        <v/>
      </c>
      <c r="F24" s="36">
        <f>COUNTIFS('01_CAU_HOI'!$B$5:$B$250,A24,'01_CAU_HOI'!$N$5:$N$250,"Đủ rõ để đặc tả")</f>
        <v/>
      </c>
      <c r="H24" s="36">
        <f>COUNTIFS('01_CAU_HOI'!$B$5:$B$250,A24,'01_CAU_HOI'!$N$5:$N$250,"Cần làm rõ")+COUNTIFS('01_CAU_HOI'!$B$5:$B$250,A24,'01_CAU_HOI'!$N$5:$N$250,"Chưa trả lời")</f>
        <v/>
      </c>
    </row>
    <row r="25" ht="24" customHeight="1" s="81">
      <c r="A25" s="14" t="inlineStr">
        <is>
          <t>06. Điều phối / container</t>
        </is>
      </c>
      <c r="D25" s="14">
        <f>COUNTIF('01_CAU_HOI'!$B$5:$B$250,A25)</f>
        <v/>
      </c>
      <c r="F25" s="14">
        <f>COUNTIFS('01_CAU_HOI'!$B$5:$B$250,A25,'01_CAU_HOI'!$N$5:$N$250,"Đủ rõ để đặc tả")</f>
        <v/>
      </c>
      <c r="H25" s="14">
        <f>COUNTIFS('01_CAU_HOI'!$B$5:$B$250,A25,'01_CAU_HOI'!$N$5:$N$250,"Cần làm rõ")+COUNTIFS('01_CAU_HOI'!$B$5:$B$250,A25,'01_CAU_HOI'!$N$5:$N$250,"Chưa trả lời")</f>
        <v/>
      </c>
    </row>
    <row r="26" ht="24" customHeight="1" s="81">
      <c r="A26" s="36" t="inlineStr">
        <is>
          <t>07. Báo cáo / đối soát</t>
        </is>
      </c>
      <c r="D26" s="36">
        <f>COUNTIF('01_CAU_HOI'!$B$5:$B$250,A26)</f>
        <v/>
      </c>
      <c r="F26" s="36">
        <f>COUNTIFS('01_CAU_HOI'!$B$5:$B$250,A26,'01_CAU_HOI'!$N$5:$N$250,"Đủ rõ để đặc tả")</f>
        <v/>
      </c>
      <c r="H26" s="36">
        <f>COUNTIFS('01_CAU_HOI'!$B$5:$B$250,A26,'01_CAU_HOI'!$N$5:$N$250,"Cần làm rõ")+COUNTIFS('01_CAU_HOI'!$B$5:$B$250,A26,'01_CAU_HOI'!$N$5:$N$250,"Chưa trả lời")</f>
        <v/>
      </c>
    </row>
    <row r="27" ht="24" customHeight="1" s="81">
      <c r="A27" s="14" t="inlineStr">
        <is>
          <t>08. Kỹ thuật / bảo mật</t>
        </is>
      </c>
      <c r="D27" s="14">
        <f>COUNTIF('01_CAU_HOI'!$B$5:$B$250,A27)</f>
        <v/>
      </c>
      <c r="F27" s="14">
        <f>COUNTIFS('01_CAU_HOI'!$B$5:$B$250,A27,'01_CAU_HOI'!$N$5:$N$250,"Đủ rõ để đặc tả")</f>
        <v/>
      </c>
      <c r="H27" s="14">
        <f>COUNTIFS('01_CAU_HOI'!$B$5:$B$250,A27,'01_CAU_HOI'!$N$5:$N$250,"Cần làm rõ")+COUNTIFS('01_CAU_HOI'!$B$5:$B$250,A27,'01_CAU_HOI'!$N$5:$N$250,"Chưa trả lời")</f>
        <v/>
      </c>
    </row>
    <row r="28" ht="24" customHeight="1" s="81">
      <c r="A28" s="36" t="inlineStr">
        <is>
          <t>09. Chuyển dữ liệu</t>
        </is>
      </c>
      <c r="D28" s="36">
        <f>COUNTIF('01_CAU_HOI'!$B$5:$B$250,A28)</f>
        <v/>
      </c>
      <c r="F28" s="36">
        <f>COUNTIFS('01_CAU_HOI'!$B$5:$B$250,A28,'01_CAU_HOI'!$N$5:$N$250,"Đủ rõ để đặc tả")</f>
        <v/>
      </c>
      <c r="H28" s="36">
        <f>COUNTIFS('01_CAU_HOI'!$B$5:$B$250,A28,'01_CAU_HOI'!$N$5:$N$250,"Cần làm rõ")+COUNTIFS('01_CAU_HOI'!$B$5:$B$250,A28,'01_CAU_HOI'!$N$5:$N$250,"Chưa trả lời")</f>
        <v/>
      </c>
    </row>
    <row r="29" ht="24" customHeight="1" s="81">
      <c r="A29" s="14" t="inlineStr">
        <is>
          <t>10. Nghiệm thu / triển khai</t>
        </is>
      </c>
      <c r="D29" s="14">
        <f>COUNTIF('01_CAU_HOI'!$B$5:$B$250,A29)</f>
        <v/>
      </c>
      <c r="F29" s="14">
        <f>COUNTIFS('01_CAU_HOI'!$B$5:$B$250,A29,'01_CAU_HOI'!$N$5:$N$250,"Đủ rõ để đặc tả")</f>
        <v/>
      </c>
      <c r="H29" s="14">
        <f>COUNTIFS('01_CAU_HOI'!$B$5:$B$250,A29,'01_CAU_HOI'!$N$5:$N$250,"Cần làm rõ")+COUNTIFS('01_CAU_HOI'!$B$5:$B$250,A29,'01_CAU_HOI'!$N$5:$N$250,"Chưa trả lời")</f>
        <v/>
      </c>
    </row>
    <row r="30" ht="15.75" customHeight="1" s="81"/>
    <row r="31" ht="15.75" customHeight="1" s="81"/>
    <row r="32" ht="28.5" customHeight="1" s="81">
      <c r="A32" s="84" t="inlineStr">
        <is>
          <t>LƯU Ý: 98 dòng V1 được giữ nguyên trạng thái người dùng tự đánh dấu; cột RÀ SOÁT mới là thước đo độ đủ rõ để lập trình.</t>
        </is>
      </c>
    </row>
    <row r="33" ht="15.75" customHeight="1" s="81"/>
    <row r="34" ht="15.75" customHeight="1" s="81">
      <c r="A34" s="46" t="inlineStr">
        <is>
          <t>DỮ LIỆU GỐC: PRICE_LIST và USERS do Sơn Cảng cung cấp; VEHICLE 315 bản ghi, CONTAINER 259 bản ghi (tính từ các tệp đính kèm).</t>
        </is>
      </c>
    </row>
    <row r="35" ht="27.75" customHeight="1" s="81">
      <c r="A35" s="47" t="inlineStr">
        <is>
          <t>BẢN V1 TRẢ LỜI ĐÚNG ĐÃ NHẬP: Untitled spreadsheet (1).xlsx | Không tự sửa dữ liệu gốc; mọi điểm xung đột được đánh dấu.</t>
        </is>
      </c>
    </row>
    <row r="36" ht="15.75" customHeight="1" s="81">
      <c r="A36" s="48" t="inlineStr">
        <is>
          <t>Đi tới bảng CÂU HỎI</t>
        </is>
      </c>
      <c r="D36" s="48" t="inlineStr">
        <is>
          <t>Đi tới các quyết định ĐÃ CHỐT</t>
        </is>
      </c>
      <c r="G36" s="48" t="inlineStr">
        <is>
          <t>Đi tới MA TRẬN PHÂN QUYỀN</t>
        </is>
      </c>
    </row>
    <row r="37" ht="15.75" customHeight="1" s="81"/>
    <row r="38" ht="15.75" customHeight="1" s="81">
      <c r="A38" s="48" t="inlineStr">
        <is>
          <t>Đi tới BẢNG GIÁ</t>
        </is>
      </c>
      <c r="D38" s="48" t="inlineStr">
        <is>
          <t>Đi tới TÌNH HUỐNG UAT</t>
        </is>
      </c>
      <c r="G38" s="48" t="inlineStr">
        <is>
          <t>Đi tới MÔ PHỎNG TIỀN ĐIỆN</t>
        </is>
      </c>
    </row>
    <row r="39" ht="15.75" customHeight="1" s="81"/>
    <row r="40" ht="15.75" customHeight="1" s="81"/>
    <row r="41" ht="15.75" customHeight="1" s="81"/>
    <row r="42" ht="15.75" customHeight="1" s="81"/>
    <row r="43" ht="15.75" customHeight="1" s="81"/>
    <row r="44" ht="15.75" customHeight="1" s="81"/>
    <row r="45" ht="15.75" customHeight="1" s="81"/>
    <row r="46" ht="15.75" customHeight="1" s="81"/>
    <row r="47" ht="15.75" customHeight="1" s="81"/>
    <row r="48" ht="15.75" customHeight="1" s="81"/>
    <row r="49" ht="15.75" customHeight="1" s="81"/>
    <row r="50" ht="15.75" customHeight="1" s="81"/>
    <row r="51" ht="15.75" customHeight="1" s="81"/>
    <row r="52" ht="15.75" customHeight="1" s="81"/>
    <row r="53" ht="15.75" customHeight="1" s="81"/>
    <row r="54" ht="15.75" customHeight="1" s="81"/>
    <row r="55" ht="15.75" customHeight="1" s="81"/>
    <row r="56" ht="15.75" customHeight="1" s="81"/>
    <row r="57" ht="15.75" customHeight="1" s="81"/>
    <row r="58" ht="15.75" customHeight="1" s="81"/>
    <row r="59" ht="15.75" customHeight="1" s="81"/>
    <row r="60" ht="15.75" customHeight="1" s="81"/>
    <row r="61" ht="15.75" customHeight="1" s="81"/>
    <row r="62" ht="15.75" customHeight="1" s="81"/>
    <row r="63" ht="15.75" customHeight="1" s="81"/>
    <row r="64" ht="15.75" customHeight="1" s="81"/>
    <row r="65" ht="15.75" customHeight="1" s="81"/>
    <row r="66" ht="15.75" customHeight="1" s="81"/>
    <row r="67" ht="15.75" customHeight="1" s="81"/>
    <row r="68" ht="15.75" customHeight="1" s="81"/>
    <row r="69" ht="15.75" customHeight="1" s="81"/>
    <row r="70" ht="15.75" customHeight="1" s="81"/>
    <row r="71" ht="15.75" customHeight="1" s="81"/>
    <row r="72" ht="15.75" customHeight="1" s="81"/>
    <row r="73" ht="15.75" customHeight="1" s="81"/>
    <row r="74" ht="15.75" customHeight="1" s="81"/>
    <row r="75" ht="15.75" customHeight="1" s="81"/>
    <row r="76" ht="15.75" customHeight="1" s="81"/>
    <row r="77" ht="15.75" customHeight="1" s="81"/>
    <row r="78" ht="15.75" customHeight="1" s="81"/>
    <row r="79" ht="15.75" customHeight="1" s="81"/>
    <row r="80" ht="15.75" customHeight="1" s="81"/>
    <row r="81" ht="15.75" customHeight="1" s="81"/>
    <row r="82" ht="15.75" customHeight="1" s="81"/>
    <row r="83" ht="15.75" customHeight="1" s="81"/>
    <row r="84" ht="15.75" customHeight="1" s="81"/>
    <row r="85" ht="15.75" customHeight="1" s="81"/>
    <row r="86" ht="15.75" customHeight="1" s="81"/>
    <row r="87" ht="15.75" customHeight="1" s="81"/>
    <row r="88" ht="15.75" customHeight="1" s="81"/>
    <row r="89" ht="15.75" customHeight="1" s="81"/>
    <row r="90" ht="15.75" customHeight="1" s="81"/>
    <row r="91" ht="15.75" customHeight="1" s="81"/>
    <row r="92" ht="15.75" customHeight="1" s="81"/>
    <row r="93" ht="15.75" customHeight="1" s="81"/>
    <row r="94" ht="15.75" customHeight="1" s="81"/>
    <row r="95" ht="15.75" customHeight="1" s="81"/>
    <row r="96" ht="15.75" customHeight="1" s="81"/>
    <row r="97" ht="15.75" customHeight="1" s="81"/>
    <row r="98" ht="15.75" customHeight="1" s="81"/>
    <row r="99" ht="15.75" customHeight="1" s="81"/>
    <row r="100" ht="15.75" customHeight="1" s="81"/>
    <row r="101" ht="15.75" customHeight="1" s="81"/>
    <row r="102" ht="15.75" customHeight="1" s="81"/>
    <row r="103" ht="15.75" customHeight="1" s="81"/>
    <row r="104" ht="15.75" customHeight="1" s="81"/>
    <row r="105" ht="15.75" customHeight="1" s="81"/>
    <row r="106" ht="15.75" customHeight="1" s="81"/>
    <row r="107" ht="15.75" customHeight="1" s="81"/>
    <row r="108" ht="15.75" customHeight="1" s="81"/>
    <row r="109" ht="15.75" customHeight="1" s="81"/>
    <row r="110" ht="15.75" customHeight="1" s="81"/>
    <row r="111" ht="15.75" customHeight="1" s="81"/>
    <row r="112" ht="15.75" customHeight="1" s="81"/>
    <row r="113" ht="15.75" customHeight="1" s="81"/>
    <row r="114" ht="15.75" customHeight="1" s="81"/>
    <row r="115" ht="15.75" customHeight="1" s="81"/>
    <row r="116" ht="15.75" customHeight="1" s="81"/>
    <row r="117" ht="15.75" customHeight="1" s="81"/>
    <row r="118" ht="15.75" customHeight="1" s="81"/>
    <row r="119" ht="15.75" customHeight="1" s="81"/>
    <row r="120" ht="15.75" customHeight="1" s="81"/>
    <row r="121" ht="15.75" customHeight="1" s="81"/>
    <row r="122" ht="15.75" customHeight="1" s="81"/>
    <row r="123" ht="15.75" customHeight="1" s="81"/>
    <row r="124" ht="15.75" customHeight="1" s="81"/>
    <row r="125" ht="15.75" customHeight="1" s="81"/>
    <row r="126" ht="15.75" customHeight="1" s="81"/>
    <row r="127" ht="15.75" customHeight="1" s="81"/>
    <row r="128" ht="15.75" customHeight="1" s="81"/>
    <row r="129" ht="15.75" customHeight="1" s="81"/>
    <row r="130" ht="15.75" customHeight="1" s="81"/>
    <row r="131" ht="15.75" customHeight="1" s="81"/>
    <row r="132" ht="15.75" customHeight="1" s="81"/>
    <row r="133" ht="15.75" customHeight="1" s="81"/>
    <row r="134" ht="15.75" customHeight="1" s="81"/>
    <row r="135" ht="15.75" customHeight="1" s="81"/>
    <row r="136" ht="15.75" customHeight="1" s="81"/>
    <row r="137" ht="15.75" customHeight="1" s="81"/>
    <row r="138" ht="15.75" customHeight="1" s="81"/>
    <row r="139" ht="15.75" customHeight="1" s="81"/>
    <row r="140" ht="15.75" customHeight="1" s="81"/>
    <row r="141" ht="15.75" customHeight="1" s="81"/>
    <row r="142" ht="15.75" customHeight="1" s="81"/>
    <row r="143" ht="15.75" customHeight="1" s="81"/>
    <row r="144" ht="15.75" customHeight="1" s="81"/>
    <row r="145" ht="15.75" customHeight="1" s="81"/>
    <row r="146" ht="15.75" customHeight="1" s="81"/>
    <row r="147" ht="15.75" customHeight="1" s="81"/>
    <row r="148" ht="15.75" customHeight="1" s="81"/>
    <row r="149" ht="15.75" customHeight="1" s="81"/>
    <row r="150" ht="15.75" customHeight="1" s="81"/>
    <row r="151" ht="15.75" customHeight="1" s="81"/>
    <row r="152" ht="15.75" customHeight="1" s="81"/>
    <row r="153" ht="15.75" customHeight="1" s="81"/>
    <row r="154" ht="15.75" customHeight="1" s="81"/>
    <row r="155" ht="15.75" customHeight="1" s="81"/>
    <row r="156" ht="15.75" customHeight="1" s="81"/>
    <row r="157" ht="15.75" customHeight="1" s="81"/>
    <row r="158" ht="15.75" customHeight="1" s="81"/>
    <row r="159" ht="15.75" customHeight="1" s="81"/>
    <row r="160" ht="15.75" customHeight="1" s="81"/>
    <row r="161" ht="15.75" customHeight="1" s="81"/>
    <row r="162" ht="15.75" customHeight="1" s="81"/>
    <row r="163" ht="15.75" customHeight="1" s="81"/>
    <row r="164" ht="15.75" customHeight="1" s="81"/>
    <row r="165" ht="15.75" customHeight="1" s="81"/>
    <row r="166" ht="15.75" customHeight="1" s="81"/>
    <row r="167" ht="15.75" customHeight="1" s="81"/>
    <row r="168" ht="15.75" customHeight="1" s="81"/>
    <row r="169" ht="15.75" customHeight="1" s="81"/>
    <row r="170" ht="15.75" customHeight="1" s="81"/>
    <row r="171" ht="15.75" customHeight="1" s="81"/>
    <row r="172" ht="15.75" customHeight="1" s="81"/>
    <row r="173" ht="15.75" customHeight="1" s="81"/>
    <row r="174" ht="15.75" customHeight="1" s="81"/>
    <row r="175" ht="15.75" customHeight="1" s="81"/>
    <row r="176" ht="15.75" customHeight="1" s="81"/>
    <row r="177" ht="15.75" customHeight="1" s="81"/>
    <row r="178" ht="15.75" customHeight="1" s="81"/>
    <row r="179" ht="15.75" customHeight="1" s="81"/>
    <row r="180" ht="15.75" customHeight="1" s="81"/>
    <row r="181" ht="15.75" customHeight="1" s="81"/>
    <row r="182" ht="15.75" customHeight="1" s="81"/>
    <row r="183" ht="15.75" customHeight="1" s="81"/>
    <row r="184" ht="15.75" customHeight="1" s="81"/>
    <row r="185" ht="15.75" customHeight="1" s="81"/>
    <row r="186" ht="15.75" customHeight="1" s="81"/>
    <row r="187" ht="15.75" customHeight="1" s="81"/>
    <row r="188" ht="15.75" customHeight="1" s="81"/>
    <row r="189" ht="15.75" customHeight="1" s="81"/>
    <row r="190" ht="15.75" customHeight="1" s="81"/>
    <row r="191" ht="15.75" customHeight="1" s="81"/>
    <row r="192" ht="15.75" customHeight="1" s="81"/>
    <row r="193" ht="15.75" customHeight="1" s="81"/>
    <row r="194" ht="15.75" customHeight="1" s="81"/>
    <row r="195" ht="15.75" customHeight="1" s="81"/>
    <row r="196" ht="15.75" customHeight="1" s="81"/>
    <row r="197" ht="15.75" customHeight="1" s="81"/>
    <row r="198" ht="15.75" customHeight="1" s="81"/>
    <row r="199" ht="15.75" customHeight="1" s="81"/>
    <row r="200" ht="15.75" customHeight="1" s="81"/>
    <row r="201" ht="15.75" customHeight="1" s="81"/>
    <row r="202" ht="15.75" customHeight="1" s="81"/>
    <row r="203" ht="15.75" customHeight="1" s="81"/>
    <row r="204" ht="15.75" customHeight="1" s="81"/>
    <row r="205" ht="15.75" customHeight="1" s="81"/>
    <row r="206" ht="15.75" customHeight="1" s="81"/>
    <row r="207" ht="15.75" customHeight="1" s="81"/>
    <row r="208" ht="15.75" customHeight="1" s="81"/>
    <row r="209" ht="15.75" customHeight="1" s="81"/>
    <row r="210" ht="15.75" customHeight="1" s="81"/>
    <row r="211" ht="15.75" customHeight="1" s="81"/>
    <row r="212" ht="15.75" customHeight="1" s="81"/>
    <row r="213" ht="15.75" customHeight="1" s="81"/>
    <row r="214" ht="15.75" customHeight="1" s="81"/>
    <row r="215" ht="15.75" customHeight="1" s="81"/>
    <row r="216" ht="15.75" customHeight="1" s="81"/>
    <row r="217" ht="15.75" customHeight="1" s="81"/>
    <row r="218" ht="15.75" customHeight="1" s="81"/>
    <row r="219" ht="15.75" customHeight="1" s="81"/>
    <row r="220" ht="15.75" customHeight="1" s="81"/>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mergeCells count="24">
    <mergeCell ref="A25:C25"/>
    <mergeCell ref="A18:I18"/>
    <mergeCell ref="A27:C27"/>
    <mergeCell ref="A21:C21"/>
    <mergeCell ref="A12:I12"/>
    <mergeCell ref="A26:C26"/>
    <mergeCell ref="A2:I2"/>
    <mergeCell ref="A23:C23"/>
    <mergeCell ref="A32:I32"/>
    <mergeCell ref="A14:I14"/>
    <mergeCell ref="A22:C22"/>
    <mergeCell ref="A8:I8"/>
    <mergeCell ref="A29:C29"/>
    <mergeCell ref="A4:I4"/>
    <mergeCell ref="A20:C20"/>
    <mergeCell ref="A28:C28"/>
    <mergeCell ref="A10:I10"/>
    <mergeCell ref="A13:I13"/>
    <mergeCell ref="A9:I9"/>
    <mergeCell ref="A34:I34"/>
    <mergeCell ref="A24:C24"/>
    <mergeCell ref="A15:I15"/>
    <mergeCell ref="A11:I11"/>
    <mergeCell ref="A1:I1"/>
  </mergeCells>
  <hyperlinks>
    <hyperlink xmlns:r="http://schemas.openxmlformats.org/officeDocument/2006/relationships" ref="A36" location="'01_CAU_HOI'!A1" r:id="rId1"/>
    <hyperlink xmlns:r="http://schemas.openxmlformats.org/officeDocument/2006/relationships" ref="D36" location="'02_DA_CHOT'!A1" r:id="rId2"/>
    <hyperlink xmlns:r="http://schemas.openxmlformats.org/officeDocument/2006/relationships" ref="G36" location="'04_PHAN_QUYEN'!A1" r:id="rId3"/>
    <hyperlink xmlns:r="http://schemas.openxmlformats.org/officeDocument/2006/relationships" ref="A38" location="'03_BANG_GIA'!A1" r:id="rId4"/>
    <hyperlink xmlns:r="http://schemas.openxmlformats.org/officeDocument/2006/relationships" ref="D38" location="'05_KICH_BAN'!A1" r:id="rId5"/>
    <hyperlink xmlns:r="http://schemas.openxmlformats.org/officeDocument/2006/relationships" ref="G38" location="'09_TINH_DIEN'!A1" r:id="rId6"/>
  </hyperlinks>
  <pageMargins left="0.25" right="0.25" top="0.45" bottom="0.45" header="0" footer="0"/>
  <pageSetup orientation="landscape" paperSize="8" fitToHeight="0"/>
  <headerFooter>
    <oddHeader/>
    <oddFooter>&amp;CPWA Son Cang | Yeu cau nghiep vu | Trang &amp;P / </oddFooter>
    <evenHeader/>
    <evenFooter/>
    <firstHeader/>
    <firstFooter/>
  </headerFooter>
</worksheet>
</file>

<file path=xl/worksheets/sheet2.xml><?xml version="1.0" encoding="utf-8"?>
<worksheet xmlns="http://schemas.openxmlformats.org/spreadsheetml/2006/main">
  <sheetPr>
    <tabColor rgb="FF0A9444"/>
    <outlinePr summaryBelow="1" summaryRight="1"/>
    <pageSetUpPr fitToPage="1"/>
  </sheetPr>
  <dimension ref="A1:O121"/>
  <sheetViews>
    <sheetView showGridLines="0" workbookViewId="0">
      <pane xSplit="4" ySplit="4" topLeftCell="E5" activePane="bottomRight" state="frozen"/>
      <selection pane="topRight" activeCell="E1" sqref="E1"/>
      <selection pane="bottomLeft" activeCell="A5" sqref="A5"/>
      <selection pane="bottomRight" activeCell="E5" sqref="E5"/>
    </sheetView>
  </sheetViews>
  <sheetFormatPr baseColWidth="8" defaultColWidth="14.43" defaultRowHeight="15" customHeight="1"/>
  <cols>
    <col width="10" customWidth="1" style="81" min="1" max="1"/>
    <col width="27" customWidth="1" style="81" min="2" max="2"/>
    <col width="11" customWidth="1" style="81" min="3" max="3"/>
    <col width="77" customWidth="1" style="81" min="4" max="4"/>
    <col width="79" customWidth="1" style="81" min="5" max="5"/>
    <col width="18" customWidth="1" style="81" min="6" max="6"/>
    <col width="65" customWidth="1" style="81" min="7" max="7"/>
    <col width="21" customWidth="1" style="81" min="8" max="8"/>
    <col width="35" customWidth="1" style="81" min="9" max="9"/>
    <col width="25" customWidth="1" style="81" min="10" max="10"/>
    <col width="18" customWidth="1" style="81" min="11" max="11"/>
    <col width="56" customWidth="1" style="81" min="12" max="12"/>
    <col width="40" customWidth="1" style="81" min="13" max="13"/>
    <col width="24" customWidth="1" style="81" min="14" max="14"/>
    <col width="74" customWidth="1" style="81" min="15" max="15"/>
    <col width="8.710000000000001" customWidth="1" style="81" min="16" max="26"/>
  </cols>
  <sheetData>
    <row r="1" ht="36" customHeight="1" s="81">
      <c r="A1" s="82" t="inlineStr">
        <is>
          <t>BẢNG CÂU HỎI PWA SƠN CẢNG — ĐÃ HỢP NHẤT TRẢ LỜI V1</t>
        </is>
      </c>
    </row>
    <row r="2" ht="33" customHeight="1" s="81">
      <c r="A2" s="83" t="inlineStr">
        <is>
          <t>Cột F/G/H: dữ liệu trả lời nguyên văn từ V1; cột N/O: kết quả rà soát của trợ lý. Cần làm rõ KHÔNG đồng nghĩa bác bỏ câu trả lời.</t>
        </is>
      </c>
    </row>
    <row r="4" ht="54" customHeight="1" s="81">
      <c r="A4" s="11" t="inlineStr">
        <is>
          <t>Mã</t>
        </is>
      </c>
      <c r="B4" s="11" t="inlineStr">
        <is>
          <t>Nhóm nghiệp vụ</t>
        </is>
      </c>
      <c r="C4" s="11" t="inlineStr">
        <is>
          <t>Ưu tiên</t>
        </is>
      </c>
      <c r="D4" s="11" t="inlineStr">
        <is>
          <t>Câu hỏi cần chốt</t>
        </is>
      </c>
      <c r="E4" s="11" t="inlineStr">
        <is>
          <t>Phương án gợi ý / cách điền</t>
        </is>
      </c>
      <c r="F4" s="11" t="inlineStr">
        <is>
          <t>Lựa chọn (điền)</t>
        </is>
      </c>
      <c r="G4" s="11" t="inlineStr">
        <is>
          <t>Quyết định/Thông số cụ thể (điền)</t>
        </is>
      </c>
      <c r="H4" s="11" t="inlineStr">
        <is>
          <t>Trạng thái (điền)</t>
        </is>
      </c>
      <c r="I4" s="11" t="inlineStr">
        <is>
          <t>Đơn vị xác nhận đề xuất</t>
        </is>
      </c>
      <c r="J4" s="11" t="inlineStr">
        <is>
          <t>Người xác nhận (điền)</t>
        </is>
      </c>
      <c r="K4" s="11" t="inlineStr">
        <is>
          <t>Ngày chốt (điền)</t>
        </is>
      </c>
      <c r="L4" s="11" t="inlineStr">
        <is>
          <t>Ghi chú bổ sung (điền)</t>
        </is>
      </c>
      <c r="M4" s="11" t="inlineStr">
        <is>
          <t>Căn cứ / nguồn</t>
        </is>
      </c>
      <c r="N4" s="11" t="inlineStr">
        <is>
          <t>ĐÁNH GIÁ RÀ SOÁT</t>
        </is>
      </c>
      <c r="O4" s="11" t="inlineStr">
        <is>
          <t>LƯU Ý / CẦN XÁC NHẬN</t>
        </is>
      </c>
    </row>
    <row r="5" ht="60" customHeight="1" s="81">
      <c r="A5" s="18" t="inlineStr">
        <is>
          <t>V01</t>
        </is>
      </c>
      <c r="B5" s="19" t="inlineStr">
        <is>
          <t>01. Vé xe / cổng</t>
        </is>
      </c>
      <c r="C5" s="20" t="inlineStr">
        <is>
          <t>P0</t>
        </is>
      </c>
      <c r="D5" s="10" t="inlineStr">
        <is>
          <t>Đầu kéo vào KHÔNG có container (vé vào 0đ), sau đó kéo container ra: có thu thêm 250.000đ ở lượt ra không?</t>
        </is>
      </c>
      <c r="E5" s="10" t="inlineStr">
        <is>
          <t>A. Không, giữ giá tại cổng vào; B. Có, bổ sung phí khi ra có kéo cont; C. Chính sách khác.</t>
        </is>
      </c>
      <c r="F5" s="22" t="inlineStr">
        <is>
          <t>A</t>
        </is>
      </c>
      <c r="G5" s="24" t="n"/>
      <c r="H5" s="25" t="inlineStr">
        <is>
          <t>Đã chốt</t>
        </is>
      </c>
      <c r="I5" s="10" t="inlineStr">
        <is>
          <t>Ban quản lý Sơn Cảng</t>
        </is>
      </c>
      <c r="J5" s="24" t="n"/>
      <c r="K5" s="26" t="n"/>
      <c r="L5" s="24" t="n"/>
      <c r="M5" s="10" t="inlineStr">
        <is>
          <t>PRICE_LIST + luồng xe nhận container</t>
        </is>
      </c>
      <c r="N5" s="27" t="inlineStr">
        <is>
          <t>Đủ rõ để đặc tả</t>
        </is>
      </c>
      <c r="O5" s="28" t="inlineStr">
        <is>
          <t>Có lựa chọn được người dùng đánh dấu đã chốt; giữ nguyên câu trả lời và ghi chú.</t>
        </is>
      </c>
    </row>
    <row r="6" ht="60" customHeight="1" s="81">
      <c r="A6" s="29" t="inlineStr">
        <is>
          <t>V02</t>
        </is>
      </c>
      <c r="B6" s="30" t="inlineStr">
        <is>
          <t>01. Vé xe / cổng</t>
        </is>
      </c>
      <c r="C6" s="31" t="inlineStr">
        <is>
          <t>P0</t>
        </is>
      </c>
      <c r="D6" s="14" t="inlineStr">
        <is>
          <t>Vé vào có bắt buộc thu ngay trước khi cho xe qua cổng vào, hay được phép ghi Chưa thu để bổ sung sau?</t>
        </is>
      </c>
      <c r="E6" s="14" t="inlineStr">
        <is>
          <t>A. Bắt buộc thu đủ; B. Cho ghi Chưa thu có điều kiện; C. Chỉ ngoại lệ cần phê duyệt.</t>
        </is>
      </c>
      <c r="F6" s="22" t="inlineStr">
        <is>
          <t>A</t>
        </is>
      </c>
      <c r="G6" s="25" t="inlineStr">
        <is>
          <t>Nhưng cũng có trường họp thu sau(ít)</t>
        </is>
      </c>
      <c r="H6" s="25" t="inlineStr">
        <is>
          <t>Đã chốt</t>
        </is>
      </c>
      <c r="I6" s="14" t="inlineStr">
        <is>
          <t>Trưởng BP An ninh + CCKB</t>
        </is>
      </c>
      <c r="J6" s="24" t="n"/>
      <c r="K6" s="26" t="n"/>
      <c r="L6" s="24" t="n"/>
      <c r="M6" s="14" t="inlineStr">
        <is>
          <t>Trao đổi nghiệp vụ Sơn Cảng, 10-11/10/2026</t>
        </is>
      </c>
      <c r="N6" s="34" t="inlineStr">
        <is>
          <t>Cần làm rõ</t>
        </is>
      </c>
      <c r="O6" s="35" t="inlineStr">
        <is>
          <t>Thu vé ngay là mặc định, nhưng ghi chú cho phép thu sau (ít). Cần xác định ai cho phép và cách báo Chưa thu.</t>
        </is>
      </c>
    </row>
    <row r="7" ht="64.5" customHeight="1" s="81">
      <c r="A7" s="18" t="inlineStr">
        <is>
          <t>V03</t>
        </is>
      </c>
      <c r="B7" s="19" t="inlineStr">
        <is>
          <t>01. Vé xe / cổng</t>
        </is>
      </c>
      <c r="C7" s="20" t="inlineStr">
        <is>
          <t>P0</t>
        </is>
      </c>
      <c r="D7" s="10" t="inlineStr">
        <is>
          <t>Xe container KHÔNG lạnh/container khô hiện có được tiếp nhận không? Nếu có mã xe và đơn giá vé nào?</t>
        </is>
      </c>
      <c r="E7" s="10" t="inlineStr">
        <is>
          <t>A. Dùng CONT_LANH nếu chung 250.000đ; B. Tạo mã giá xe container khác; C. Không sử dụng loại này.</t>
        </is>
      </c>
      <c r="F7" s="22" t="inlineStr">
        <is>
          <t>Khác</t>
        </is>
      </c>
      <c r="G7" s="25" t="inlineStr">
        <is>
          <t>Chỉ có xe cont(250K) và xe đầu kéo k còn(0Đ)</t>
        </is>
      </c>
      <c r="H7" s="25" t="inlineStr">
        <is>
          <t>Đã chốt</t>
        </is>
      </c>
      <c r="I7" s="10" t="inlineStr">
        <is>
          <t>Trưởng BP An ninh</t>
        </is>
      </c>
      <c r="J7" s="24" t="n"/>
      <c r="K7" s="26" t="n"/>
      <c r="L7" s="24" t="n"/>
      <c r="M7" s="10" t="inlineStr">
        <is>
          <t>Trao đổi nghiệp vụ Sơn Cảng, 10-11/10/2026</t>
        </is>
      </c>
      <c r="N7" s="39" t="inlineStr">
        <is>
          <t>Cần làm rõ</t>
        </is>
      </c>
      <c r="O7" s="40" t="inlineStr">
        <is>
          <t>Người dùng dùng tên “xe cont” chung; PRICE_LIST hiện ghi CONT_LANH. Cần rà nhãn hiển thị, không đổi mã giá đã chốt.</t>
        </is>
      </c>
    </row>
    <row r="8" ht="60" customHeight="1" s="81">
      <c r="A8" s="29" t="inlineStr">
        <is>
          <t>V04</t>
        </is>
      </c>
      <c r="B8" s="30" t="inlineStr">
        <is>
          <t>01. Vé xe / cổng</t>
        </is>
      </c>
      <c r="C8" s="43" t="inlineStr">
        <is>
          <t>P1</t>
        </is>
      </c>
      <c r="D8" s="14" t="inlineStr">
        <is>
          <t>Xe bo ba bánh không có biển số được phân biệt lượt bằng mã vé; có cần thêm tên lái xe/đặc điểm xe/ảnh xe không?</t>
        </is>
      </c>
      <c r="E8" s="14" t="inlineStr">
        <is>
          <t>A. Chỉ mã vé tự sinh; B. Thêm thông tin nhận diện; C. Có thể nhập biển số khi có.</t>
        </is>
      </c>
      <c r="F8" s="22" t="inlineStr">
        <is>
          <t>A</t>
        </is>
      </c>
      <c r="G8" s="25" t="inlineStr">
        <is>
          <t>chỉ sinh cũng được nhưng đến lúc ra cũng chịu à, hoặc có thể sinh mã r điền vào vé thôi</t>
        </is>
      </c>
      <c r="H8" s="25" t="inlineStr">
        <is>
          <t>Đã chốt</t>
        </is>
      </c>
      <c r="I8" s="14" t="inlineStr">
        <is>
          <t>Trưởng BP An ninh</t>
        </is>
      </c>
      <c r="J8" s="24" t="n"/>
      <c r="K8" s="26" t="n"/>
      <c r="L8" s="24" t="n"/>
      <c r="M8" s="14" t="inlineStr">
        <is>
          <t>Trao đổi nghiệp vụ Sơn Cảng, 10-11/10/2026</t>
        </is>
      </c>
      <c r="N8" s="34" t="inlineStr">
        <is>
          <t>Cần làm rõ</t>
        </is>
      </c>
      <c r="O8" s="35" t="inlineStr">
        <is>
          <t>Không có biển số; người dùng lo không biết đối chiếu khi ra. Cần quy trình mã vé/tìm lượt.</t>
        </is>
      </c>
    </row>
    <row r="9" ht="64.5" customHeight="1" s="81">
      <c r="A9" s="18" t="inlineStr">
        <is>
          <t>V05</t>
        </is>
      </c>
      <c r="B9" s="19" t="inlineStr">
        <is>
          <t>01. Vé xe / cổng</t>
        </is>
      </c>
      <c r="C9" s="20" t="inlineStr">
        <is>
          <t>P0</t>
        </is>
      </c>
      <c r="D9" s="10" t="inlineStr">
        <is>
          <t>Vé giấy 2 liên có cần nhập/kiểm soát SỐ VÉ GIẤY bắt buộc khi ghi nhận xe vào không?</t>
        </is>
      </c>
      <c r="E9" s="10" t="inlineStr">
        <is>
          <t>A. Bắt buộc; B. Khuyến khích, không bắt buộc; C. Chuyển sang in/QR từ PWA.</t>
        </is>
      </c>
      <c r="F9" s="22" t="inlineStr">
        <is>
          <t>B</t>
        </is>
      </c>
      <c r="G9" s="25" t="inlineStr">
        <is>
          <t xml:space="preserve">sau này sẽ in </t>
        </is>
      </c>
      <c r="H9" s="25" t="inlineStr">
        <is>
          <t>Đã chốt</t>
        </is>
      </c>
      <c r="I9" s="10" t="inlineStr">
        <is>
          <t>Trưởng BP An ninh</t>
        </is>
      </c>
      <c r="J9" s="24" t="n"/>
      <c r="K9" s="26" t="n"/>
      <c r="L9" s="24" t="n"/>
      <c r="M9" s="10" t="inlineStr">
        <is>
          <t>Trao đổi nghiệp vụ Sơn Cảng, 10-11/10/2026</t>
        </is>
      </c>
      <c r="N9" s="39" t="inlineStr">
        <is>
          <t>Cần làm rõ</t>
        </is>
      </c>
      <c r="O9" s="40" t="inlineStr">
        <is>
          <t>Số vé giấy hiện không bắt buộc; người dùng nói “sau này sẽ in”. Cần xác định thuộc giai đoạn nào.</t>
        </is>
      </c>
    </row>
    <row r="10" ht="54.75" customHeight="1" s="81">
      <c r="A10" s="29" t="inlineStr">
        <is>
          <t>V06</t>
        </is>
      </c>
      <c r="B10" s="30" t="inlineStr">
        <is>
          <t>01. Vé xe / cổng</t>
        </is>
      </c>
      <c r="C10" s="31" t="inlineStr">
        <is>
          <t>P0</t>
        </is>
      </c>
      <c r="D10" s="14" t="inlineStr">
        <is>
          <t>Mất liên 02, phạt 250.000đ: bộ phận nào xác nhận, thu tiền và đánh dấu đã xử lý?</t>
        </is>
      </c>
      <c r="E10" s="14" t="inlineStr">
        <is>
          <t>A. An ninh nhận phạt; B. CCKB thu; C. An ninh xác nhận mất, CCKB thu; ghi rõ ngoại lệ.</t>
        </is>
      </c>
      <c r="F10" s="22" t="inlineStr">
        <is>
          <t>A</t>
        </is>
      </c>
      <c r="G10" s="24" t="n"/>
      <c r="H10" s="25" t="inlineStr">
        <is>
          <t>Đã chốt</t>
        </is>
      </c>
      <c r="I10" s="14" t="inlineStr">
        <is>
          <t>Trưởng BP An ninh + CCKB</t>
        </is>
      </c>
      <c r="J10" s="24" t="n"/>
      <c r="K10" s="26" t="n"/>
      <c r="L10" s="24" t="n"/>
      <c r="M10" s="14" t="inlineStr">
        <is>
          <t>Thông báo vé giấy Sơn Cảng</t>
        </is>
      </c>
      <c r="N10" s="27" t="inlineStr">
        <is>
          <t>Đủ rõ để đặc tả</t>
        </is>
      </c>
      <c r="O10" s="28" t="inlineStr">
        <is>
          <t>Có lựa chọn được người dùng đánh dấu đã chốt; giữ nguyên câu trả lời và ghi chú.</t>
        </is>
      </c>
    </row>
    <row r="11" ht="54.75" customHeight="1" s="81">
      <c r="A11" s="18" t="inlineStr">
        <is>
          <t>V07</t>
        </is>
      </c>
      <c r="B11" s="19" t="inlineStr">
        <is>
          <t>01. Vé xe / cổng</t>
        </is>
      </c>
      <c r="C11" s="44" t="inlineStr">
        <is>
          <t>P1</t>
        </is>
      </c>
      <c r="D11" s="10" t="inlineStr">
        <is>
          <t>Trường hợp khách có vé nhưng số vé/biển số không khớp: cho sửa vé tại cổng hay báo Trưởng BP xử lý?</t>
        </is>
      </c>
      <c r="E11" s="10" t="inlineStr">
        <is>
          <t>A. Chặn và yêu cầu phê duyệt; B. Cho xác minh bằng chứng từ; C. Quy trình khác.</t>
        </is>
      </c>
      <c r="F11" s="22" t="inlineStr">
        <is>
          <t>A</t>
        </is>
      </c>
      <c r="G11" s="24" t="n"/>
      <c r="H11" s="25" t="inlineStr">
        <is>
          <t>Đã chốt</t>
        </is>
      </c>
      <c r="I11" s="10" t="inlineStr">
        <is>
          <t>Trưởng BP An ninh</t>
        </is>
      </c>
      <c r="J11" s="24" t="n"/>
      <c r="K11" s="26" t="n"/>
      <c r="L11" s="24" t="n"/>
      <c r="M11" s="10" t="inlineStr">
        <is>
          <t>Trao đổi nghiệp vụ Sơn Cảng, 10-11/10/2026</t>
        </is>
      </c>
      <c r="N11" s="27" t="inlineStr">
        <is>
          <t>Đủ rõ để đặc tả</t>
        </is>
      </c>
      <c r="O11" s="28" t="inlineStr">
        <is>
          <t>Có lựa chọn được người dùng đánh dấu đã chốt; giữ nguyên câu trả lời và ghi chú.</t>
        </is>
      </c>
    </row>
    <row r="12" ht="60" customHeight="1" s="81">
      <c r="A12" s="29" t="inlineStr">
        <is>
          <t>V08</t>
        </is>
      </c>
      <c r="B12" s="30" t="inlineStr">
        <is>
          <t>01. Vé xe / cổng</t>
        </is>
      </c>
      <c r="C12" s="43" t="inlineStr">
        <is>
          <t>P1</t>
        </is>
      </c>
      <c r="D12" s="14" t="inlineStr">
        <is>
          <t>Xe sang tải (tạp), đầu kéo 0đ có cần ghi nhận phiếu/vé giấy và xác nhận trạng thái Miễn phí hay không?</t>
        </is>
      </c>
      <c r="E12" s="14" t="inlineStr">
        <is>
          <t>A. Có kiểm soát đủ; B. Chỉ ghi lượt; C. Trường hợp khác.</t>
        </is>
      </c>
      <c r="F12" s="22" t="inlineStr">
        <is>
          <t>A</t>
        </is>
      </c>
      <c r="G12" s="24" t="n"/>
      <c r="H12" s="25" t="inlineStr">
        <is>
          <t>Đã chốt</t>
        </is>
      </c>
      <c r="I12" s="14" t="inlineStr">
        <is>
          <t>Trưởng BP An ninh</t>
        </is>
      </c>
      <c r="J12" s="24" t="n"/>
      <c r="K12" s="26" t="n"/>
      <c r="L12" s="24" t="n"/>
      <c r="M12" s="14" t="inlineStr">
        <is>
          <t>Trao đổi nghiệp vụ Sơn Cảng, 10-11/10/2026</t>
        </is>
      </c>
      <c r="N12" s="27" t="inlineStr">
        <is>
          <t>Đủ rõ để đặc tả</t>
        </is>
      </c>
      <c r="O12" s="28" t="inlineStr">
        <is>
          <t>Có lựa chọn được người dùng đánh dấu đã chốt; giữ nguyên câu trả lời và ghi chú.</t>
        </is>
      </c>
    </row>
    <row r="13" ht="60" customHeight="1" s="81">
      <c r="A13" s="18" t="inlineStr">
        <is>
          <t>V09</t>
        </is>
      </c>
      <c r="B13" s="19" t="inlineStr">
        <is>
          <t>01. Vé xe / cổng</t>
        </is>
      </c>
      <c r="C13" s="44" t="inlineStr">
        <is>
          <t>P1</t>
        </is>
      </c>
      <c r="D13" s="10" t="inlineStr">
        <is>
          <t>Khi xe vào có kéo container, được phép nhập số container tạm/chưa rõ chính xác hay luôn bắt buộc số hợp lệ?</t>
        </is>
      </c>
      <c r="E13" s="10" t="inlineStr">
        <is>
          <t>A. Bắt buộc mã chính xác; B. Cho tạo tạm có phê duyệt; C. Được sửa trong thời hạn.</t>
        </is>
      </c>
      <c r="F13" s="22" t="inlineStr">
        <is>
          <t>A</t>
        </is>
      </c>
      <c r="G13" s="24" t="n"/>
      <c r="H13" s="25" t="inlineStr">
        <is>
          <t>Đã chốt</t>
        </is>
      </c>
      <c r="I13" s="10" t="inlineStr">
        <is>
          <t>Trưởng BP An ninh + Điều phối</t>
        </is>
      </c>
      <c r="J13" s="24" t="n"/>
      <c r="K13" s="26" t="n"/>
      <c r="L13" s="24" t="n"/>
      <c r="M13" s="10" t="inlineStr">
        <is>
          <t>Trao đổi nghiệp vụ Sơn Cảng, 10-11/10/2026</t>
        </is>
      </c>
      <c r="N13" s="34" t="inlineStr">
        <is>
          <t>Cần làm rõ</t>
        </is>
      </c>
      <c r="O13" s="35" t="inlineStr">
        <is>
          <t>Chọn số container chính xác khi vào, nhưng nghiệp vụ thực tế thường nhập nhầm; cần cơ chế sửa có lịch sử và đối chiếu.</t>
        </is>
      </c>
    </row>
    <row r="14" ht="60" customHeight="1" s="81">
      <c r="A14" s="29" t="inlineStr">
        <is>
          <t>V10</t>
        </is>
      </c>
      <c r="B14" s="30" t="inlineStr">
        <is>
          <t>01. Vé xe / cổng</t>
        </is>
      </c>
      <c r="C14" s="31" t="inlineStr">
        <is>
          <t>P0</t>
        </is>
      </c>
      <c r="D14" s="14" t="inlineStr">
        <is>
          <t>Một lượt xe có thể chở trên 01 container cùng lúc không, đặc biệt với xe nhỏ hoặc phương tiện đặc biệt?</t>
        </is>
      </c>
      <c r="E14" s="14" t="inlineStr">
        <is>
          <t>A. Chỉ 01; B. Cho nhiều container; C. Tùy loại xe.</t>
        </is>
      </c>
      <c r="F14" s="22" t="inlineStr">
        <is>
          <t>A</t>
        </is>
      </c>
      <c r="G14" s="24" t="n"/>
      <c r="H14" s="25" t="inlineStr">
        <is>
          <t>Đã chốt</t>
        </is>
      </c>
      <c r="I14" s="14" t="inlineStr">
        <is>
          <t>Trưởng BP An ninh + Điều phối</t>
        </is>
      </c>
      <c r="J14" s="24" t="n"/>
      <c r="K14" s="26" t="n"/>
      <c r="L14" s="24" t="n"/>
      <c r="M14" s="14" t="inlineStr">
        <is>
          <t>Trao đổi nghiệp vụ Sơn Cảng, 10-11/10/2026</t>
        </is>
      </c>
      <c r="N14" s="27" t="inlineStr">
        <is>
          <t>Đủ rõ để đặc tả</t>
        </is>
      </c>
      <c r="O14" s="28" t="inlineStr">
        <is>
          <t>Có lựa chọn được người dùng đánh dấu đã chốt; giữ nguyên câu trả lời và ghi chú.</t>
        </is>
      </c>
    </row>
    <row r="15" ht="60" customHeight="1" s="81">
      <c r="A15" s="18" t="inlineStr">
        <is>
          <t>V11</t>
        </is>
      </c>
      <c r="B15" s="19" t="inlineStr">
        <is>
          <t>01. Vé xe / cổng</t>
        </is>
      </c>
      <c r="C15" s="44" t="inlineStr">
        <is>
          <t>P1</t>
        </is>
      </c>
      <c r="D15" s="10" t="inlineStr">
        <is>
          <t>Khi xe ra không kéo container (đã hạ), có yêu cầu xác nhận riêng tại cổng hay chỉ chọn phương án ra không cont?</t>
        </is>
      </c>
      <c r="E15" s="10" t="inlineStr">
        <is>
          <t>A. Bắt buộc xác nhận; B. Theo trạng thái cont thực tế; C. Quy trình khác.</t>
        </is>
      </c>
      <c r="F15" s="22" t="inlineStr">
        <is>
          <t>A</t>
        </is>
      </c>
      <c r="G15" s="24" t="n"/>
      <c r="H15" s="25" t="inlineStr">
        <is>
          <t>Đã chốt</t>
        </is>
      </c>
      <c r="I15" s="10" t="inlineStr">
        <is>
          <t>Trưởng BP An ninh</t>
        </is>
      </c>
      <c r="J15" s="24" t="n"/>
      <c r="K15" s="26" t="n"/>
      <c r="L15" s="24" t="n"/>
      <c r="M15" s="10" t="inlineStr">
        <is>
          <t>Trao đổi nghiệp vụ Sơn Cảng, 10-11/10/2026</t>
        </is>
      </c>
      <c r="N15" s="27" t="inlineStr">
        <is>
          <t>Đủ rõ để đặc tả</t>
        </is>
      </c>
      <c r="O15" s="28" t="inlineStr">
        <is>
          <t>Có lựa chọn được người dùng đánh dấu đã chốt; giữ nguyên câu trả lời và ghi chú.</t>
        </is>
      </c>
    </row>
    <row r="16" ht="64.5" customHeight="1" s="81">
      <c r="A16" s="29" t="inlineStr">
        <is>
          <t>V12</t>
        </is>
      </c>
      <c r="B16" s="30" t="inlineStr">
        <is>
          <t>01. Vé xe / cổng</t>
        </is>
      </c>
      <c r="C16" s="43" t="inlineStr">
        <is>
          <t>P1</t>
        </is>
      </c>
      <c r="D16" s="14" t="inlineStr">
        <is>
          <t>Sửa GIO_VAO/GIO_RA, biển số hoặc loại xe: ai được sửa, giới hạn thời gian và cần bằng chứng gì?</t>
        </is>
      </c>
      <c r="E16" s="14" t="inlineStr">
        <is>
          <t>A. Nhân viên sửa trước ra; B. TBP duyệt khi đã ra; C. Mọi sửa phải TBP duyệt.</t>
        </is>
      </c>
      <c r="F16" s="22" t="inlineStr">
        <is>
          <t>C</t>
        </is>
      </c>
      <c r="G16" s="25" t="inlineStr">
        <is>
          <t>cho phép sửa linh hoạt nhưng có log</t>
        </is>
      </c>
      <c r="H16" s="25" t="inlineStr">
        <is>
          <t>Đã chốt</t>
        </is>
      </c>
      <c r="I16" s="14" t="inlineStr">
        <is>
          <t>Trưởng BP An ninh</t>
        </is>
      </c>
      <c r="J16" s="24" t="n"/>
      <c r="K16" s="26" t="n"/>
      <c r="L16" s="24" t="n"/>
      <c r="M16" s="14" t="inlineStr">
        <is>
          <t>Trao đổi nghiệp vụ Sơn Cảng, 10-11/10/2026</t>
        </is>
      </c>
      <c r="N16" s="34" t="inlineStr">
        <is>
          <t>Cần làm rõ</t>
        </is>
      </c>
      <c r="O16" s="35" t="inlineStr">
        <is>
          <t>F=C (mọi sửa qua TBP) nhưng G=cho sửa linh hoạt, có log; cần chốt quyền riêng trước và sau khi xe đã ra.</t>
        </is>
      </c>
    </row>
    <row r="17" ht="54.75" customHeight="1" s="81">
      <c r="A17" s="18" t="inlineStr">
        <is>
          <t>L01</t>
        </is>
      </c>
      <c r="B17" s="19" t="inlineStr">
        <is>
          <t>02. Lưu container</t>
        </is>
      </c>
      <c r="C17" s="20" t="inlineStr">
        <is>
          <t>P0</t>
        </is>
      </c>
      <c r="D17" s="10" t="inlineStr">
        <is>
          <t>Nếu container vào trước 22:00 và ra đúng 22:00, có ghi nhận 1 đêm hay chưa?</t>
        </is>
      </c>
      <c r="E17" s="10" t="inlineStr">
        <is>
          <t>A. Tính 1 đêm (&gt;=22:00); B. Chưa tính nếu ra đúng 22:00; C. Theo công thức AppSheet V1 đã nghiệm thu.</t>
        </is>
      </c>
      <c r="F17" s="22" t="inlineStr">
        <is>
          <t>A</t>
        </is>
      </c>
      <c r="G17" s="24" t="n"/>
      <c r="H17" s="25" t="inlineStr">
        <is>
          <t>Đã chốt</t>
        </is>
      </c>
      <c r="I17" s="10" t="inlineStr">
        <is>
          <t>Trưởng BP CCKB</t>
        </is>
      </c>
      <c r="J17" s="24" t="n"/>
      <c r="K17" s="26" t="n"/>
      <c r="L17" s="24" t="n"/>
      <c r="M17" s="10" t="inlineStr">
        <is>
          <t>Thông báo 22:00–06:00</t>
        </is>
      </c>
      <c r="N17" s="27" t="inlineStr">
        <is>
          <t>Đủ rõ để đặc tả</t>
        </is>
      </c>
      <c r="O17" s="28" t="inlineStr">
        <is>
          <t>Có lựa chọn được người dùng đánh dấu đã chốt; giữ nguyên câu trả lời và ghi chú.</t>
        </is>
      </c>
    </row>
    <row r="18" ht="54.75" customHeight="1" s="81">
      <c r="A18" s="29" t="inlineStr">
        <is>
          <t>L02</t>
        </is>
      </c>
      <c r="B18" s="30" t="inlineStr">
        <is>
          <t>02. Lưu container</t>
        </is>
      </c>
      <c r="C18" s="31" t="inlineStr">
        <is>
          <t>P0</t>
        </is>
      </c>
      <c r="D18" s="14" t="inlineStr">
        <is>
          <t>Nếu container vào đúng 06:00 hoặc ra đúng 06:00, quy tắc gán cho kỳ đêm nào?</t>
        </is>
      </c>
      <c r="E18" s="14" t="inlineStr">
        <is>
          <t>A. Kỳ đêm kết thúc tại 06:00, ra 06:00 có tính; B. Kết thúc trước 06:00 mới tính; C. Theo V1.</t>
        </is>
      </c>
      <c r="F18" s="22" t="inlineStr">
        <is>
          <t>A</t>
        </is>
      </c>
      <c r="G18" s="24" t="n"/>
      <c r="H18" s="25" t="inlineStr">
        <is>
          <t>Đã chốt</t>
        </is>
      </c>
      <c r="I18" s="14" t="inlineStr">
        <is>
          <t>Trưởng BP CCKB</t>
        </is>
      </c>
      <c r="J18" s="24" t="n"/>
      <c r="K18" s="26" t="n"/>
      <c r="L18" s="24" t="n"/>
      <c r="M18" s="14" t="inlineStr">
        <is>
          <t>Trao đổi nghiệp vụ Sơn Cảng, 10-11/10/2026</t>
        </is>
      </c>
      <c r="N18" s="27" t="inlineStr">
        <is>
          <t>Đủ rõ để đặc tả</t>
        </is>
      </c>
      <c r="O18" s="28" t="inlineStr">
        <is>
          <t>Có lựa chọn được người dùng đánh dấu đã chốt; giữ nguyên câu trả lời và ghi chú.</t>
        </is>
      </c>
    </row>
    <row r="19" ht="54.75" customHeight="1" s="81">
      <c r="A19" s="18" t="inlineStr">
        <is>
          <t>L03</t>
        </is>
      </c>
      <c r="B19" s="19" t="inlineStr">
        <is>
          <t>02. Lưu container</t>
        </is>
      </c>
      <c r="C19" s="20" t="inlineStr">
        <is>
          <t>P0</t>
        </is>
      </c>
      <c r="D19" s="10" t="inlineStr">
        <is>
          <t>Xe vào sau 22:00 (ví dụ 23:30) và ra trước 06:00 (02:00), đêm đó vẫn là 1 đêm miễn phí đúng không?</t>
        </is>
      </c>
      <c r="E19" s="10" t="inlineStr">
        <is>
          <t>A. Đúng; B. Chỉ khi qua mốc 06:00; C. Khác.</t>
        </is>
      </c>
      <c r="F19" s="22" t="inlineStr">
        <is>
          <t>A</t>
        </is>
      </c>
      <c r="G19" s="24" t="n"/>
      <c r="H19" s="25" t="inlineStr">
        <is>
          <t>Đã chốt</t>
        </is>
      </c>
      <c r="I19" s="10" t="inlineStr">
        <is>
          <t>Trưởng BP CCKB</t>
        </is>
      </c>
      <c r="J19" s="24" t="n"/>
      <c r="K19" s="26" t="n"/>
      <c r="L19" s="24" t="n"/>
      <c r="M19" s="10" t="inlineStr">
        <is>
          <t>Trao đổi nghiệp vụ Sơn Cảng, 10-11/10/2026</t>
        </is>
      </c>
      <c r="N19" s="27" t="inlineStr">
        <is>
          <t>Đủ rõ để đặc tả</t>
        </is>
      </c>
      <c r="O19" s="28" t="inlineStr">
        <is>
          <t>Có lựa chọn được người dùng đánh dấu đã chốt; giữ nguyên câu trả lời và ghi chú.</t>
        </is>
      </c>
    </row>
    <row r="20" ht="60" customHeight="1" s="81">
      <c r="A20" s="29" t="inlineStr">
        <is>
          <t>L04</t>
        </is>
      </c>
      <c r="B20" s="30" t="inlineStr">
        <is>
          <t>02. Lưu container</t>
        </is>
      </c>
      <c r="C20" s="31" t="inlineStr">
        <is>
          <t>P0</t>
        </is>
      </c>
      <c r="D20" s="14" t="inlineStr">
        <is>
          <t>CCKB đã duyệt thanh toán trước 22:00, nhưng container thực tế xuất sau 22:00 và phát sinh thêm kỳ đêm: quy trình cập nhật phí?</t>
        </is>
      </c>
      <c r="E20" s="14" t="inlineStr">
        <is>
          <t>A. Hủy hiệu lực xác nhận cũ, tính và thu thêm; B. Khóa phí tại giờ CCKB duyệt; C. Trường hợp ngoại lệ riêng.</t>
        </is>
      </c>
      <c r="F20" s="22" t="inlineStr">
        <is>
          <t>B</t>
        </is>
      </c>
      <c r="G20" s="25" t="inlineStr">
        <is>
          <t>Vì nhiều lúc thanh toán và rút rồi nhưng chưa ra nhé</t>
        </is>
      </c>
      <c r="H20" s="25" t="inlineStr">
        <is>
          <t>Đã chốt</t>
        </is>
      </c>
      <c r="I20" s="14" t="inlineStr">
        <is>
          <t>Trưởng BP CCKB + An ninh</t>
        </is>
      </c>
      <c r="J20" s="24" t="n"/>
      <c r="K20" s="26" t="n"/>
      <c r="L20" s="24" t="n"/>
      <c r="M20" s="14" t="inlineStr">
        <is>
          <t>Trao đổi nghiệp vụ Sơn Cảng, 10-11/10/2026</t>
        </is>
      </c>
      <c r="N20" s="34" t="inlineStr">
        <is>
          <t>Cần làm rõ</t>
        </is>
      </c>
      <c r="O20" s="35" t="inlineStr">
        <is>
          <t>F=B khóa phí tại giờ CCKB duyệt; T09 lại chọn tính lại tại lúc cont thực ra. Cần xác định mốc chốt phí sau 22:00.</t>
        </is>
      </c>
    </row>
    <row r="21" ht="54.75" customHeight="1" s="81">
      <c r="A21" s="18" t="inlineStr">
        <is>
          <t>L05</t>
        </is>
      </c>
      <c r="B21" s="19" t="inlineStr">
        <is>
          <t>02. Lưu container</t>
        </is>
      </c>
      <c r="C21" s="44" t="inlineStr">
        <is>
          <t>P1</t>
        </is>
      </c>
      <c r="D21" s="10" t="inlineStr">
        <is>
          <t>Container vào ra trong cùng ngày, chưa qua 22:00: SO_DEM_LUU hiển thị 0 hay tối thiểu 1 (miễn phí)?</t>
        </is>
      </c>
      <c r="E21" s="10" t="inlineStr">
        <is>
          <t>A. Hiển thị 0; B. Hiển thị 1 (miễn); C. Tách đêm thực tế / đêm tính tiền.</t>
        </is>
      </c>
      <c r="F21" s="22" t="inlineStr">
        <is>
          <t>B</t>
        </is>
      </c>
      <c r="G21" s="24" t="n"/>
      <c r="H21" s="25" t="inlineStr">
        <is>
          <t>Đã chốt</t>
        </is>
      </c>
      <c r="I21" s="10" t="inlineStr">
        <is>
          <t>Trưởng BP CCKB</t>
        </is>
      </c>
      <c r="J21" s="24" t="n"/>
      <c r="K21" s="26" t="n"/>
      <c r="L21" s="24" t="n"/>
      <c r="M21" s="10" t="inlineStr">
        <is>
          <t>Trao đổi nghiệp vụ Sơn Cảng, 10-11/10/2026</t>
        </is>
      </c>
      <c r="N21" s="27" t="inlineStr">
        <is>
          <t>Đủ rõ để đặc tả</t>
        </is>
      </c>
      <c r="O21" s="28" t="inlineStr">
        <is>
          <t>Có lựa chọn được người dùng đánh dấu đã chốt; giữ nguyên câu trả lời và ghi chú.</t>
        </is>
      </c>
    </row>
    <row r="22" ht="60" customHeight="1" s="81">
      <c r="A22" s="29" t="inlineStr">
        <is>
          <t>L06</t>
        </is>
      </c>
      <c r="B22" s="30" t="inlineStr">
        <is>
          <t>02. Lưu container</t>
        </is>
      </c>
      <c r="C22" s="43" t="inlineStr">
        <is>
          <t>P1</t>
        </is>
      </c>
      <c r="D22" s="14" t="inlineStr">
        <is>
          <t>Ai được sửa GIO_CONT_VAO/GIO_CONT_RA khi nhập muộn hoặc phát hiện sai? Việc sửa đã thu cần xử lý ra sao?</t>
        </is>
      </c>
      <c r="E22" s="14" t="inlineStr">
        <is>
          <t>A. Nhân viên đề xuất/TBP duyệt sau thu; B. TBP tự sửa có lý do; C. Quy trình khác.</t>
        </is>
      </c>
      <c r="F22" s="22" t="inlineStr">
        <is>
          <t>A</t>
        </is>
      </c>
      <c r="G22" s="25" t="inlineStr">
        <is>
          <t>A và B luôn</t>
        </is>
      </c>
      <c r="H22" s="25" t="inlineStr">
        <is>
          <t>Đã chốt</t>
        </is>
      </c>
      <c r="I22" s="14" t="inlineStr">
        <is>
          <t>Trưởng BP CCKB + An ninh</t>
        </is>
      </c>
      <c r="J22" s="24" t="n"/>
      <c r="K22" s="26" t="n"/>
      <c r="L22" s="24" t="n"/>
      <c r="M22" s="14" t="inlineStr">
        <is>
          <t>Trao đổi nghiệp vụ Sơn Cảng, 10-11/10/2026</t>
        </is>
      </c>
      <c r="N22" s="39" t="inlineStr">
        <is>
          <t>Cần làm rõ</t>
        </is>
      </c>
      <c r="O22" s="40" t="inlineStr">
        <is>
          <t>G=A và B: NV đề xuất/TBP duyệt hoặc TBP sửa trực tiếp; cần tách quyền theo trạng thái đã thu/chưa thu.</t>
        </is>
      </c>
    </row>
    <row r="23" ht="60" customHeight="1" s="81">
      <c r="A23" s="18" t="inlineStr">
        <is>
          <t>L07</t>
        </is>
      </c>
      <c r="B23" s="19" t="inlineStr">
        <is>
          <t>02. Lưu container</t>
        </is>
      </c>
      <c r="C23" s="20" t="inlineStr">
        <is>
          <t>P0</t>
        </is>
      </c>
      <c r="D23" s="10" t="inlineStr">
        <is>
          <t>Xe gốc đã ra nhưng container còn lại: CCKB duyệt tài chính cho lượt xe ra không kéo cont như thế nào?</t>
        </is>
      </c>
      <c r="E23" s="10" t="inlineStr">
        <is>
          <t>A. Chỉ cần vé xe; B. Cần xác nhận container tiếp tục ở bãi; C. Cần thêm xác nhận riêng.</t>
        </is>
      </c>
      <c r="F23" s="22" t="inlineStr">
        <is>
          <t>Khác</t>
        </is>
      </c>
      <c r="G23" s="25" t="inlineStr">
        <is>
          <t>duyệt theo container CCKB k quan tâ tới biểu số xe chỉ số cont</t>
        </is>
      </c>
      <c r="H23" s="25" t="inlineStr">
        <is>
          <t>Đã chốt</t>
        </is>
      </c>
      <c r="I23" s="10" t="inlineStr">
        <is>
          <t>Trưởng BP CCKB + An ninh</t>
        </is>
      </c>
      <c r="J23" s="24" t="n"/>
      <c r="K23" s="26" t="n"/>
      <c r="L23" s="24" t="n"/>
      <c r="M23" s="10" t="inlineStr">
        <is>
          <t>Trao đổi nghiệp vụ Sơn Cảng, 10-11/10/2026</t>
        </is>
      </c>
      <c r="N23" s="27" t="inlineStr">
        <is>
          <t>Đủ rõ để đặc tả</t>
        </is>
      </c>
      <c r="O23" s="28" t="inlineStr">
        <is>
          <t>Có lựa chọn được người dùng đánh dấu đã chốt; giữ nguyên câu trả lời và ghi chú.</t>
        </is>
      </c>
    </row>
    <row r="24" ht="60" customHeight="1" s="81">
      <c r="A24" s="29" t="inlineStr">
        <is>
          <t>L08</t>
        </is>
      </c>
      <c r="B24" s="30" t="inlineStr">
        <is>
          <t>02. Lưu container</t>
        </is>
      </c>
      <c r="C24" s="43" t="inlineStr">
        <is>
          <t>P1</t>
        </is>
      </c>
      <c r="D24" s="14" t="inlineStr">
        <is>
          <t>Nếu khách muốn trả trước một phần phí lưu container trong khi cont còn ở bãi, có cho phép ghi nhận không?</t>
        </is>
      </c>
      <c r="E24" s="14" t="inlineStr">
        <is>
          <t>A. Không; B. Có thanh toán trước, đối trừ khi ra; C. Chỉ nếu TBP duyệt.</t>
        </is>
      </c>
      <c r="F24" s="22" t="inlineStr">
        <is>
          <t>A</t>
        </is>
      </c>
      <c r="G24" s="24" t="n"/>
      <c r="H24" s="25" t="inlineStr">
        <is>
          <t>Đã chốt</t>
        </is>
      </c>
      <c r="I24" s="14" t="inlineStr">
        <is>
          <t>Trưởng BP CCKB</t>
        </is>
      </c>
      <c r="J24" s="24" t="n"/>
      <c r="K24" s="26" t="n"/>
      <c r="L24" s="24" t="n"/>
      <c r="M24" s="14" t="inlineStr">
        <is>
          <t>Trao đổi nghiệp vụ Sơn Cảng, 10-11/10/2026</t>
        </is>
      </c>
      <c r="N24" s="27" t="inlineStr">
        <is>
          <t>Đủ rõ để đặc tả</t>
        </is>
      </c>
      <c r="O24" s="28" t="inlineStr">
        <is>
          <t>Có lựa chọn được người dùng đánh dấu đã chốt; giữ nguyên câu trả lời và ghi chú.</t>
        </is>
      </c>
    </row>
    <row r="25" ht="60" customHeight="1" s="81">
      <c r="A25" s="18" t="inlineStr">
        <is>
          <t>L09</t>
        </is>
      </c>
      <c r="B25" s="19" t="inlineStr">
        <is>
          <t>02. Lưu container</t>
        </is>
      </c>
      <c r="C25" s="44" t="inlineStr">
        <is>
          <t>P1</t>
        </is>
      </c>
      <c r="D25" s="10" t="inlineStr">
        <is>
          <t>Đơn giá phí lưu khi thay PRICE_LIST trong thời gian một container đang lưu: giữ giá lúc vào hay áp dụng theo từng kỳ ngày?</t>
        </is>
      </c>
      <c r="E25" s="10" t="inlineStr">
        <is>
          <t>A. Chốt tại GIO_CONT_VAO; B. Mỗi kỳ đêm theo bảng giá hiệu lực; C. Điều chỉnh bằng quyết định cụ thể.</t>
        </is>
      </c>
      <c r="F25" s="22" t="inlineStr">
        <is>
          <t>B</t>
        </is>
      </c>
      <c r="G25" s="25" t="inlineStr">
        <is>
          <t xml:space="preserve">Cái này khó nhỉ? A và B đi cho linh hoạt </t>
        </is>
      </c>
      <c r="H25" s="25" t="inlineStr">
        <is>
          <t>Đã chốt</t>
        </is>
      </c>
      <c r="I25" s="10" t="inlineStr">
        <is>
          <t>Trưởng BP CCKB + Quản trị</t>
        </is>
      </c>
      <c r="J25" s="24" t="n"/>
      <c r="K25" s="26" t="n"/>
      <c r="L25" s="24" t="n"/>
      <c r="M25" s="10" t="inlineStr">
        <is>
          <t>Trao đổi nghiệp vụ Sơn Cảng, 10-11/10/2026</t>
        </is>
      </c>
      <c r="N25" s="39" t="inlineStr">
        <is>
          <t>Cần làm rõ</t>
        </is>
      </c>
      <c r="O25" s="40" t="inlineStr">
        <is>
          <t>F=B tính giá theo từng đêm nhưng G muốn cả A và B linh hoạt; cần chính sách mặc định và ngoại lệ theo quyền.</t>
        </is>
      </c>
    </row>
    <row r="26" ht="64.5" customHeight="1" s="81">
      <c r="A26" s="29" t="inlineStr">
        <is>
          <t>L10</t>
        </is>
      </c>
      <c r="B26" s="30" t="inlineStr">
        <is>
          <t>02. Lưu container</t>
        </is>
      </c>
      <c r="C26" s="43" t="inlineStr">
        <is>
          <t>P1</t>
        </is>
      </c>
      <c r="D26" s="14" t="inlineStr">
        <is>
          <t>Có cần tính phí lưu cho container chưa xác định HÀNG/RỖNG, hay phải chờ Điều phối xác nhận?</t>
        </is>
      </c>
      <c r="E26" s="14" t="inlineStr">
        <is>
          <t>A. Vẫn tính; B. Chặn thanh toán đến khi rõ trạng thái; C. Khác.</t>
        </is>
      </c>
      <c r="F26" s="22" t="inlineStr">
        <is>
          <t>A</t>
        </is>
      </c>
      <c r="G26" s="25" t="inlineStr">
        <is>
          <t>Vẫn tính, có thể phân quyền lại cho user nào đó đi đếm nhé k nhất thiết điều phôi</t>
        </is>
      </c>
      <c r="H26" s="25" t="inlineStr">
        <is>
          <t>Đã chốt</t>
        </is>
      </c>
      <c r="I26" s="14" t="inlineStr">
        <is>
          <t>Trưởng BP CCKB + Điều phối</t>
        </is>
      </c>
      <c r="J26" s="24" t="n"/>
      <c r="K26" s="26" t="n"/>
      <c r="L26" s="24" t="n"/>
      <c r="M26" s="14" t="inlineStr">
        <is>
          <t>Trao đổi nghiệp vụ Sơn Cảng, 10-11/10/2026</t>
        </is>
      </c>
      <c r="N26" s="27" t="inlineStr">
        <is>
          <t>Đủ rõ để đặc tả</t>
        </is>
      </c>
      <c r="O26" s="28" t="inlineStr">
        <is>
          <t>Có lựa chọn được người dùng đánh dấu đã chốt; giữ nguyên câu trả lời và ghi chú.</t>
        </is>
      </c>
    </row>
    <row r="27" ht="60" customHeight="1" s="81">
      <c r="A27" s="18" t="inlineStr">
        <is>
          <t>E01</t>
        </is>
      </c>
      <c r="B27" s="19" t="inlineStr">
        <is>
          <t>03. Cắm/rút điện</t>
        </is>
      </c>
      <c r="C27" s="20" t="inlineStr">
        <is>
          <t>P0</t>
        </is>
      </c>
      <c r="D27" s="10" t="inlineStr">
        <is>
          <t>CCKB được tạo phiên cắm/rút và nhập giờ sau khi An ninh báo qua Zalo mà KHÔNG lập trước lệnh trong PWA chứ?</t>
        </is>
      </c>
      <c r="E27" s="10" t="inlineStr">
        <is>
          <t>A. Có, được nhập hồi tố và ghi giờ báo; B. Luôn phải lập yêu cầu trước; C. Kết hợp cả hai.</t>
        </is>
      </c>
      <c r="F27" s="22" t="inlineStr">
        <is>
          <t>C</t>
        </is>
      </c>
      <c r="G27" s="25" t="inlineStr">
        <is>
          <t>Cả 2 đi cho thoải mái</t>
        </is>
      </c>
      <c r="H27" s="25" t="inlineStr">
        <is>
          <t>Đã chốt</t>
        </is>
      </c>
      <c r="I27" s="10" t="inlineStr">
        <is>
          <t>Trưởng BP CCKB + An ninh</t>
        </is>
      </c>
      <c r="J27" s="24" t="n"/>
      <c r="K27" s="26" t="n"/>
      <c r="L27" s="24" t="n"/>
      <c r="M27" s="10" t="inlineStr">
        <is>
          <t>Trao đổi nghiệp vụ Sơn Cảng, 10-11/10/2026</t>
        </is>
      </c>
      <c r="N27" s="27" t="inlineStr">
        <is>
          <t>Đủ rõ để đặc tả</t>
        </is>
      </c>
      <c r="O27" s="28" t="inlineStr">
        <is>
          <t>Có lựa chọn được người dùng đánh dấu đã chốt; giữ nguyên câu trả lời và ghi chú.</t>
        </is>
      </c>
    </row>
    <row r="28" ht="60" customHeight="1" s="81">
      <c r="A28" s="29" t="inlineStr">
        <is>
          <t>E02</t>
        </is>
      </c>
      <c r="B28" s="30" t="inlineStr">
        <is>
          <t>03. Cắm/rút điện</t>
        </is>
      </c>
      <c r="C28" s="31" t="inlineStr">
        <is>
          <t>P0</t>
        </is>
      </c>
      <c r="D28" s="14" t="inlineStr">
        <is>
          <t>Trường hợp khách yêu cầu cắm/rút trực tiếp với An ninh mà chưa báo CCKB: xử lý nhập và xác minh ra sao?</t>
        </is>
      </c>
      <c r="E28" s="14" t="inlineStr">
        <is>
          <t>A. An ninh báo CCKB, nhập sau; B. Không làm khi chưa có CCKB; C. Ngoại lệ theo ca.</t>
        </is>
      </c>
      <c r="F28" s="22" t="inlineStr">
        <is>
          <t>Khác</t>
        </is>
      </c>
      <c r="G28" s="25" t="inlineStr">
        <is>
          <t>A và B</t>
        </is>
      </c>
      <c r="H28" s="25" t="inlineStr">
        <is>
          <t>Đã chốt</t>
        </is>
      </c>
      <c r="I28" s="14" t="inlineStr">
        <is>
          <t>Trưởng BP CCKB + An ninh</t>
        </is>
      </c>
      <c r="J28" s="24" t="n"/>
      <c r="K28" s="26" t="n"/>
      <c r="L28" s="24" t="n"/>
      <c r="M28" s="14" t="inlineStr">
        <is>
          <t>Trao đổi nghiệp vụ Sơn Cảng, 10-11/10/2026</t>
        </is>
      </c>
      <c r="N28" s="39" t="inlineStr">
        <is>
          <t>Cần làm rõ</t>
        </is>
      </c>
      <c r="O28" s="40" t="inlineStr">
        <is>
          <t>G=A và B: yêu cầu khách đi thẳng tới An ninh, vừa cho làm trước vừa muốn chờ CCKB; cần luồng ngoại lệ rõ.</t>
        </is>
      </c>
    </row>
    <row r="29" ht="60" customHeight="1" s="81">
      <c r="A29" s="18" t="inlineStr">
        <is>
          <t>E03</t>
        </is>
      </c>
      <c r="B29" s="19" t="inlineStr">
        <is>
          <t>03. Cắm/rút điện</t>
        </is>
      </c>
      <c r="C29" s="44" t="inlineStr">
        <is>
          <t>P1</t>
        </is>
      </c>
      <c r="D29" s="10" t="inlineStr">
        <is>
          <t>Hình thức Theo giờ và Cắm liên tục có khác nhau ở cách vận hành/thanh toán hay hiện chỉ khác danh mục yêu cầu?</t>
        </is>
      </c>
      <c r="E29" s="10" t="inlineStr">
        <is>
          <t>A. Chỉ khác tên; B. Có quy tắc riêng, ghi cụ thể; C. Sẽ phân biệt ở giai đoạn sau.</t>
        </is>
      </c>
      <c r="F29" s="22" t="inlineStr">
        <is>
          <t>A</t>
        </is>
      </c>
      <c r="G29" s="25" t="inlineStr">
        <is>
          <t>CHỉ khác là 1 cái biết giờ rút 1 cái chưa</t>
        </is>
      </c>
      <c r="H29" s="25" t="inlineStr">
        <is>
          <t>Đã chốt</t>
        </is>
      </c>
      <c r="I29" s="10" t="inlineStr">
        <is>
          <t>Trưởng BP CCKB</t>
        </is>
      </c>
      <c r="J29" s="24" t="n"/>
      <c r="K29" s="26" t="n"/>
      <c r="L29" s="24" t="n"/>
      <c r="M29" s="10" t="inlineStr">
        <is>
          <t>Trao đổi nghiệp vụ Sơn Cảng, 10-11/10/2026</t>
        </is>
      </c>
      <c r="N29" s="39" t="inlineStr">
        <is>
          <t>Cần làm rõ</t>
        </is>
      </c>
      <c r="O29" s="40" t="inlineStr">
        <is>
          <t>G xác định theo giờ biết giờ rút dự kiến, liên tục chưa biết; trước đó form không yêu cầu giờ rút dự kiến. Cần là trường tùy chọn.</t>
        </is>
      </c>
    </row>
    <row r="30" ht="60" customHeight="1" s="81">
      <c r="A30" s="29" t="inlineStr">
        <is>
          <t>E04</t>
        </is>
      </c>
      <c r="B30" s="30" t="inlineStr">
        <is>
          <t>03. Cắm/rút điện</t>
        </is>
      </c>
      <c r="C30" s="31" t="inlineStr">
        <is>
          <t>P0</t>
        </is>
      </c>
      <c r="D30" s="14" t="inlineStr">
        <is>
          <t>CCKB nhập GIO_CAM_THUC_TE khi container đã rút rồi: cho phép nhập cả giờ cắm và rút trong một biểu mẫu không?</t>
        </is>
      </c>
      <c r="E30" s="14" t="inlineStr">
        <is>
          <t>A. Có; B. Tách thành hai bước bắt buộc; C. Chỉ TBP nhập hồi tố.</t>
        </is>
      </c>
      <c r="F30" s="22" t="inlineStr">
        <is>
          <t>A</t>
        </is>
      </c>
      <c r="G30" s="25" t="inlineStr">
        <is>
          <t>có cho thoải mái giờ chưa kiểm soát chặt lắm</t>
        </is>
      </c>
      <c r="H30" s="25" t="inlineStr">
        <is>
          <t>Đã chốt</t>
        </is>
      </c>
      <c r="I30" s="14" t="inlineStr">
        <is>
          <t>Trưởng BP CCKB</t>
        </is>
      </c>
      <c r="J30" s="24" t="n"/>
      <c r="K30" s="26" t="n"/>
      <c r="L30" s="24" t="n"/>
      <c r="M30" s="14" t="inlineStr">
        <is>
          <t>Trao đổi nghiệp vụ Sơn Cảng, 10-11/10/2026</t>
        </is>
      </c>
      <c r="N30" s="27" t="inlineStr">
        <is>
          <t>Đủ rõ để đặc tả</t>
        </is>
      </c>
      <c r="O30" s="28" t="inlineStr">
        <is>
          <t>Có lựa chọn được người dùng đánh dấu đã chốt; giữ nguyên câu trả lời và ghi chú.</t>
        </is>
      </c>
    </row>
    <row r="31" ht="64.5" customHeight="1" s="81">
      <c r="A31" s="18" t="inlineStr">
        <is>
          <t>E05</t>
        </is>
      </c>
      <c r="B31" s="19" t="inlineStr">
        <is>
          <t>03. Cắm/rút điện</t>
        </is>
      </c>
      <c r="C31" s="20" t="inlineStr">
        <is>
          <t>P0</t>
        </is>
      </c>
      <c r="D31" s="10" t="inlineStr">
        <is>
          <t>Khi An ninh báo giờ cắm/rút không chính xác, CCKB xác minh bằng cách nào trước khi sửa?</t>
        </is>
      </c>
      <c r="E31" s="10" t="inlineStr">
        <is>
          <t>A. CCKB chỉnh có ghi chú; B. Cần ảnh tin nhắn Zalo; C. Phải có TBP xác nhận khi chênh lệch lớn.</t>
        </is>
      </c>
      <c r="F31" s="22" t="inlineStr">
        <is>
          <t>Khác</t>
        </is>
      </c>
      <c r="G31" s="25" t="inlineStr">
        <is>
          <t>Hienj tại khi cắm rút thì an ninh sẽ quay bằng camera time stamp, rồi gửi nhóm</t>
        </is>
      </c>
      <c r="H31" s="25" t="inlineStr">
        <is>
          <t>Đã chốt</t>
        </is>
      </c>
      <c r="I31" s="10" t="inlineStr">
        <is>
          <t>Trưởng BP CCKB</t>
        </is>
      </c>
      <c r="J31" s="24" t="n"/>
      <c r="K31" s="26" t="n"/>
      <c r="L31" s="24" t="n"/>
      <c r="M31" s="10" t="inlineStr">
        <is>
          <t>Trao đổi nghiệp vụ Sơn Cảng, 10-11/10/2026</t>
        </is>
      </c>
      <c r="N31" s="27" t="inlineStr">
        <is>
          <t>Đủ rõ để đặc tả</t>
        </is>
      </c>
      <c r="O31" s="28" t="inlineStr">
        <is>
          <t>Có lựa chọn được người dùng đánh dấu đã chốt; giữ nguyên câu trả lời và ghi chú.</t>
        </is>
      </c>
    </row>
    <row r="32" ht="64.5" customHeight="1" s="81">
      <c r="A32" s="29" t="inlineStr">
        <is>
          <t>E06</t>
        </is>
      </c>
      <c r="B32" s="30" t="inlineStr">
        <is>
          <t>03. Cắm/rút điện</t>
        </is>
      </c>
      <c r="C32" s="31" t="inlineStr">
        <is>
          <t>P0</t>
        </is>
      </c>
      <c r="D32" s="14" t="inlineStr">
        <is>
          <t>Sau khi đã thu tiền điện, CCKB được sửa giờ tới mức nào và quy trình phê duyệt chênh lệch?</t>
        </is>
      </c>
      <c r="E32" s="14" t="inlineStr">
        <is>
          <t>A. NV tạo đề nghị/TBP CCKB duyệt; B. TBP sửa trực tiếp có nhật ký; C. NV được sửa và ghi lý do (không duyệt).</t>
        </is>
      </c>
      <c r="F32" s="22" t="inlineStr">
        <is>
          <t>B</t>
        </is>
      </c>
      <c r="G32" s="25" t="inlineStr">
        <is>
          <t>A Và B</t>
        </is>
      </c>
      <c r="H32" s="25" t="inlineStr">
        <is>
          <t>Đã chốt</t>
        </is>
      </c>
      <c r="I32" s="14" t="inlineStr">
        <is>
          <t>Trưởng BP CCKB</t>
        </is>
      </c>
      <c r="J32" s="24" t="n"/>
      <c r="K32" s="26" t="n"/>
      <c r="L32" s="24" t="n"/>
      <c r="M32" s="14" t="inlineStr">
        <is>
          <t>Đồng thuận sơ bộ: cần phê duyệt điều chỉnh sau thu</t>
        </is>
      </c>
      <c r="N32" s="34" t="inlineStr">
        <is>
          <t>Cần làm rõ</t>
        </is>
      </c>
      <c r="O32" s="35" t="inlineStr">
        <is>
          <t>F=B nhưng G=A và B: vừa NV đề nghị/TBP duyệt vừa TBP sửa trực tiếp; cần điều kiện khi nào mỗi cách.</t>
        </is>
      </c>
    </row>
    <row r="33" ht="64.5" customHeight="1" s="81">
      <c r="A33" s="18" t="inlineStr">
        <is>
          <t>E07</t>
        </is>
      </c>
      <c r="B33" s="19" t="inlineStr">
        <is>
          <t>03. Cắm/rút điện</t>
        </is>
      </c>
      <c r="C33" s="20" t="inlineStr">
        <is>
          <t>P0</t>
        </is>
      </c>
      <c r="D33" s="10" t="inlineStr">
        <is>
          <t>Phiên điện còn trạng thái Đang cắm trên PWA nhưng thực tế đã rút, container có được xuất không?</t>
        </is>
      </c>
      <c r="E33" s="10" t="inlineStr">
        <is>
          <t>A. CCKB bắt buộc hoàn thành ghi nhận trước khi ra; B. TBP duyệt xuất ngoại lệ; C. Khác.</t>
        </is>
      </c>
      <c r="F33" s="22" t="inlineStr">
        <is>
          <t>A</t>
        </is>
      </c>
      <c r="G33" s="25" t="inlineStr">
        <is>
          <t xml:space="preserve">Làm cách nào thoai r mái hon, CCKB cứ xác định xe đã được ra thì ra, nếu xe ra đến cổng mà chưa thấy được ra thì gọi hoặc nhắn nhóm có CCKB </t>
        </is>
      </c>
      <c r="H33" s="25" t="inlineStr">
        <is>
          <t>Đã chốt</t>
        </is>
      </c>
      <c r="I33" s="10" t="inlineStr">
        <is>
          <t>Trưởng BP CCKB + An ninh</t>
        </is>
      </c>
      <c r="J33" s="24" t="n"/>
      <c r="K33" s="26" t="n"/>
      <c r="L33" s="24" t="n"/>
      <c r="M33" s="10" t="inlineStr">
        <is>
          <t>Trao đổi nghiệp vụ Sơn Cảng, 10-11/10/2026</t>
        </is>
      </c>
      <c r="N33" s="34" t="inlineStr">
        <is>
          <t>Cần làm rõ</t>
        </is>
      </c>
      <c r="O33" s="35" t="inlineStr">
        <is>
          <t>F=A buộc cập nhật xong trước ra, nhưng G ưu tiên CCKB xác nhận bằng tay và Zalo khi cần; cần cơ chế override có audit.</t>
        </is>
      </c>
    </row>
    <row r="34" ht="60" customHeight="1" s="81">
      <c r="A34" s="29" t="inlineStr">
        <is>
          <t>E08</t>
        </is>
      </c>
      <c r="B34" s="30" t="inlineStr">
        <is>
          <t>03. Cắm/rút điện</t>
        </is>
      </c>
      <c r="C34" s="43" t="inlineStr">
        <is>
          <t>P1</t>
        </is>
      </c>
      <c r="D34" s="14" t="inlineStr">
        <is>
          <t>Khi không có mạng/không thể cập nhật giờ rút, cần quy trình bàn giao ngoài hệ thống và bổ sung dữ liệu như thế nào?</t>
        </is>
      </c>
      <c r="E34" s="14" t="inlineStr">
        <is>
          <t>A. Nhật ký giấy/Zalo rồi nhập lại có giờ nguồn; B. Không cho xuất cho đến khi hệ thống hoạt động; C. Ngoại lệ TBP.</t>
        </is>
      </c>
      <c r="F34" s="22" t="inlineStr">
        <is>
          <t>A</t>
        </is>
      </c>
      <c r="G34" s="25" t="inlineStr">
        <is>
          <t>chỗ này chưa hiểu</t>
        </is>
      </c>
      <c r="H34" s="25" t="inlineStr">
        <is>
          <t>Đã chốt</t>
        </is>
      </c>
      <c r="I34" s="14" t="inlineStr">
        <is>
          <t>Trưởng BP CCKB + Quản trị</t>
        </is>
      </c>
      <c r="J34" s="24" t="n"/>
      <c r="K34" s="26" t="n"/>
      <c r="L34" s="24" t="n"/>
      <c r="M34" s="14" t="inlineStr">
        <is>
          <t>Trao đổi nghiệp vụ Sơn Cảng, 10-11/10/2026</t>
        </is>
      </c>
      <c r="N34" s="34" t="inlineStr">
        <is>
          <t>Cần làm rõ</t>
        </is>
      </c>
      <c r="O34" s="35" t="inlineStr">
        <is>
          <t>G ghi “chỗ này chưa hiểu”; không thể coi là quyết định đã chốt dù F=A. Cần giải thích quy trình offline và nhập bù.</t>
        </is>
      </c>
    </row>
    <row r="35" ht="60" customHeight="1" s="81">
      <c r="A35" s="18" t="inlineStr">
        <is>
          <t>E09</t>
        </is>
      </c>
      <c r="B35" s="19" t="inlineStr">
        <is>
          <t>03. Cắm/rút điện</t>
        </is>
      </c>
      <c r="C35" s="44" t="inlineStr">
        <is>
          <t>P1</t>
        </is>
      </c>
      <c r="D35" s="10" t="inlineStr">
        <is>
          <t>Tổng thời gian thực tế tính bằng giây hay phút? Ví dụ 4 giờ 00 phút 01 giây có làm tròn thành 4 giờ 15 phút không?</t>
        </is>
      </c>
      <c r="E35" s="10" t="inlineStr">
        <is>
          <t>A. Bỏ giây/lấy phút; B. Giữ giây rồi làm tròn block 15 phút; C. Khác.</t>
        </is>
      </c>
      <c r="F35" s="22" t="inlineStr">
        <is>
          <t>Khác</t>
        </is>
      </c>
      <c r="G35" s="25" t="inlineStr">
        <is>
          <t>Hieện tại CCKB tự làm tròn</t>
        </is>
      </c>
      <c r="H35" s="25" t="inlineStr">
        <is>
          <t>Đã chốt</t>
        </is>
      </c>
      <c r="I35" s="10" t="inlineStr">
        <is>
          <t>Trưởng BP CCKB</t>
        </is>
      </c>
      <c r="J35" s="24" t="n"/>
      <c r="K35" s="26" t="n"/>
      <c r="L35" s="24" t="n"/>
      <c r="M35" s="10" t="inlineStr">
        <is>
          <t>Trao đổi nghiệp vụ Sơn Cảng, 10-11/10/2026</t>
        </is>
      </c>
      <c r="N35" s="34" t="inlineStr">
        <is>
          <t>Cần làm rõ</t>
        </is>
      </c>
      <c r="O35" s="35" t="inlineStr">
        <is>
          <t>G: CCKB tự làm tròn, trong khi đã chốt tính tròn lên mỗi 15 phút. Cần xác nhận tự tính mặc định + cho điều chỉnh thủ công.</t>
        </is>
      </c>
    </row>
    <row r="36" ht="60" customHeight="1" s="81">
      <c r="A36" s="29" t="inlineStr">
        <is>
          <t>E10</t>
        </is>
      </c>
      <c r="B36" s="30" t="inlineStr">
        <is>
          <t>03. Cắm/rút điện</t>
        </is>
      </c>
      <c r="C36" s="43" t="inlineStr">
        <is>
          <t>P1</t>
        </is>
      </c>
      <c r="D36" s="14" t="inlineStr">
        <is>
          <t>Phiên cắm ngắn dưới 15 phút hoặc vô tình cắm 0 phút: tính tối thiểu 15 phút khi có cắm thực tế không?</t>
        </is>
      </c>
      <c r="E36" s="14" t="inlineStr">
        <is>
          <t>A. &gt;0 phút tính 15 phút; B. Có mức tối thiểu khác; C. Không thu dưới ngưỡng.</t>
        </is>
      </c>
      <c r="F36" s="22" t="inlineStr">
        <is>
          <t>Khác</t>
        </is>
      </c>
      <c r="G36" s="25" t="inlineStr">
        <is>
          <t>Hieện tại CCKB tự làm tròn</t>
        </is>
      </c>
      <c r="H36" s="25" t="inlineStr">
        <is>
          <t>Đã chốt</t>
        </is>
      </c>
      <c r="I36" s="14" t="inlineStr">
        <is>
          <t>Trưởng BP CCKB</t>
        </is>
      </c>
      <c r="J36" s="24" t="n"/>
      <c r="K36" s="26" t="n"/>
      <c r="L36" s="24" t="n"/>
      <c r="M36" s="14" t="inlineStr">
        <is>
          <t>Trao đổi nghiệp vụ Sơn Cảng, 10-11/10/2026</t>
        </is>
      </c>
      <c r="N36" s="39" t="inlineStr">
        <is>
          <t>Cần làm rõ</t>
        </is>
      </c>
      <c r="O36" s="40" t="inlineStr">
        <is>
          <t>G: CCKB tự làm tròn; chưa khóa khoản phí tối thiểu cho phiên ngắn dưới 15 phút và 0 phút.</t>
        </is>
      </c>
    </row>
    <row r="37" ht="60" customHeight="1" s="81">
      <c r="A37" s="18" t="inlineStr">
        <is>
          <t>E11</t>
        </is>
      </c>
      <c r="B37" s="19" t="inlineStr">
        <is>
          <t>03. Cắm/rút điện</t>
        </is>
      </c>
      <c r="C37" s="44" t="inlineStr">
        <is>
          <t>P1</t>
        </is>
      </c>
      <c r="D37" s="10" t="inlineStr">
        <is>
          <t>Một container cắm/rút nhiều phiên trong cùng một lần vào bãi: làm tròn 15 phút riêng mỗi phiên hay gộp trước khi làm tròn?</t>
        </is>
      </c>
      <c r="E37" s="10" t="inlineStr">
        <is>
          <t>A. Riêng từng phiên; B. Gộp thời gian nhiều phiên; C. Theo hình thức dịch vụ.</t>
        </is>
      </c>
      <c r="F37" s="22" t="inlineStr">
        <is>
          <t>A</t>
        </is>
      </c>
      <c r="G37" s="24" t="n"/>
      <c r="H37" s="25" t="inlineStr">
        <is>
          <t>Đã chốt</t>
        </is>
      </c>
      <c r="I37" s="10" t="inlineStr">
        <is>
          <t>Trưởng BP CCKB</t>
        </is>
      </c>
      <c r="J37" s="24" t="n"/>
      <c r="K37" s="26" t="n"/>
      <c r="L37" s="24" t="n"/>
      <c r="M37" s="10" t="inlineStr">
        <is>
          <t>Trao đổi nghiệp vụ Sơn Cảng, 10-11/10/2026</t>
        </is>
      </c>
      <c r="N37" s="27" t="inlineStr">
        <is>
          <t>Đủ rõ để đặc tả</t>
        </is>
      </c>
      <c r="O37" s="28" t="inlineStr">
        <is>
          <t>Có lựa chọn được người dùng đánh dấu đã chốt; giữ nguyên câu trả lời và ghi chú.</t>
        </is>
      </c>
    </row>
    <row r="38" ht="60" customHeight="1" s="81">
      <c r="A38" s="29" t="inlineStr">
        <is>
          <t>E12</t>
        </is>
      </c>
      <c r="B38" s="30" t="inlineStr">
        <is>
          <t>03. Cắm/rút điện</t>
        </is>
      </c>
      <c r="C38" s="43" t="inlineStr">
        <is>
          <t>P1</t>
        </is>
      </c>
      <c r="D38" s="14" t="inlineStr">
        <is>
          <t>Có cho một container ghi nhận hai phiên cắm điện đồng thời hay bắt buộc mỗi thời điểm chỉ có một phiên?</t>
        </is>
      </c>
      <c r="E38" s="14" t="inlineStr">
        <is>
          <t>A. Chỉ một phiên hoạt động; B. Có nhiều ổ cắm/điểm cấp điện song song; C. Ngoại lệ.</t>
        </is>
      </c>
      <c r="F38" s="22" t="inlineStr">
        <is>
          <t>A</t>
        </is>
      </c>
      <c r="G38" s="24" t="n"/>
      <c r="H38" s="25" t="inlineStr">
        <is>
          <t>Đã chốt</t>
        </is>
      </c>
      <c r="I38" s="14" t="inlineStr">
        <is>
          <t>Trưởng BP CCKB</t>
        </is>
      </c>
      <c r="J38" s="24" t="n"/>
      <c r="K38" s="26" t="n"/>
      <c r="L38" s="24" t="n"/>
      <c r="M38" s="14" t="inlineStr">
        <is>
          <t>Trao đổi nghiệp vụ Sơn Cảng, 10-11/10/2026</t>
        </is>
      </c>
      <c r="N38" s="27" t="inlineStr">
        <is>
          <t>Đủ rõ để đặc tả</t>
        </is>
      </c>
      <c r="O38" s="28" t="inlineStr">
        <is>
          <t>Có lựa chọn được người dùng đánh dấu đã chốt; giữ nguyên câu trả lời và ghi chú.</t>
        </is>
      </c>
    </row>
    <row r="39" ht="64.5" customHeight="1" s="81">
      <c r="A39" s="18" t="inlineStr">
        <is>
          <t>E13</t>
        </is>
      </c>
      <c r="B39" s="19" t="inlineStr">
        <is>
          <t>03. Cắm/rút điện</t>
        </is>
      </c>
      <c r="C39" s="44" t="inlineStr">
        <is>
          <t>P1</t>
        </is>
      </c>
      <c r="D39" s="10" t="inlineStr">
        <is>
          <t>Khi cập nhật giá điện trong lúc phiên cắm đang chạy: giữ giá lúc bắt đầu hay áp giá mới khi rút?</t>
        </is>
      </c>
      <c r="E39" s="10" t="inlineStr">
        <is>
          <t>A. Giữ giá lúc cắm; B. Theo giá lúc rút; C. Chia theo thời điểm đổi giá.</t>
        </is>
      </c>
      <c r="F39" s="22" t="inlineStr">
        <is>
          <t>B</t>
        </is>
      </c>
      <c r="G39" s="25" t="inlineStr">
        <is>
          <t>tùy A và B</t>
        </is>
      </c>
      <c r="H39" s="25" t="inlineStr">
        <is>
          <t>Đã chốt</t>
        </is>
      </c>
      <c r="I39" s="10" t="inlineStr">
        <is>
          <t>Trưởng BP CCKB + Quản trị</t>
        </is>
      </c>
      <c r="J39" s="24" t="n"/>
      <c r="K39" s="26" t="n"/>
      <c r="L39" s="24" t="n"/>
      <c r="M39" s="10" t="inlineStr">
        <is>
          <t>Trao đổi nghiệp vụ Sơn Cảng, 10-11/10/2026</t>
        </is>
      </c>
      <c r="N39" s="39" t="inlineStr">
        <is>
          <t>Cần làm rõ</t>
        </is>
      </c>
      <c r="O39" s="40" t="inlineStr">
        <is>
          <t>F=B tính giá mới khi rút, nhưng G “tùy A và B”; cần chính sách mặc định theo phiên và lựa chọn điều chỉnh giá.</t>
        </is>
      </c>
    </row>
    <row r="40" ht="64.5" customHeight="1" s="81">
      <c r="A40" s="29" t="inlineStr">
        <is>
          <t>E14</t>
        </is>
      </c>
      <c r="B40" s="30" t="inlineStr">
        <is>
          <t>03. Cắm/rút điện</t>
        </is>
      </c>
      <c r="C40" s="43" t="inlineStr">
        <is>
          <t>P1</t>
        </is>
      </c>
      <c r="D40" s="14" t="inlineStr">
        <is>
          <t>Có yêu cầu lưu vị trí/ổ cắm/số công tơ/ảnh khi cắm, hay chỉ theo container và giờ thực tế?</t>
        </is>
      </c>
      <c r="E40" s="14" t="inlineStr">
        <is>
          <t>A. Chỉ cont và giờ; B. Thêm vị trí ổ cắm; C. Thêm ảnh/công tơ; ghi rõ.</t>
        </is>
      </c>
      <c r="F40" s="22" t="inlineStr">
        <is>
          <t>A</t>
        </is>
      </c>
      <c r="G40" s="25" t="inlineStr">
        <is>
          <t>có thể cho an ninh điền cái này cx được để họ nhớ, sau này làm sơ đồ cũng dễ</t>
        </is>
      </c>
      <c r="H40" s="25" t="inlineStr">
        <is>
          <t>Đã chốt</t>
        </is>
      </c>
      <c r="I40" s="14" t="inlineStr">
        <is>
          <t>Trưởng BP CCKB + An ninh</t>
        </is>
      </c>
      <c r="J40" s="24" t="n"/>
      <c r="K40" s="26" t="n"/>
      <c r="L40" s="24" t="n"/>
      <c r="M40" s="14" t="inlineStr">
        <is>
          <t>Trao đổi nghiệp vụ Sơn Cảng, 10-11/10/2026</t>
        </is>
      </c>
      <c r="N40" s="27" t="inlineStr">
        <is>
          <t>Đủ rõ để đặc tả</t>
        </is>
      </c>
      <c r="O40" s="28" t="inlineStr">
        <is>
          <t>Có lựa chọn được người dùng đánh dấu đã chốt; giữ nguyên câu trả lời và ghi chú.</t>
        </is>
      </c>
    </row>
    <row r="41" ht="54.75" customHeight="1" s="81">
      <c r="A41" s="18" t="inlineStr">
        <is>
          <t>E15</t>
        </is>
      </c>
      <c r="B41" s="19" t="inlineStr">
        <is>
          <t>03. Cắm/rút điện</t>
        </is>
      </c>
      <c r="C41" s="44" t="inlineStr">
        <is>
          <t>P1</t>
        </is>
      </c>
      <c r="D41" s="10" t="inlineStr">
        <is>
          <t>Ai là người được phép sửa danh mục đơn giá cắm điện và có cần TBP/BLĐ phê duyệt mức giá mới?</t>
        </is>
      </c>
      <c r="E41" s="10" t="inlineStr">
        <is>
          <t>A. Quản trị; B. Trưởng BP CCKB; C. CCKB đề xuất, Quản trị duyệt; khác.</t>
        </is>
      </c>
      <c r="F41" s="22" t="inlineStr">
        <is>
          <t>A</t>
        </is>
      </c>
      <c r="G41" s="24" t="n"/>
      <c r="H41" s="25" t="inlineStr">
        <is>
          <t>Đã chốt</t>
        </is>
      </c>
      <c r="I41" s="10" t="inlineStr">
        <is>
          <t>Trưởng BP CCKB + Quản trị</t>
        </is>
      </c>
      <c r="J41" s="24" t="n"/>
      <c r="K41" s="26" t="n"/>
      <c r="L41" s="24" t="n"/>
      <c r="M41" s="10" t="inlineStr">
        <is>
          <t>Trao đổi nghiệp vụ Sơn Cảng, 10-11/10/2026</t>
        </is>
      </c>
      <c r="N41" s="27" t="inlineStr">
        <is>
          <t>Đủ rõ để đặc tả</t>
        </is>
      </c>
      <c r="O41" s="28" t="inlineStr">
        <is>
          <t>Có lựa chọn được người dùng đánh dấu đã chốt; giữ nguyên câu trả lời và ghi chú.</t>
        </is>
      </c>
    </row>
    <row r="42" ht="54.75" customHeight="1" s="81">
      <c r="A42" s="29" t="inlineStr">
        <is>
          <t>E16</t>
        </is>
      </c>
      <c r="B42" s="30" t="inlineStr">
        <is>
          <t>03. Cắm/rút điện</t>
        </is>
      </c>
      <c r="C42" s="43" t="inlineStr">
        <is>
          <t>P1</t>
        </is>
      </c>
      <c r="D42" s="14" t="inlineStr">
        <is>
          <t>CCKB có cần chọn người An ninh đã trực tiếp cắm/rút, dù người nhập giờ là CCKB không?</t>
        </is>
      </c>
      <c r="E42" s="14" t="inlineStr">
        <is>
          <t>A. Có, bắt buộc chọn; B. Ghi chú tự do; C. Không cần.</t>
        </is>
      </c>
      <c r="F42" s="22" t="inlineStr">
        <is>
          <t>B</t>
        </is>
      </c>
      <c r="G42" s="24" t="n"/>
      <c r="H42" s="25" t="inlineStr">
        <is>
          <t>Đã chốt</t>
        </is>
      </c>
      <c r="I42" s="14" t="inlineStr">
        <is>
          <t>Trưởng BP CCKB + An ninh</t>
        </is>
      </c>
      <c r="J42" s="24" t="n"/>
      <c r="K42" s="26" t="n"/>
      <c r="L42" s="24" t="n"/>
      <c r="M42" s="14" t="inlineStr">
        <is>
          <t>Trao đổi nghiệp vụ Sơn Cảng, 10-11/10/2026</t>
        </is>
      </c>
      <c r="N42" s="27" t="inlineStr">
        <is>
          <t>Đủ rõ để đặc tả</t>
        </is>
      </c>
      <c r="O42" s="28" t="inlineStr">
        <is>
          <t>Có lựa chọn được người dùng đánh dấu đã chốt; giữ nguyên câu trả lời và ghi chú.</t>
        </is>
      </c>
    </row>
    <row r="43" ht="64.5" customHeight="1" s="81">
      <c r="A43" s="18" t="inlineStr">
        <is>
          <t>T01</t>
        </is>
      </c>
      <c r="B43" s="19" t="inlineStr">
        <is>
          <t>04. Thanh toán</t>
        </is>
      </c>
      <c r="C43" s="20" t="inlineStr">
        <is>
          <t>P0</t>
        </is>
      </c>
      <c r="D43" s="10" t="inlineStr">
        <is>
          <t>Có cho thanh toán từng phần phí điện/lưu hoặc nộp trước khi container xuất không?</t>
        </is>
      </c>
      <c r="E43" s="10" t="inlineStr">
        <is>
          <t>A. Không, thanh toán đủ theo khoản; B. Có, cho thanh toán một phần; C. Chỉ theo phê duyệt.</t>
        </is>
      </c>
      <c r="F43" s="22" t="inlineStr">
        <is>
          <t>B</t>
        </is>
      </c>
      <c r="G43" s="25" t="inlineStr">
        <is>
          <t>Linh hoạt thu cả hoặc thu từng phần</t>
        </is>
      </c>
      <c r="H43" s="25" t="inlineStr">
        <is>
          <t>Đã chốt</t>
        </is>
      </c>
      <c r="I43" s="10" t="inlineStr">
        <is>
          <t>Trưởng BP CCKB</t>
        </is>
      </c>
      <c r="J43" s="24" t="n"/>
      <c r="K43" s="26" t="n"/>
      <c r="L43" s="24" t="n"/>
      <c r="M43" s="10" t="inlineStr">
        <is>
          <t>Trao đổi nghiệp vụ Sơn Cảng, 10-11/10/2026</t>
        </is>
      </c>
      <c r="N43" s="39" t="inlineStr">
        <is>
          <t>Cần làm rõ</t>
        </is>
      </c>
      <c r="O43" s="40" t="inlineStr">
        <is>
          <t>F=B chỉ cho trả một phần, G cho cả trả đủ và trả một phần; cần xác định dữ liệu phân bổ giao dịch.</t>
        </is>
      </c>
    </row>
    <row r="44" ht="54.75" customHeight="1" s="81">
      <c r="A44" s="29" t="inlineStr">
        <is>
          <t>T02</t>
        </is>
      </c>
      <c r="B44" s="30" t="inlineStr">
        <is>
          <t>04. Thanh toán</t>
        </is>
      </c>
      <c r="C44" s="31" t="inlineStr">
        <is>
          <t>P0</t>
        </is>
      </c>
      <c r="D44" s="14" t="inlineStr">
        <is>
          <t>Một lần thanh toán có thể kết hợp tiền mặt và chuyển khoản không?</t>
        </is>
      </c>
      <c r="E44" s="14" t="inlineStr">
        <is>
          <t>A. Có, ghi mỗi phương thức một phần; B. Không, một giao dịch một phương thức; C. Tùy khoản.</t>
        </is>
      </c>
      <c r="F44" s="22" t="inlineStr">
        <is>
          <t>A</t>
        </is>
      </c>
      <c r="G44" s="24" t="n"/>
      <c r="H44" s="25" t="inlineStr">
        <is>
          <t>Đã chốt</t>
        </is>
      </c>
      <c r="I44" s="14" t="inlineStr">
        <is>
          <t>Trưởng BP CCKB</t>
        </is>
      </c>
      <c r="J44" s="24" t="n"/>
      <c r="K44" s="26" t="n"/>
      <c r="L44" s="24" t="n"/>
      <c r="M44" s="14" t="inlineStr">
        <is>
          <t>Trao đổi nghiệp vụ Sơn Cảng, 10-11/10/2026</t>
        </is>
      </c>
      <c r="N44" s="27" t="inlineStr">
        <is>
          <t>Đủ rõ để đặc tả</t>
        </is>
      </c>
      <c r="O44" s="28" t="inlineStr">
        <is>
          <t>Có lựa chọn được người dùng đánh dấu đã chốt; giữ nguyên câu trả lời và ghi chú.</t>
        </is>
      </c>
    </row>
    <row r="45" ht="64.5" customHeight="1" s="81">
      <c r="A45" s="18" t="inlineStr">
        <is>
          <t>T03</t>
        </is>
      </c>
      <c r="B45" s="19" t="inlineStr">
        <is>
          <t>04. Thanh toán</t>
        </is>
      </c>
      <c r="C45" s="20" t="inlineStr">
        <is>
          <t>P0</t>
        </is>
      </c>
      <c r="D45" s="10" t="inlineStr">
        <is>
          <t>Xác nhận chuyển khoản dựa trên ảnh khách gửi hay bắt buộc kiểm tra tài khoản công ty thực nhận?</t>
        </is>
      </c>
      <c r="E45" s="10" t="inlineStr">
        <is>
          <t>A. Kiểm tra tiền về; B. Ảnh biên lai được chấp nhận; C. Theo ngưỡng tiền và quyền.</t>
        </is>
      </c>
      <c r="F45" s="22" t="inlineStr">
        <is>
          <t>A</t>
        </is>
      </c>
      <c r="G45" s="25" t="inlineStr">
        <is>
          <t>CCKB tự xác định tiền cắm còn Lưu đêm và vé vào thì an ninh</t>
        </is>
      </c>
      <c r="H45" s="25" t="inlineStr">
        <is>
          <t>Đã chốt</t>
        </is>
      </c>
      <c r="I45" s="10" t="inlineStr">
        <is>
          <t>Trưởng BP CCKB + Kế toán</t>
        </is>
      </c>
      <c r="J45" s="24" t="n"/>
      <c r="K45" s="26" t="n"/>
      <c r="L45" s="24" t="n"/>
      <c r="M45" s="10" t="inlineStr">
        <is>
          <t>Trao đổi nghiệp vụ Sơn Cảng, 10-11/10/2026</t>
        </is>
      </c>
      <c r="N45" s="34" t="inlineStr">
        <is>
          <t>Cần làm rõ</t>
        </is>
      </c>
      <c r="O45" s="35" t="inlineStr">
        <is>
          <t>G: CCKB kiểm tra tiền cắm, AN NINH nhận lưu đêm và vé; mâu thuẫn phân công CCKB thu phí lưu đã nói trước.</t>
        </is>
      </c>
    </row>
    <row r="46" ht="64.5" customHeight="1" s="81">
      <c r="A46" s="29" t="inlineStr">
        <is>
          <t>T04</t>
        </is>
      </c>
      <c r="B46" s="30" t="inlineStr">
        <is>
          <t>04. Thanh toán</t>
        </is>
      </c>
      <c r="C46" s="31" t="inlineStr">
        <is>
          <t>P0</t>
        </is>
      </c>
      <c r="D46" s="14" t="inlineStr">
        <is>
          <t>Ảnh bằng chứng thu tiền cần bắt buộc với giao dịch nào (vé, lưu cont, điện, mất vé)?</t>
        </is>
      </c>
      <c r="E46" s="14" t="inlineStr">
        <is>
          <t>A. Mọi chuyển khoản; B. Mọi giao dịch; C. Chỉ theo quy định từng loại.</t>
        </is>
      </c>
      <c r="F46" s="22" t="inlineStr">
        <is>
          <t>Khác</t>
        </is>
      </c>
      <c r="G46" s="25" t="inlineStr">
        <is>
          <t>Xây dưng nhưng chưa ap dụng</t>
        </is>
      </c>
      <c r="H46" s="25" t="inlineStr">
        <is>
          <t>Đã chốt</t>
        </is>
      </c>
      <c r="I46" s="14" t="inlineStr">
        <is>
          <t>Trưởng BP An ninh + CCKB</t>
        </is>
      </c>
      <c r="J46" s="24" t="n"/>
      <c r="K46" s="26" t="n"/>
      <c r="L46" s="24" t="n"/>
      <c r="M46" s="14" t="inlineStr">
        <is>
          <t>Trao đổi nghiệp vụ Sơn Cảng, 10-11/10/2026</t>
        </is>
      </c>
      <c r="N46" s="39" t="inlineStr">
        <is>
          <t>Cần làm rõ</t>
        </is>
      </c>
      <c r="O46" s="40" t="inlineStr">
        <is>
          <t>G: “Xây dựng nhưng chưa áp dụng”; cần tách tính năng ảnh chứng từ triển khai V1 hay để tùy chọn.</t>
        </is>
      </c>
    </row>
    <row r="47" ht="54.75" customHeight="1" s="81">
      <c r="A47" s="18" t="inlineStr">
        <is>
          <t>T05</t>
        </is>
      </c>
      <c r="B47" s="19" t="inlineStr">
        <is>
          <t>04. Thanh toán</t>
        </is>
      </c>
      <c r="C47" s="44" t="inlineStr">
        <is>
          <t>P1</t>
        </is>
      </c>
      <c r="D47" s="10" t="inlineStr">
        <is>
          <t>Khoản phạt mất vé được thanh toán và đối soát như một dòng phí riêng hay gộp cùng tiền vé ban đầu?</t>
        </is>
      </c>
      <c r="E47" s="10" t="inlineStr">
        <is>
          <t>A. Tách khoản phí riêng; B. Gộp vào vé; C. Tùy thời điểm phát hiện.</t>
        </is>
      </c>
      <c r="F47" s="22" t="inlineStr">
        <is>
          <t>A</t>
        </is>
      </c>
      <c r="G47" s="24" t="n"/>
      <c r="H47" s="25" t="inlineStr">
        <is>
          <t>Đã chốt</t>
        </is>
      </c>
      <c r="I47" s="10" t="inlineStr">
        <is>
          <t>Trưởng BP An ninh + CCKB</t>
        </is>
      </c>
      <c r="J47" s="24" t="n"/>
      <c r="K47" s="26" t="n"/>
      <c r="L47" s="24" t="n"/>
      <c r="M47" s="10" t="inlineStr">
        <is>
          <t>Trao đổi nghiệp vụ Sơn Cảng, 10-11/10/2026</t>
        </is>
      </c>
      <c r="N47" s="27" t="inlineStr">
        <is>
          <t>Đủ rõ để đặc tả</t>
        </is>
      </c>
      <c r="O47" s="28" t="inlineStr">
        <is>
          <t>Có lựa chọn được người dùng đánh dấu đã chốt; giữ nguyên câu trả lời và ghi chú.</t>
        </is>
      </c>
    </row>
    <row r="48" ht="64.5" customHeight="1" s="81">
      <c r="A48" s="29" t="inlineStr">
        <is>
          <t>T06</t>
        </is>
      </c>
      <c r="B48" s="30" t="inlineStr">
        <is>
          <t>04. Thanh toán</t>
        </is>
      </c>
      <c r="C48" s="31" t="inlineStr">
        <is>
          <t>P0</t>
        </is>
      </c>
      <c r="D48" s="14" t="inlineStr">
        <is>
          <t>Nếu đã thu thiếu hoặc thừa tiền so với hệ thống: cách điều chỉnh/hoàn trả, ai duyệt?</t>
        </is>
      </c>
      <c r="E48" s="14" t="inlineStr">
        <is>
          <t>A. NV lập phiếu, TBP duyệt; B. Chỉ Quản trị; C. Quy trình khác.</t>
        </is>
      </c>
      <c r="F48" s="22" t="inlineStr">
        <is>
          <t>Khác</t>
        </is>
      </c>
      <c r="G48" s="25" t="inlineStr">
        <is>
          <t>Xây dưng nhưng chưa ap dụng</t>
        </is>
      </c>
      <c r="H48" s="25" t="inlineStr">
        <is>
          <t>Đã chốt</t>
        </is>
      </c>
      <c r="I48" s="14" t="inlineStr">
        <is>
          <t>Trưởng BP CCKB</t>
        </is>
      </c>
      <c r="J48" s="24" t="n"/>
      <c r="K48" s="26" t="n"/>
      <c r="L48" s="24" t="n"/>
      <c r="M48" s="14" t="inlineStr">
        <is>
          <t>Trao đổi nghiệp vụ Sơn Cảng, 10-11/10/2026</t>
        </is>
      </c>
      <c r="N48" s="39" t="inlineStr">
        <is>
          <t>Cần làm rõ</t>
        </is>
      </c>
      <c r="O48" s="40" t="inlineStr">
        <is>
          <t>G: xây dựng nhưng chưa áp dụng; hệ thống thu/hoàn tiền cần quy định tối thiểu để không mất dấu chênh lệch.</t>
        </is>
      </c>
    </row>
    <row r="49" ht="64.5" customHeight="1" s="81">
      <c r="A49" s="18" t="inlineStr">
        <is>
          <t>T07</t>
        </is>
      </c>
      <c r="B49" s="19" t="inlineStr">
        <is>
          <t>04. Thanh toán</t>
        </is>
      </c>
      <c r="C49" s="20" t="inlineStr">
        <is>
          <t>P0</t>
        </is>
      </c>
      <c r="D49" s="10" t="inlineStr">
        <is>
          <t>Có được miễn/giảm giá vé, phí lưu, tiền điện? Ai là người có quyền duyệt?</t>
        </is>
      </c>
      <c r="E49" s="10" t="inlineStr">
        <is>
          <t>A. TBP theo bộ phận; B. Quản trị; C. Ban lãnh đạo; tùy loại phí.</t>
        </is>
      </c>
      <c r="F49" s="22" t="inlineStr">
        <is>
          <t>Khác</t>
        </is>
      </c>
      <c r="G49" s="25" t="inlineStr">
        <is>
          <t>Xây dưng nhưng chưa ap dụng</t>
        </is>
      </c>
      <c r="H49" s="25" t="inlineStr">
        <is>
          <t>Đã chốt</t>
        </is>
      </c>
      <c r="I49" s="10" t="inlineStr">
        <is>
          <t>Ban quản lý Sơn Cảng</t>
        </is>
      </c>
      <c r="J49" s="24" t="n"/>
      <c r="K49" s="26" t="n"/>
      <c r="L49" s="24" t="n"/>
      <c r="M49" s="10" t="inlineStr">
        <is>
          <t>Trao đổi nghiệp vụ Sơn Cảng, 10-11/10/2026</t>
        </is>
      </c>
      <c r="N49" s="39" t="inlineStr">
        <is>
          <t>Cần làm rõ</t>
        </is>
      </c>
      <c r="O49" s="40" t="inlineStr">
        <is>
          <t>G: xây dựng nhưng chưa áp dụng; xác định có cho phát sinh ngoại lệ ngay V1 không.</t>
        </is>
      </c>
    </row>
    <row r="50" ht="64.5" customHeight="1" s="81">
      <c r="A50" s="29" t="inlineStr">
        <is>
          <t>T08</t>
        </is>
      </c>
      <c r="B50" s="30" t="inlineStr">
        <is>
          <t>04. Thanh toán</t>
        </is>
      </c>
      <c r="C50" s="31" t="inlineStr">
        <is>
          <t>P0</t>
        </is>
      </c>
      <c r="D50" s="14" t="inlineStr">
        <is>
          <t>Có cho xuất container khi còn nợ phí hoặc đã gửi chứng từ nhưng chưa xác minh nhận tiền không?</t>
        </is>
      </c>
      <c r="E50" s="14" t="inlineStr">
        <is>
          <t>A. Không; B. Cho phép nếu TBP phê duyệt; C. Công nợ khách hàng theo danh sách.</t>
        </is>
      </c>
      <c r="F50" s="22" t="inlineStr">
        <is>
          <t>Khác</t>
        </is>
      </c>
      <c r="G50" s="25" t="inlineStr">
        <is>
          <t>CCKB sẽ xác nhận cho ra hay k và có thể báo cho ra nhưng tiền chưa thusex hiện cảnh báo, 1 là tự động nếu cckb đã điền đủ thanh toán và có cái xác nhận cho xe ra bằng tay mà tiền chưa ghi nhận</t>
        </is>
      </c>
      <c r="H50" s="25" t="inlineStr">
        <is>
          <t>Đã chốt</t>
        </is>
      </c>
      <c r="I50" s="14" t="inlineStr">
        <is>
          <t>Trưởng BP CCKB</t>
        </is>
      </c>
      <c r="J50" s="24" t="n"/>
      <c r="K50" s="26" t="n"/>
      <c r="L50" s="24" t="n"/>
      <c r="M50" s="14" t="inlineStr">
        <is>
          <t>Trao đổi nghiệp vụ Sơn Cảng, 10-11/10/2026</t>
        </is>
      </c>
      <c r="N50" s="34" t="inlineStr">
        <is>
          <t>Cần làm rõ</t>
        </is>
      </c>
      <c r="O50" s="35" t="inlineStr">
        <is>
          <t>Cho CCKB duyệt xuất khi chưa thu tiền bằng tay và cảnh báo; cần vai trò, lý do và xử lý khoản nợ sau ra.</t>
        </is>
      </c>
    </row>
    <row r="51" ht="64.5" customHeight="1" s="81">
      <c r="A51" s="18" t="inlineStr">
        <is>
          <t>T09</t>
        </is>
      </c>
      <c r="B51" s="19" t="inlineStr">
        <is>
          <t>04. Thanh toán</t>
        </is>
      </c>
      <c r="C51" s="20" t="inlineStr">
        <is>
          <t>P0</t>
        </is>
      </c>
      <c r="D51" s="10" t="inlineStr">
        <is>
          <t>Tại cổng ra, trạng thái tài chính hợp lệ có thời hạn bao lâu trước khi phải tính lại phí lưu?</t>
        </is>
      </c>
      <c r="E51" s="10" t="inlineStr">
        <is>
          <t>A. Luôn tính lại lúc xe/cont thực ra; B. CCKB xác nhận hiệu lực n phút; C. Chốt theo giờ duyệt.</t>
        </is>
      </c>
      <c r="F51" s="22" t="inlineStr">
        <is>
          <t>A</t>
        </is>
      </c>
      <c r="G51" s="25" t="inlineStr">
        <is>
          <t>Phí lưu chỉ có AN ninh tính tại lúc ra</t>
        </is>
      </c>
      <c r="H51" s="25" t="inlineStr">
        <is>
          <t>Đã chốt</t>
        </is>
      </c>
      <c r="I51" s="10" t="inlineStr">
        <is>
          <t>Trưởng BP CCKB + An ninh</t>
        </is>
      </c>
      <c r="J51" s="24" t="n"/>
      <c r="K51" s="26" t="n"/>
      <c r="L51" s="24" t="n"/>
      <c r="M51" s="10" t="inlineStr">
        <is>
          <t>Trao đổi nghiệp vụ Sơn Cảng, 10-11/10/2026</t>
        </is>
      </c>
      <c r="N51" s="34" t="inlineStr">
        <is>
          <t>Cần làm rõ</t>
        </is>
      </c>
      <c r="O51" s="35" t="inlineStr">
        <is>
          <t>G: An ninh tính phí lưu khi ra, trong khi phân công CCKB tính/thu phí lưu. Đồng thời mâu thuẫn L04.</t>
        </is>
      </c>
    </row>
    <row r="52" ht="64.5" customHeight="1" s="81">
      <c r="A52" s="29" t="inlineStr">
        <is>
          <t>T10</t>
        </is>
      </c>
      <c r="B52" s="30" t="inlineStr">
        <is>
          <t>04. Thanh toán</t>
        </is>
      </c>
      <c r="C52" s="43" t="inlineStr">
        <is>
          <t>P1</t>
        </is>
      </c>
      <c r="D52" s="14" t="inlineStr">
        <is>
          <t>Khi xe ra không kéo container, An ninh có cần CCKB xác nhận tài chính riêng cho LƯỢT XE không?</t>
        </is>
      </c>
      <c r="E52" s="14" t="inlineStr">
        <is>
          <t>A. Chỉ kiểm tra vé đã thu; B. CCKB duyệt tất cả lượt ra; C. Chỉ duyệt xe có cont.</t>
        </is>
      </c>
      <c r="F52" s="22" t="inlineStr">
        <is>
          <t>A</t>
        </is>
      </c>
      <c r="G52" s="25" t="inlineStr">
        <is>
          <t>K cần xác nhận nếu k có cont ra vì CCKB chỉ quan tâm cont chứ xe k quan tâm</t>
        </is>
      </c>
      <c r="H52" s="25" t="inlineStr">
        <is>
          <t>Đã chốt</t>
        </is>
      </c>
      <c r="I52" s="14" t="inlineStr">
        <is>
          <t>Trưởng BP CCKB + An ninh</t>
        </is>
      </c>
      <c r="J52" s="24" t="n"/>
      <c r="K52" s="26" t="n"/>
      <c r="L52" s="24" t="n"/>
      <c r="M52" s="14" t="inlineStr">
        <is>
          <t>Trao đổi nghiệp vụ Sơn Cảng, 10-11/10/2026</t>
        </is>
      </c>
      <c r="N52" s="27" t="inlineStr">
        <is>
          <t>Đủ rõ để đặc tả</t>
        </is>
      </c>
      <c r="O52" s="28" t="inlineStr">
        <is>
          <t>Có lựa chọn được người dùng đánh dấu đã chốt; giữ nguyên câu trả lời và ghi chú.</t>
        </is>
      </c>
    </row>
    <row r="53" ht="60" customHeight="1" s="81">
      <c r="A53" s="18" t="inlineStr">
        <is>
          <t>T11</t>
        </is>
      </c>
      <c r="B53" s="19" t="inlineStr">
        <is>
          <t>04. Thanh toán</t>
        </is>
      </c>
      <c r="C53" s="44" t="inlineStr">
        <is>
          <t>P1</t>
        </is>
      </c>
      <c r="D53" s="10" t="inlineStr">
        <is>
          <t>CCKB có được thu hộ nhiều container/xe trong một lần chuyển khoản và phân bổ vào nhiều khoản phí không?</t>
        </is>
      </c>
      <c r="E53" s="10" t="inlineStr">
        <is>
          <t>A. Có, phân bổ khoản; B. Không, mỗi lần cho một đối tượng; C. Có điều kiện.</t>
        </is>
      </c>
      <c r="F53" s="22" t="inlineStr">
        <is>
          <t>A</t>
        </is>
      </c>
      <c r="G53" s="25" t="inlineStr">
        <is>
          <t>Linh hoạt như nào dễ cho ng dùng thì làm</t>
        </is>
      </c>
      <c r="H53" s="25" t="inlineStr">
        <is>
          <t>Đã chốt</t>
        </is>
      </c>
      <c r="I53" s="10" t="inlineStr">
        <is>
          <t>Trưởng BP CCKB</t>
        </is>
      </c>
      <c r="J53" s="24" t="n"/>
      <c r="K53" s="26" t="n"/>
      <c r="L53" s="24" t="n"/>
      <c r="M53" s="10" t="inlineStr">
        <is>
          <t>Trao đổi nghiệp vụ Sơn Cảng, 10-11/10/2026</t>
        </is>
      </c>
      <c r="N53" s="27" t="inlineStr">
        <is>
          <t>Đủ rõ để đặc tả</t>
        </is>
      </c>
      <c r="O53" s="28" t="inlineStr">
        <is>
          <t>Có lựa chọn được người dùng đánh dấu đã chốt; giữ nguyên câu trả lời và ghi chú.</t>
        </is>
      </c>
    </row>
    <row r="54" ht="64.5" customHeight="1" s="81">
      <c r="A54" s="29" t="inlineStr">
        <is>
          <t>T12</t>
        </is>
      </c>
      <c r="B54" s="30" t="inlineStr">
        <is>
          <t>04. Thanh toán</t>
        </is>
      </c>
      <c r="C54" s="43" t="inlineStr">
        <is>
          <t>P1</t>
        </is>
      </c>
      <c r="D54" s="14" t="inlineStr">
        <is>
          <t>Khi có khách hàng thường xuyên: có quản lý hồ sơ khách, mã số thuế, công nợ/hóa đơn không?</t>
        </is>
      </c>
      <c r="E54" s="14" t="inlineStr">
        <is>
          <t>A. V1 chỉ tên/số điện thoại; B. Quản lý danh mục khách hàng; C. Thêm công nợ/hóa đơn.</t>
        </is>
      </c>
      <c r="F54" s="22" t="inlineStr">
        <is>
          <t>Không áp dụng</t>
        </is>
      </c>
      <c r="G54" s="25" t="inlineStr">
        <is>
          <t>Sau này có nhé, vì bên Kế toán cũng muốn joint vào hệ thông này ví dụ ở trên vé vào hienejt ại an ninh điền thông tin lái xe hoặc thông tin công ty để xuất hóa đơn, có cái xuất có cái k xuất nhé, xong kế toán cũng cần tổng hợp và điền báo cáo nữa.) Các thông tin cần điền(Họ tên/Tên công ty, Mã só thuế/số CCCD, thương trú, có thể sđt n, e mail nữa</t>
        </is>
      </c>
      <c r="H54" s="25" t="inlineStr">
        <is>
          <t>Đã chốt</t>
        </is>
      </c>
      <c r="I54" s="14" t="inlineStr">
        <is>
          <t>Trưởng BP CCKB + Kế toán</t>
        </is>
      </c>
      <c r="J54" s="24" t="n"/>
      <c r="K54" s="26" t="n"/>
      <c r="L54" s="24" t="n"/>
      <c r="M54" s="14" t="inlineStr">
        <is>
          <t>Trao đổi nghiệp vụ Sơn Cảng, 10-11/10/2026</t>
        </is>
      </c>
      <c r="N54" s="34" t="inlineStr">
        <is>
          <t>Cần làm rõ</t>
        </is>
      </c>
      <c r="O54" s="35" t="inlineStr">
        <is>
          <t>Chọn Không áp dụng nhưng G yêu cầu nhập thông tin lái xe/công ty để phục vụ hóa đơn; Kế toán phát triển sau. Cần tách V1/V2.</t>
        </is>
      </c>
    </row>
    <row r="55" ht="64.5" customHeight="1" s="81">
      <c r="A55" s="18" t="inlineStr">
        <is>
          <t>T13</t>
        </is>
      </c>
      <c r="B55" s="19" t="inlineStr">
        <is>
          <t>04. Thanh toán</t>
        </is>
      </c>
      <c r="C55" s="44" t="inlineStr">
        <is>
          <t>P1</t>
        </is>
      </c>
      <c r="D55" s="10" t="inlineStr">
        <is>
          <t>Có cho hủy giao dịch thu tiền do nhập nhầm? Yêu cầu lý do/phê duyệt và xử lý dòng đối ứng?</t>
        </is>
      </c>
      <c r="E55" s="10" t="inlineStr">
        <is>
          <t>A. Chỉ tạo giao dịch đảo; B. Cho hủy với duyệt; C. Khác.</t>
        </is>
      </c>
      <c r="F55" s="22" t="inlineStr">
        <is>
          <t>B</t>
        </is>
      </c>
      <c r="G55" s="25" t="inlineStr">
        <is>
          <t>Linh hoạt như nào dễ cho ng dùng thì làm</t>
        </is>
      </c>
      <c r="H55" s="25" t="inlineStr">
        <is>
          <t>Đã chốt</t>
        </is>
      </c>
      <c r="I55" s="10" t="inlineStr">
        <is>
          <t>Trưởng BP CCKB</t>
        </is>
      </c>
      <c r="J55" s="24" t="n"/>
      <c r="K55" s="26" t="n"/>
      <c r="L55" s="24" t="n"/>
      <c r="M55" s="10" t="inlineStr">
        <is>
          <t>Trao đổi nghiệp vụ Sơn Cảng, 10-11/10/2026</t>
        </is>
      </c>
      <c r="N55" s="27" t="inlineStr">
        <is>
          <t>Đủ rõ để đặc tả</t>
        </is>
      </c>
      <c r="O55" s="28" t="inlineStr">
        <is>
          <t>Có lựa chọn được người dùng đánh dấu đã chốt; giữ nguyên câu trả lời và ghi chú.</t>
        </is>
      </c>
    </row>
    <row r="56" ht="64.5" customHeight="1" s="81">
      <c r="A56" s="29" t="inlineStr">
        <is>
          <t>T14</t>
        </is>
      </c>
      <c r="B56" s="30" t="inlineStr">
        <is>
          <t>04. Thanh toán</t>
        </is>
      </c>
      <c r="C56" s="43" t="inlineStr">
        <is>
          <t>P1</t>
        </is>
      </c>
      <c r="D56" s="14" t="inlineStr">
        <is>
          <t>Doanh thu vé An ninh thu và doanh thu phí CCKB thu được đối soát cuối ca như thế nào?</t>
        </is>
      </c>
      <c r="E56" s="14" t="inlineStr">
        <is>
          <t>A. Theo cá nhân/ca; B. Theo bộ phận/ngày; C. Hai cấp đối soát; ghi quy định.</t>
        </is>
      </c>
      <c r="F56" s="22" t="inlineStr">
        <is>
          <t>Khác</t>
        </is>
      </c>
      <c r="G56" s="25" t="inlineStr">
        <is>
          <t>theo ca nhé, ca lammf việc của an ninh hiện tại là 6H-18H nhưng chốt doanh thu có thẻ là 16H và 8h30 9H kiểu vậy</t>
        </is>
      </c>
      <c r="H56" s="25" t="inlineStr">
        <is>
          <t>Đã chốt</t>
        </is>
      </c>
      <c r="I56" s="14" t="inlineStr">
        <is>
          <t>Trưởng BP An ninh + CCKB + Kế toán</t>
        </is>
      </c>
      <c r="J56" s="24" t="n"/>
      <c r="K56" s="26" t="n"/>
      <c r="L56" s="24" t="n"/>
      <c r="M56" s="14" t="inlineStr">
        <is>
          <t>Trao đổi nghiệp vụ Sơn Cảng, 10-11/10/2026</t>
        </is>
      </c>
      <c r="N56" s="39" t="inlineStr">
        <is>
          <t>Cần làm rõ</t>
        </is>
      </c>
      <c r="O56" s="40" t="inlineStr">
        <is>
          <t>Chốt doanh thu không trùng giờ ca 06–18, ví dụ 16:00 hoặc 08:30–09:00; cần cấu hình kỳ chốt và người chịu trách nhiệm.</t>
        </is>
      </c>
    </row>
    <row r="57" ht="60" customHeight="1" s="81">
      <c r="A57" s="18" t="inlineStr">
        <is>
          <t>T15</t>
        </is>
      </c>
      <c r="B57" s="19" t="inlineStr">
        <is>
          <t>04. Thanh toán</t>
        </is>
      </c>
      <c r="C57" s="44" t="inlineStr">
        <is>
          <t>P1</t>
        </is>
      </c>
      <c r="D57" s="10" t="inlineStr">
        <is>
          <t>Sau khi CCKB đã cấp đủ điều kiện thanh toán, An ninh phát hiện sai số cont/biển số: có quyền hủy xác nhận và gửi duyệt lại không?</t>
        </is>
      </c>
      <c r="E57" s="10" t="inlineStr">
        <is>
          <t>A. Tự hủy và yêu cầu kiểm tra; B. Chỉ CCKB thu hồi; C. TBP duyệt.</t>
        </is>
      </c>
      <c r="F57" s="22" t="inlineStr">
        <is>
          <t>Không áp dụng</t>
        </is>
      </c>
      <c r="G57" s="24" t="n"/>
      <c r="H57" s="25" t="inlineStr">
        <is>
          <t>Đã chốt</t>
        </is>
      </c>
      <c r="I57" s="10" t="inlineStr">
        <is>
          <t>Trưởng BP An ninh + CCKB</t>
        </is>
      </c>
      <c r="J57" s="24" t="n"/>
      <c r="K57" s="26" t="n"/>
      <c r="L57" s="24" t="n"/>
      <c r="M57" s="10" t="inlineStr">
        <is>
          <t>Trao đổi nghiệp vụ Sơn Cảng, 10-11/10/2026</t>
        </is>
      </c>
      <c r="N57" s="34" t="inlineStr">
        <is>
          <t>Cần làm rõ</t>
        </is>
      </c>
      <c r="O57" s="35" t="inlineStr">
        <is>
          <t>F=Không áp dụng việc thu hồi duyệt khi phát hiện sai cont; SC08 cần cơ chế xử lý khi sai cont sau duyệt.</t>
        </is>
      </c>
    </row>
    <row r="58" ht="60" customHeight="1" s="81">
      <c r="A58" s="29" t="inlineStr">
        <is>
          <t>P01</t>
        </is>
      </c>
      <c r="B58" s="30" t="inlineStr">
        <is>
          <t>05. Phân quyền</t>
        </is>
      </c>
      <c r="C58" s="31" t="inlineStr">
        <is>
          <t>P0</t>
        </is>
      </c>
      <c r="D58" s="14" t="inlineStr">
        <is>
          <t>Các vai trò chính xác cần tạo là 6 vai trò NV/TBP của 3 bộ phận + Quản trị, hay bổ sung Nhà cân/Kế toán?</t>
        </is>
      </c>
      <c r="E58" s="14" t="inlineStr">
        <is>
          <t>A. 7 vai trò; B. Thêm Nhà cân; C. Thêm Kế toán; ghi rõ.</t>
        </is>
      </c>
      <c r="F58" s="22" t="inlineStr">
        <is>
          <t>C</t>
        </is>
      </c>
      <c r="G58" s="24" t="n"/>
      <c r="H58" s="25" t="inlineStr">
        <is>
          <t>Đã chốt</t>
        </is>
      </c>
      <c r="I58" s="14" t="inlineStr">
        <is>
          <t>Quản trị + Các TBP</t>
        </is>
      </c>
      <c r="J58" s="24" t="n"/>
      <c r="K58" s="26" t="n"/>
      <c r="L58" s="24" t="n"/>
      <c r="M58" s="14" t="inlineStr">
        <is>
          <t>Trao đổi nghiệp vụ Sơn Cảng, 10-11/10/2026</t>
        </is>
      </c>
      <c r="N58" s="39" t="inlineStr">
        <is>
          <t>Cần làm rõ</t>
        </is>
      </c>
      <c r="O58" s="40" t="inlineStr">
        <is>
          <t>F=C đề xuất thêm Kế toán, nhưng các tính năng Kế toán ghi giai đoạn sau. Cần xác định vai trò kế toán có ở V1 không.</t>
        </is>
      </c>
    </row>
    <row r="59" ht="64.5" customHeight="1" s="81">
      <c r="A59" s="18" t="inlineStr">
        <is>
          <t>P02</t>
        </is>
      </c>
      <c r="B59" s="19" t="inlineStr">
        <is>
          <t>05. Phân quyền</t>
        </is>
      </c>
      <c r="C59" s="20" t="inlineStr">
        <is>
          <t>P0</t>
        </is>
      </c>
      <c r="D59" s="10" t="inlineStr">
        <is>
          <t>TBP An ninh có được sửa GIO_VAO/GIO_RA và xuất xe thay NV An ninh không?</t>
        </is>
      </c>
      <c r="E59" s="10" t="inlineStr">
        <is>
          <t>A. Có; B. Chỉ duyệt sửa, không thực hiện; C. Tùy chức năng.</t>
        </is>
      </c>
      <c r="F59" s="22" t="inlineStr">
        <is>
          <t>A</t>
        </is>
      </c>
      <c r="G59" s="25" t="inlineStr">
        <is>
          <t>ghi lại audit</t>
        </is>
      </c>
      <c r="H59" s="25" t="inlineStr">
        <is>
          <t>Đã chốt</t>
        </is>
      </c>
      <c r="I59" s="10" t="inlineStr">
        <is>
          <t>Trưởng BP An ninh</t>
        </is>
      </c>
      <c r="J59" s="24" t="n"/>
      <c r="K59" s="26" t="n"/>
      <c r="L59" s="24" t="n"/>
      <c r="M59" s="10" t="inlineStr">
        <is>
          <t>Trao đổi nghiệp vụ Sơn Cảng, 10-11/10/2026</t>
        </is>
      </c>
      <c r="N59" s="27" t="inlineStr">
        <is>
          <t>Đủ rõ để đặc tả</t>
        </is>
      </c>
      <c r="O59" s="28" t="inlineStr">
        <is>
          <t>Có lựa chọn được người dùng đánh dấu đã chốt; giữ nguyên câu trả lời và ghi chú.</t>
        </is>
      </c>
    </row>
    <row r="60" ht="64.5" customHeight="1" s="81">
      <c r="A60" s="29" t="inlineStr">
        <is>
          <t>P03</t>
        </is>
      </c>
      <c r="B60" s="30" t="inlineStr">
        <is>
          <t>05. Phân quyền</t>
        </is>
      </c>
      <c r="C60" s="31" t="inlineStr">
        <is>
          <t>P0</t>
        </is>
      </c>
      <c r="D60" s="14" t="inlineStr">
        <is>
          <t>TBP CCKB có quyền duyệt điều chỉnh sau thu, duyệt miễn giảm và duyệt xuất ngoại lệ đến hạn mức nào?</t>
        </is>
      </c>
      <c r="E60" s="14" t="inlineStr">
        <is>
          <t>A. Toàn bộ; B. Giới hạn theo số tiền; C. Phải chuyển Quản trị/BLĐ.</t>
        </is>
      </c>
      <c r="F60" s="22" t="inlineStr">
        <is>
          <t>A</t>
        </is>
      </c>
      <c r="G60" s="25" t="inlineStr">
        <is>
          <t>ghi lại audit</t>
        </is>
      </c>
      <c r="H60" s="25" t="inlineStr">
        <is>
          <t>Đã chốt</t>
        </is>
      </c>
      <c r="I60" s="14" t="inlineStr">
        <is>
          <t>Trưởng BP CCKB</t>
        </is>
      </c>
      <c r="J60" s="24" t="n"/>
      <c r="K60" s="26" t="n"/>
      <c r="L60" s="24" t="n"/>
      <c r="M60" s="14" t="inlineStr">
        <is>
          <t>Trao đổi nghiệp vụ Sơn Cảng, 10-11/10/2026</t>
        </is>
      </c>
      <c r="N60" s="27" t="inlineStr">
        <is>
          <t>Đủ rõ để đặc tả</t>
        </is>
      </c>
      <c r="O60" s="28" t="inlineStr">
        <is>
          <t>Có lựa chọn được người dùng đánh dấu đã chốt; giữ nguyên câu trả lời và ghi chú.</t>
        </is>
      </c>
    </row>
    <row r="61" ht="64.5" customHeight="1" s="81">
      <c r="A61" s="18" t="inlineStr">
        <is>
          <t>P04</t>
        </is>
      </c>
      <c r="B61" s="19" t="inlineStr">
        <is>
          <t>05. Phân quyền</t>
        </is>
      </c>
      <c r="C61" s="44" t="inlineStr">
        <is>
          <t>P1</t>
        </is>
      </c>
      <c r="D61" s="10" t="inlineStr">
        <is>
          <t>NV CCKB có được sửa giờ điện trước thanh toán không giới hạn hay chỉ trong ca/24 giờ?</t>
        </is>
      </c>
      <c r="E61" s="10" t="inlineStr">
        <is>
          <t>A. Không giới hạn trước thu; B. Trong ca; C. Theo thời hạn khác.</t>
        </is>
      </c>
      <c r="F61" s="22" t="inlineStr">
        <is>
          <t>A</t>
        </is>
      </c>
      <c r="G61" s="25" t="inlineStr">
        <is>
          <t>được</t>
        </is>
      </c>
      <c r="H61" s="25" t="inlineStr">
        <is>
          <t>Đã chốt</t>
        </is>
      </c>
      <c r="I61" s="10" t="inlineStr">
        <is>
          <t>Trưởng BP CCKB</t>
        </is>
      </c>
      <c r="J61" s="24" t="n"/>
      <c r="K61" s="26" t="n"/>
      <c r="L61" s="24" t="n"/>
      <c r="M61" s="10" t="inlineStr">
        <is>
          <t>Trao đổi nghiệp vụ Sơn Cảng, 10-11/10/2026</t>
        </is>
      </c>
      <c r="N61" s="27" t="inlineStr">
        <is>
          <t>Đủ rõ để đặc tả</t>
        </is>
      </c>
      <c r="O61" s="28" t="inlineStr">
        <is>
          <t>Có lựa chọn được người dùng đánh dấu đã chốt; giữ nguyên câu trả lời và ghi chú.</t>
        </is>
      </c>
    </row>
    <row r="62" ht="54.75" customHeight="1" s="81">
      <c r="A62" s="29" t="inlineStr">
        <is>
          <t>P05</t>
        </is>
      </c>
      <c r="B62" s="30" t="inlineStr">
        <is>
          <t>05. Phân quyền</t>
        </is>
      </c>
      <c r="C62" s="43" t="inlineStr">
        <is>
          <t>P1</t>
        </is>
      </c>
      <c r="D62" s="14" t="inlineStr">
        <is>
          <t>TBP Điều phối có được sửa HÀNG/RỖNG sau khi container xuất bãi không?</t>
        </is>
      </c>
      <c r="E62" s="14" t="inlineStr">
        <is>
          <t>A. Có, kèm lý do; B. Chỉ trước khi xuất; C. Quản trị sửa sau xuất.</t>
        </is>
      </c>
      <c r="F62" s="22" t="inlineStr">
        <is>
          <t>A</t>
        </is>
      </c>
      <c r="G62" s="24" t="n"/>
      <c r="H62" s="25" t="inlineStr">
        <is>
          <t>Đã chốt</t>
        </is>
      </c>
      <c r="I62" s="14" t="inlineStr">
        <is>
          <t>Trưởng BP Điều phối</t>
        </is>
      </c>
      <c r="J62" s="24" t="n"/>
      <c r="K62" s="26" t="n"/>
      <c r="L62" s="24" t="n"/>
      <c r="M62" s="14" t="inlineStr">
        <is>
          <t>Trao đổi nghiệp vụ Sơn Cảng, 10-11/10/2026</t>
        </is>
      </c>
      <c r="N62" s="27" t="inlineStr">
        <is>
          <t>Đủ rõ để đặc tả</t>
        </is>
      </c>
      <c r="O62" s="28" t="inlineStr">
        <is>
          <t>Có lựa chọn được người dùng đánh dấu đã chốt; giữ nguyên câu trả lời và ghi chú.</t>
        </is>
      </c>
    </row>
    <row r="63" ht="54.75" customHeight="1" s="81">
      <c r="A63" s="18" t="inlineStr">
        <is>
          <t>P06</t>
        </is>
      </c>
      <c r="B63" s="19" t="inlineStr">
        <is>
          <t>05. Phân quyền</t>
        </is>
      </c>
      <c r="C63" s="44" t="inlineStr">
        <is>
          <t>P1</t>
        </is>
      </c>
      <c r="D63" s="10" t="inlineStr">
        <is>
          <t>Ai có quyền mở khóa/xử lý dữ liệu đã chốt sau ra cổng mà không làm thay đổi lịch sử thu tiền?</t>
        </is>
      </c>
      <c r="E63" s="10" t="inlineStr">
        <is>
          <t>A. Quản trị; B. TBP liên quan + xác nhận; C. Quy trình 2 cấp.</t>
        </is>
      </c>
      <c r="F63" s="22" t="inlineStr">
        <is>
          <t>B</t>
        </is>
      </c>
      <c r="G63" s="24" t="n"/>
      <c r="H63" s="25" t="inlineStr">
        <is>
          <t>Đã chốt</t>
        </is>
      </c>
      <c r="I63" s="10" t="inlineStr">
        <is>
          <t>Quản trị + Các TBP</t>
        </is>
      </c>
      <c r="J63" s="24" t="n"/>
      <c r="K63" s="26" t="n"/>
      <c r="L63" s="24" t="n"/>
      <c r="M63" s="10" t="inlineStr">
        <is>
          <t>Trao đổi nghiệp vụ Sơn Cảng, 10-11/10/2026</t>
        </is>
      </c>
      <c r="N63" s="27" t="inlineStr">
        <is>
          <t>Đủ rõ để đặc tả</t>
        </is>
      </c>
      <c r="O63" s="28" t="inlineStr">
        <is>
          <t>Có lựa chọn được người dùng đánh dấu đã chốt; giữ nguyên câu trả lời và ghi chú.</t>
        </is>
      </c>
    </row>
    <row r="64" ht="64.5" customHeight="1" s="81">
      <c r="A64" s="29" t="inlineStr">
        <is>
          <t>P07</t>
        </is>
      </c>
      <c r="B64" s="30" t="inlineStr">
        <is>
          <t>05. Phân quyền</t>
        </is>
      </c>
      <c r="C64" s="43" t="inlineStr">
        <is>
          <t>P1</t>
        </is>
      </c>
      <c r="D64" s="14" t="inlineStr">
        <is>
          <t>Một nhân viên có thể kiêm 2 bộ phận/vai trò trên một tài khoản không?</t>
        </is>
      </c>
      <c r="E64" s="14" t="inlineStr">
        <is>
          <t>A. Một tài khoản nhiều vai trò; B. Một vai trò; C. Theo ca.</t>
        </is>
      </c>
      <c r="F64" s="22" t="inlineStr">
        <is>
          <t>Khác</t>
        </is>
      </c>
      <c r="G64" s="25" t="inlineStr">
        <is>
          <t>Cài này có lúc theo ca có lúc 1 tk nhiêu role nhưng cứ xây dựng giai đoạn đầu máy sẽ cố định tại bốt cont CCKB thì sẽ đăng nhập tk cá nhân(Sau này muốn phát triển ai có ca mới được vào)</t>
        </is>
      </c>
      <c r="H64" s="25" t="inlineStr">
        <is>
          <t>Đã chốt</t>
        </is>
      </c>
      <c r="I64" s="14" t="inlineStr">
        <is>
          <t>Quản trị</t>
        </is>
      </c>
      <c r="J64" s="24" t="n"/>
      <c r="K64" s="26" t="n"/>
      <c r="L64" s="24" t="n"/>
      <c r="M64" s="14" t="inlineStr">
        <is>
          <t>Trao đổi nghiệp vụ Sơn Cảng, 10-11/10/2026</t>
        </is>
      </c>
      <c r="N64" s="34" t="inlineStr">
        <is>
          <t>Cần làm rõ</t>
        </is>
      </c>
      <c r="O64" s="35" t="inlineStr">
        <is>
          <t>PWA tại bốt An ninh có thể dùng thiết bị cố định; CCKB dùng tài khoản cá nhân, phân vai theo ca sau. Cần audit cá nhân khi dùng thiết bị chung.</t>
        </is>
      </c>
    </row>
    <row r="65" ht="54.75" customHeight="1" s="81">
      <c r="A65" s="18" t="inlineStr">
        <is>
          <t>P08</t>
        </is>
      </c>
      <c r="B65" s="19" t="inlineStr">
        <is>
          <t>05. Phân quyền</t>
        </is>
      </c>
      <c r="C65" s="44" t="inlineStr">
        <is>
          <t>P1</t>
        </is>
      </c>
      <c r="D65" s="10" t="inlineStr">
        <is>
          <t>Cần tạo tài khoản mới bằng email công ty hay dùng email Gmail hiện có để đăng nhập?</t>
        </is>
      </c>
      <c r="E65" s="10" t="inlineStr">
        <is>
          <t>A. Google login email sẵn có; B. Email công ty; C. Email/mật khẩu độc lập.</t>
        </is>
      </c>
      <c r="F65" s="22" t="inlineStr">
        <is>
          <t>C</t>
        </is>
      </c>
      <c r="G65" s="24" t="n"/>
      <c r="H65" s="25" t="inlineStr">
        <is>
          <t>Đã chốt</t>
        </is>
      </c>
      <c r="I65" s="10" t="inlineStr">
        <is>
          <t>Quản trị</t>
        </is>
      </c>
      <c r="J65" s="24" t="n"/>
      <c r="K65" s="26" t="n"/>
      <c r="L65" s="24" t="n"/>
      <c r="M65" s="10" t="inlineStr">
        <is>
          <t>Trao đổi nghiệp vụ Sơn Cảng, 10-11/10/2026</t>
        </is>
      </c>
      <c r="N65" s="27" t="inlineStr">
        <is>
          <t>Đủ rõ để đặc tả</t>
        </is>
      </c>
      <c r="O65" s="28" t="inlineStr">
        <is>
          <t>Có lựa chọn được người dùng đánh dấu đã chốt; giữ nguyên câu trả lời và ghi chú.</t>
        </is>
      </c>
    </row>
    <row r="66" ht="54.75" customHeight="1" s="81">
      <c r="A66" s="29" t="inlineStr">
        <is>
          <t>P09</t>
        </is>
      </c>
      <c r="B66" s="30" t="inlineStr">
        <is>
          <t>05. Phân quyền</t>
        </is>
      </c>
      <c r="C66" s="43" t="inlineStr">
        <is>
          <t>P1</t>
        </is>
      </c>
      <c r="D66" s="14" t="inlineStr">
        <is>
          <t>Người dùng bị khóa/nghỉ việc thì dữ liệu lịch sử và quyền đăng nhập được xử lý thế nào?</t>
        </is>
      </c>
      <c r="E66" s="14" t="inlineStr">
        <is>
          <t>A. Vô hiệu hóa, giữ lịch sử; B. Quy trình khác.</t>
        </is>
      </c>
      <c r="F66" s="22" t="inlineStr">
        <is>
          <t>A</t>
        </is>
      </c>
      <c r="G66" s="24" t="n"/>
      <c r="H66" s="25" t="inlineStr">
        <is>
          <t>Đã chốt</t>
        </is>
      </c>
      <c r="I66" s="14" t="inlineStr">
        <is>
          <t>Quản trị</t>
        </is>
      </c>
      <c r="J66" s="24" t="n"/>
      <c r="K66" s="26" t="n"/>
      <c r="L66" s="24" t="n"/>
      <c r="M66" s="14" t="inlineStr">
        <is>
          <t>Trao đổi nghiệp vụ Sơn Cảng, 10-11/10/2026</t>
        </is>
      </c>
      <c r="N66" s="27" t="inlineStr">
        <is>
          <t>Đủ rõ để đặc tả</t>
        </is>
      </c>
      <c r="O66" s="28" t="inlineStr">
        <is>
          <t>Có lựa chọn được người dùng đánh dấu đã chốt; giữ nguyên câu trả lời và ghi chú.</t>
        </is>
      </c>
    </row>
    <row r="67" ht="54.75" customHeight="1" s="81">
      <c r="A67" s="18" t="inlineStr">
        <is>
          <t>P10</t>
        </is>
      </c>
      <c r="B67" s="19" t="inlineStr">
        <is>
          <t>05. Phân quyền</t>
        </is>
      </c>
      <c r="C67" s="44" t="inlineStr">
        <is>
          <t>P1</t>
        </is>
      </c>
      <c r="D67" s="10" t="inlineStr">
        <is>
          <t>CCKB có quyền xem và điều chỉnh trạng thái vé An ninh thu hay chỉ đọc?</t>
        </is>
      </c>
      <c r="E67" s="10" t="inlineStr">
        <is>
          <t>A. Chỉ xem; B. Có quyền báo sai lệch; C. Được chỉnh sau duyệt.</t>
        </is>
      </c>
      <c r="F67" s="22" t="inlineStr">
        <is>
          <t>A</t>
        </is>
      </c>
      <c r="G67" s="24" t="n"/>
      <c r="H67" s="25" t="inlineStr">
        <is>
          <t>Đã chốt</t>
        </is>
      </c>
      <c r="I67" s="10" t="inlineStr">
        <is>
          <t>Trưởng BP An ninh + CCKB</t>
        </is>
      </c>
      <c r="J67" s="24" t="n"/>
      <c r="K67" s="26" t="n"/>
      <c r="L67" s="24" t="n"/>
      <c r="M67" s="10" t="inlineStr">
        <is>
          <t>Trao đổi nghiệp vụ Sơn Cảng, 10-11/10/2026</t>
        </is>
      </c>
      <c r="N67" s="27" t="inlineStr">
        <is>
          <t>Đủ rõ để đặc tả</t>
        </is>
      </c>
      <c r="O67" s="28" t="inlineStr">
        <is>
          <t>Có lựa chọn được người dùng đánh dấu đã chốt; giữ nguyên câu trả lời và ghi chú.</t>
        </is>
      </c>
    </row>
    <row r="68" ht="64.5" customHeight="1" s="81">
      <c r="A68" s="29" t="inlineStr">
        <is>
          <t>D01</t>
        </is>
      </c>
      <c r="B68" s="30" t="inlineStr">
        <is>
          <t>06. Điều phối / container</t>
        </is>
      </c>
      <c r="C68" s="31" t="inlineStr">
        <is>
          <t>P0</t>
        </is>
      </c>
      <c r="D68" s="14" t="inlineStr">
        <is>
          <t>Điều phối nhập HÀNG/RỖNG lúc nào và có được để trống khi container vừa vào không?</t>
        </is>
      </c>
      <c r="E68" s="14" t="inlineStr">
        <is>
          <t>A. Bắt buộc trước khi tiếp nhận; B. Được trống, hoàn thiện trước ra; C. Linh hoạt theo ca.</t>
        </is>
      </c>
      <c r="F68" s="22" t="inlineStr">
        <is>
          <t>B</t>
        </is>
      </c>
      <c r="G68" s="25" t="inlineStr">
        <is>
          <t>được trống</t>
        </is>
      </c>
      <c r="H68" s="25" t="inlineStr">
        <is>
          <t>Đã chốt</t>
        </is>
      </c>
      <c r="I68" s="14" t="inlineStr">
        <is>
          <t>Trưởng BP Điều phối</t>
        </is>
      </c>
      <c r="J68" s="24" t="n"/>
      <c r="K68" s="26" t="n"/>
      <c r="L68" s="24" t="n"/>
      <c r="M68" s="14" t="inlineStr">
        <is>
          <t>Trao đổi nghiệp vụ Sơn Cảng, 10-11/10/2026</t>
        </is>
      </c>
      <c r="N68" s="27" t="inlineStr">
        <is>
          <t>Đủ rõ để đặc tả</t>
        </is>
      </c>
      <c r="O68" s="28" t="inlineStr">
        <is>
          <t>Có lựa chọn được người dùng đánh dấu đã chốt; giữ nguyên câu trả lời và ghi chú.</t>
        </is>
      </c>
    </row>
    <row r="69" ht="64.5" customHeight="1" s="81">
      <c r="A69" s="18" t="inlineStr">
        <is>
          <t>D02</t>
        </is>
      </c>
      <c r="B69" s="19" t="inlineStr">
        <is>
          <t>06. Điều phối / container</t>
        </is>
      </c>
      <c r="C69" s="44" t="inlineStr">
        <is>
          <t>P1</t>
        </is>
      </c>
      <c r="D69" s="10" t="inlineStr">
        <is>
          <t>Nếu Điều phối thay đổi HÀNG thành RỖNG (hoặc ngược lại), có cần ghi lý do/người xác nhận không?</t>
        </is>
      </c>
      <c r="E69" s="10" t="inlineStr">
        <is>
          <t>A. Có; B. Chỉ khi đã chốt; C. Khác.</t>
        </is>
      </c>
      <c r="F69" s="22" t="inlineStr">
        <is>
          <t>A</t>
        </is>
      </c>
      <c r="G69" s="25" t="inlineStr">
        <is>
          <t>ghi lí do k bắt bược</t>
        </is>
      </c>
      <c r="H69" s="25" t="inlineStr">
        <is>
          <t>Đã chốt</t>
        </is>
      </c>
      <c r="I69" s="10" t="inlineStr">
        <is>
          <t>Trưởng BP Điều phối</t>
        </is>
      </c>
      <c r="J69" s="24" t="n"/>
      <c r="K69" s="26" t="n"/>
      <c r="L69" s="24" t="n"/>
      <c r="M69" s="10" t="inlineStr">
        <is>
          <t>Trao đổi nghiệp vụ Sơn Cảng, 10-11/10/2026</t>
        </is>
      </c>
      <c r="N69" s="39" t="inlineStr">
        <is>
          <t>Cần làm rõ</t>
        </is>
      </c>
      <c r="O69" s="40" t="inlineStr">
        <is>
          <t>F=A ghi lý do nhưng G nói không bắt buộc. Chốt việc đổi HÀNG/RỖNG có bắt buộc lý do hay chỉ lưu audit.</t>
        </is>
      </c>
    </row>
    <row r="70" ht="54.75" customHeight="1" s="81">
      <c r="A70" s="29" t="inlineStr">
        <is>
          <t>D03</t>
        </is>
      </c>
      <c r="B70" s="30" t="inlineStr">
        <is>
          <t>06. Điều phối / container</t>
        </is>
      </c>
      <c r="C70" s="31" t="inlineStr">
        <is>
          <t>P0</t>
        </is>
      </c>
      <c r="D70" s="14" t="inlineStr">
        <is>
          <t>Xe vào mang container A, ra nhận container B: ai ghép ID_CONTAINER_RA với lượt xe ở bước cuối?</t>
        </is>
      </c>
      <c r="E70" s="14" t="inlineStr">
        <is>
          <t>A. An ninh chọn; B. Điều phối chỉ định, An ninh xác nhận; C. CCKB chọn.</t>
        </is>
      </c>
      <c r="F70" s="22" t="inlineStr">
        <is>
          <t>A</t>
        </is>
      </c>
      <c r="G70" s="24" t="n"/>
      <c r="H70" s="25" t="inlineStr">
        <is>
          <t>Đã chốt</t>
        </is>
      </c>
      <c r="I70" s="14" t="inlineStr">
        <is>
          <t>Trưởng BP An ninh + Điều phối</t>
        </is>
      </c>
      <c r="J70" s="24" t="n"/>
      <c r="K70" s="26" t="n"/>
      <c r="L70" s="24" t="n"/>
      <c r="M70" s="14" t="inlineStr">
        <is>
          <t>Trao đổi nghiệp vụ Sơn Cảng, 10-11/10/2026</t>
        </is>
      </c>
      <c r="N70" s="27" t="inlineStr">
        <is>
          <t>Đủ rõ để đặc tả</t>
        </is>
      </c>
      <c r="O70" s="28" t="inlineStr">
        <is>
          <t>Có lựa chọn được người dùng đánh dấu đã chốt; giữ nguyên câu trả lời và ghi chú.</t>
        </is>
      </c>
    </row>
    <row r="71" ht="60" customHeight="1" s="81">
      <c r="A71" s="18" t="inlineStr">
        <is>
          <t>D04</t>
        </is>
      </c>
      <c r="B71" s="19" t="inlineStr">
        <is>
          <t>06. Điều phối / container</t>
        </is>
      </c>
      <c r="C71" s="44" t="inlineStr">
        <is>
          <t>P1</t>
        </is>
      </c>
      <c r="D71" s="10" t="inlineStr">
        <is>
          <t>Có quản lý vị trí container (khu/bãi/dãy/ô) khi hạ, khi xếp lên xe hay chỉ kiểm soát có/không trong bãi?</t>
        </is>
      </c>
      <c r="E71" s="10" t="inlineStr">
        <is>
          <t>A. Chỉ trong bãi; B. Khu vực; C. Định vị ô/kệ.</t>
        </is>
      </c>
      <c r="F71" s="22" t="inlineStr">
        <is>
          <t>Khác</t>
        </is>
      </c>
      <c r="G71" s="25" t="inlineStr">
        <is>
          <t>Cả 3 luôn nhưng giai đoạn đâu chưa, phát triển phase sau</t>
        </is>
      </c>
      <c r="H71" s="25" t="inlineStr">
        <is>
          <t>Đã chốt</t>
        </is>
      </c>
      <c r="I71" s="10" t="inlineStr">
        <is>
          <t>Trưởng BP Điều phối</t>
        </is>
      </c>
      <c r="J71" s="24" t="n"/>
      <c r="K71" s="26" t="n"/>
      <c r="L71" s="24" t="n"/>
      <c r="M71" s="10" t="inlineStr">
        <is>
          <t>Trao đổi nghiệp vụ Sơn Cảng, 10-11/10/2026</t>
        </is>
      </c>
      <c r="N71" s="27" t="inlineStr">
        <is>
          <t>Đủ rõ để đặc tả</t>
        </is>
      </c>
      <c r="O71" s="28" t="inlineStr">
        <is>
          <t>Có lựa chọn được người dùng đánh dấu đã chốt; giữ nguyên câu trả lời và ghi chú.</t>
        </is>
      </c>
    </row>
    <row r="72" ht="60" customHeight="1" s="81">
      <c r="A72" s="29" t="inlineStr">
        <is>
          <t>D05</t>
        </is>
      </c>
      <c r="B72" s="30" t="inlineStr">
        <is>
          <t>06. Điều phối / container</t>
        </is>
      </c>
      <c r="C72" s="43" t="inlineStr">
        <is>
          <t>P1</t>
        </is>
      </c>
      <c r="D72" s="14" t="inlineStr">
        <is>
          <t>Một số container có thể vào/ra bãi nhiều lần: hệ thống có cần hiển thị lịch sử theo số cont và phân biệt bằng lượt ID không?</t>
        </is>
      </c>
      <c r="E72" s="14" t="inlineStr">
        <is>
          <t>A. Có, lịch sử nhiều lượt; B. Quy tắc khác.</t>
        </is>
      </c>
      <c r="F72" s="22" t="inlineStr">
        <is>
          <t>A</t>
        </is>
      </c>
      <c r="G72" s="24" t="n"/>
      <c r="H72" s="25" t="inlineStr">
        <is>
          <t>Đã chốt</t>
        </is>
      </c>
      <c r="I72" s="14" t="inlineStr">
        <is>
          <t>Trưởng BP Điều phối + Quản trị</t>
        </is>
      </c>
      <c r="J72" s="24" t="n"/>
      <c r="K72" s="26" t="n"/>
      <c r="L72" s="24" t="n"/>
      <c r="M72" s="14" t="inlineStr">
        <is>
          <t>Trao đổi nghiệp vụ Sơn Cảng, 10-11/10/2026</t>
        </is>
      </c>
      <c r="N72" s="27" t="inlineStr">
        <is>
          <t>Đủ rõ để đặc tả</t>
        </is>
      </c>
      <c r="O72" s="28" t="inlineStr">
        <is>
          <t>Có lựa chọn được người dùng đánh dấu đã chốt; giữ nguyên câu trả lời và ghi chú.</t>
        </is>
      </c>
    </row>
    <row r="73" ht="64.5" customHeight="1" s="81">
      <c r="A73" s="18" t="inlineStr">
        <is>
          <t>D06</t>
        </is>
      </c>
      <c r="B73" s="19" t="inlineStr">
        <is>
          <t>06. Điều phối / container</t>
        </is>
      </c>
      <c r="C73" s="44" t="inlineStr">
        <is>
          <t>P1</t>
        </is>
      </c>
      <c r="D73" s="10" t="inlineStr">
        <is>
          <t>Khi số container gõ nhầm hoặc khác so với trên vé, người nào được xác nhận sửa thông tin?</t>
        </is>
      </c>
      <c r="E73" s="10" t="inlineStr">
        <is>
          <t>A. An ninh sửa trước ra; B. Điều phối duyệt; C. TBP An ninh duyệt.</t>
        </is>
      </c>
      <c r="F73" s="22" t="inlineStr">
        <is>
          <t>A</t>
        </is>
      </c>
      <c r="G73" s="25" t="inlineStr">
        <is>
          <t>TBP thì sửa trực tiếp</t>
        </is>
      </c>
      <c r="H73" s="25" t="inlineStr">
        <is>
          <t>Đã chốt</t>
        </is>
      </c>
      <c r="I73" s="10" t="inlineStr">
        <is>
          <t>Trưởng BP Điều phối + An ninh</t>
        </is>
      </c>
      <c r="J73" s="24" t="n"/>
      <c r="K73" s="26" t="n"/>
      <c r="L73" s="24" t="n"/>
      <c r="M73" s="10" t="inlineStr">
        <is>
          <t>Trao đổi nghiệp vụ Sơn Cảng, 10-11/10/2026</t>
        </is>
      </c>
      <c r="N73" s="34" t="inlineStr">
        <is>
          <t>Cần làm rõ</t>
        </is>
      </c>
      <c r="O73" s="35" t="inlineStr">
        <is>
          <t>F=A NV An ninh sửa; G TBP được sửa trực tiếp; yêu cầu mới An ninh sửa và báo CCKB. Cần ngưỡng quyền sau thu/ra.</t>
        </is>
      </c>
    </row>
    <row r="74" ht="60" customHeight="1" s="81">
      <c r="A74" s="29" t="inlineStr">
        <is>
          <t>R01</t>
        </is>
      </c>
      <c r="B74" s="30" t="inlineStr">
        <is>
          <t>07. Báo cáo / đối soát</t>
        </is>
      </c>
      <c r="C74" s="43" t="inlineStr">
        <is>
          <t>P1</t>
        </is>
      </c>
      <c r="D74" s="14" t="inlineStr">
        <is>
          <t>Báo cáo doanh thu yêu cầu chi tiết theo ca, ngày, tháng, loại phí, nhân viên, bộ phận hay tổng hợp nào?</t>
        </is>
      </c>
      <c r="E74" s="14" t="inlineStr">
        <is>
          <t>A. Tất cả; B. Theo nhóm được chọn; C. Báo cáo mẫu riêng.</t>
        </is>
      </c>
      <c r="F74" s="22" t="inlineStr">
        <is>
          <t>A</t>
        </is>
      </c>
      <c r="G74" s="24" t="n"/>
      <c r="H74" s="25" t="inlineStr">
        <is>
          <t>Đã chốt</t>
        </is>
      </c>
      <c r="I74" s="14" t="inlineStr">
        <is>
          <t>Các TBP + Kế toán</t>
        </is>
      </c>
      <c r="J74" s="24" t="n"/>
      <c r="K74" s="26" t="n"/>
      <c r="L74" s="24" t="n"/>
      <c r="M74" s="14" t="inlineStr">
        <is>
          <t>Trao đổi nghiệp vụ Sơn Cảng, 10-11/10/2026</t>
        </is>
      </c>
      <c r="N74" s="27" t="inlineStr">
        <is>
          <t>Đủ rõ để đặc tả</t>
        </is>
      </c>
      <c r="O74" s="28" t="inlineStr">
        <is>
          <t>Có lựa chọn được người dùng đánh dấu đã chốt; giữ nguyên câu trả lời và ghi chú.</t>
        </is>
      </c>
    </row>
    <row r="75" ht="64.5" customHeight="1" s="81">
      <c r="A75" s="18" t="inlineStr">
        <is>
          <t>R02</t>
        </is>
      </c>
      <c r="B75" s="19" t="inlineStr">
        <is>
          <t>07. Báo cáo / đối soát</t>
        </is>
      </c>
      <c r="C75" s="44" t="inlineStr">
        <is>
          <t>P1</t>
        </is>
      </c>
      <c r="D75" s="10" t="inlineStr">
        <is>
          <t>Cần giao ca trên PWA với số dư tiền mặt, biên bản đối soát, người bàn giao/người nhận không?</t>
        </is>
      </c>
      <c r="E75" s="10" t="inlineStr">
        <is>
          <t>A. Có; B. Chỉ báo cáo cuối ca; C. Giao ca ngoài hệ thống.</t>
        </is>
      </c>
      <c r="F75" s="22" t="inlineStr">
        <is>
          <t>C</t>
        </is>
      </c>
      <c r="G75" s="25" t="inlineStr">
        <is>
          <t>Trc mắt ngoài hệ thống</t>
        </is>
      </c>
      <c r="H75" s="25" t="inlineStr">
        <is>
          <t>Đã chốt</t>
        </is>
      </c>
      <c r="I75" s="10" t="inlineStr">
        <is>
          <t>Trưởng BP An ninh + CCKB</t>
        </is>
      </c>
      <c r="J75" s="24" t="n"/>
      <c r="K75" s="26" t="n"/>
      <c r="L75" s="24" t="n"/>
      <c r="M75" s="10" t="inlineStr">
        <is>
          <t>Trao đổi nghiệp vụ Sơn Cảng, 10-11/10/2026</t>
        </is>
      </c>
      <c r="N75" s="27" t="inlineStr">
        <is>
          <t>Đủ rõ để đặc tả</t>
        </is>
      </c>
      <c r="O75" s="28" t="inlineStr">
        <is>
          <t>Có lựa chọn được người dùng đánh dấu đã chốt; giữ nguyên câu trả lời và ghi chú.</t>
        </is>
      </c>
    </row>
    <row r="76" ht="60" customHeight="1" s="81">
      <c r="A76" s="29" t="inlineStr">
        <is>
          <t>R03</t>
        </is>
      </c>
      <c r="B76" s="30" t="inlineStr">
        <is>
          <t>07. Báo cáo / đối soát</t>
        </is>
      </c>
      <c r="C76" s="43" t="inlineStr">
        <is>
          <t>P1</t>
        </is>
      </c>
      <c r="D76" s="14" t="inlineStr">
        <is>
          <t>Cần bảng theo dõi xe quá hạn, container còn lưu nhiều ngày, điện chưa rút, chưa thu tiền và thông báo tự động không?</t>
        </is>
      </c>
      <c r="E76" s="14" t="inlineStr">
        <is>
          <t>A. Có tất cả; B. Chỉ danh sách; C. Chọn cảnh báo cụ thể.</t>
        </is>
      </c>
      <c r="F76" s="22" t="inlineStr">
        <is>
          <t>A</t>
        </is>
      </c>
      <c r="G76" s="24" t="n"/>
      <c r="H76" s="25" t="inlineStr">
        <is>
          <t>Đã chốt</t>
        </is>
      </c>
      <c r="I76" s="14" t="inlineStr">
        <is>
          <t>Các TBP</t>
        </is>
      </c>
      <c r="J76" s="24" t="n"/>
      <c r="K76" s="26" t="n"/>
      <c r="L76" s="24" t="n"/>
      <c r="M76" s="14" t="inlineStr">
        <is>
          <t>Trao đổi nghiệp vụ Sơn Cảng, 10-11/10/2026</t>
        </is>
      </c>
      <c r="N76" s="27" t="inlineStr">
        <is>
          <t>Đủ rõ để đặc tả</t>
        </is>
      </c>
      <c r="O76" s="28" t="inlineStr">
        <is>
          <t>Có lựa chọn được người dùng đánh dấu đã chốt; giữ nguyên câu trả lời và ghi chú.</t>
        </is>
      </c>
    </row>
    <row r="77" ht="54.75" customHeight="1" s="81">
      <c r="A77" s="18" t="inlineStr">
        <is>
          <t>R04</t>
        </is>
      </c>
      <c r="B77" s="19" t="inlineStr">
        <is>
          <t>07. Báo cáo / đối soát</t>
        </is>
      </c>
      <c r="C77" s="49" t="inlineStr">
        <is>
          <t>P2</t>
        </is>
      </c>
      <c r="D77" s="10" t="inlineStr">
        <is>
          <t>Các báo cáo xuất Excel/PDF có cần theo mẫu nội bộ và phân quyền người tải xuống?</t>
        </is>
      </c>
      <c r="E77" s="10" t="inlineStr">
        <is>
          <t>A. Excel; B. Excel + PDF; C. Có mẫu ban hành.</t>
        </is>
      </c>
      <c r="F77" s="22" t="inlineStr">
        <is>
          <t>B</t>
        </is>
      </c>
      <c r="G77" s="24" t="n"/>
      <c r="H77" s="25" t="inlineStr">
        <is>
          <t>Đã chốt</t>
        </is>
      </c>
      <c r="I77" s="10" t="inlineStr">
        <is>
          <t>Các TBP</t>
        </is>
      </c>
      <c r="J77" s="24" t="n"/>
      <c r="K77" s="26" t="n"/>
      <c r="L77" s="24" t="n"/>
      <c r="M77" s="10" t="inlineStr">
        <is>
          <t>Trao đổi nghiệp vụ Sơn Cảng, 10-11/10/2026</t>
        </is>
      </c>
      <c r="N77" s="27" t="inlineStr">
        <is>
          <t>Đủ rõ để đặc tả</t>
        </is>
      </c>
      <c r="O77" s="28" t="inlineStr">
        <is>
          <t>Có lựa chọn được người dùng đánh dấu đã chốt; giữ nguyên câu trả lời và ghi chú.</t>
        </is>
      </c>
    </row>
    <row r="78" ht="60" customHeight="1" s="81">
      <c r="A78" s="29" t="inlineStr">
        <is>
          <t>R05</t>
        </is>
      </c>
      <c r="B78" s="30" t="inlineStr">
        <is>
          <t>07. Báo cáo / đối soát</t>
        </is>
      </c>
      <c r="C78" s="43" t="inlineStr">
        <is>
          <t>P1</t>
        </is>
      </c>
      <c r="D78" s="14" t="inlineStr">
        <is>
          <t>Người quản lý muốn dashboard thời gian thực chỉ số nào: xe trong bãi, cont trong bãi, cont đang cắm, doanh thu, công nợ?</t>
        </is>
      </c>
      <c r="E78" s="14" t="inlineStr">
        <is>
          <t>A. Tất cả; B. Chọn KPI cụ thể; C. Xem theo bộ phận.</t>
        </is>
      </c>
      <c r="F78" s="22" t="inlineStr">
        <is>
          <t>A</t>
        </is>
      </c>
      <c r="G78" s="24" t="n"/>
      <c r="H78" s="25" t="inlineStr">
        <is>
          <t>Đã chốt</t>
        </is>
      </c>
      <c r="I78" s="14" t="inlineStr">
        <is>
          <t>Ban quản lý Sơn Cảng</t>
        </is>
      </c>
      <c r="J78" s="24" t="n"/>
      <c r="K78" s="26" t="n"/>
      <c r="L78" s="24" t="n"/>
      <c r="M78" s="14" t="inlineStr">
        <is>
          <t>Trao đổi nghiệp vụ Sơn Cảng, 10-11/10/2026</t>
        </is>
      </c>
      <c r="N78" s="27" t="inlineStr">
        <is>
          <t>Đủ rõ để đặc tả</t>
        </is>
      </c>
      <c r="O78" s="28" t="inlineStr">
        <is>
          <t>Có lựa chọn được người dùng đánh dấu đã chốt; giữ nguyên câu trả lời và ghi chú.</t>
        </is>
      </c>
    </row>
    <row r="79" ht="54.75" customHeight="1" s="81">
      <c r="A79" s="18" t="inlineStr">
        <is>
          <t>R06</t>
        </is>
      </c>
      <c r="B79" s="19" t="inlineStr">
        <is>
          <t>07. Báo cáo / đối soát</t>
        </is>
      </c>
      <c r="C79" s="44" t="inlineStr">
        <is>
          <t>P1</t>
        </is>
      </c>
      <c r="D79" s="10" t="inlineStr">
        <is>
          <t>Có bắt buộc đối chiếu sao kê chuyển khoản với chứng từ và ghi lịch sử xác minh trên PWA không?</t>
        </is>
      </c>
      <c r="E79" s="10" t="inlineStr">
        <is>
          <t>A. Có; B. Đối soát ngoài hệ thống; C. Theo hạn mức.</t>
        </is>
      </c>
      <c r="F79" s="22" t="inlineStr">
        <is>
          <t>B</t>
        </is>
      </c>
      <c r="G79" s="24" t="n"/>
      <c r="H79" s="25" t="inlineStr">
        <is>
          <t>Đã chốt</t>
        </is>
      </c>
      <c r="I79" s="10" t="inlineStr">
        <is>
          <t>Trưởng BP CCKB + Kế toán</t>
        </is>
      </c>
      <c r="J79" s="24" t="n"/>
      <c r="K79" s="26" t="n"/>
      <c r="L79" s="24" t="n"/>
      <c r="M79" s="10" t="inlineStr">
        <is>
          <t>Trao đổi nghiệp vụ Sơn Cảng, 10-11/10/2026</t>
        </is>
      </c>
      <c r="N79" s="27" t="inlineStr">
        <is>
          <t>Đủ rõ để đặc tả</t>
        </is>
      </c>
      <c r="O79" s="28" t="inlineStr">
        <is>
          <t>Có lựa chọn được người dùng đánh dấu đã chốt; giữ nguyên câu trả lời và ghi chú.</t>
        </is>
      </c>
    </row>
    <row r="80" ht="64.5" customHeight="1" s="81">
      <c r="A80" s="29" t="inlineStr">
        <is>
          <t>R07</t>
        </is>
      </c>
      <c r="B80" s="30" t="inlineStr">
        <is>
          <t>07. Báo cáo / đối soát</t>
        </is>
      </c>
      <c r="C80" s="50" t="inlineStr">
        <is>
          <t>P2</t>
        </is>
      </c>
      <c r="D80" s="14" t="inlineStr">
        <is>
          <t>Các báo cáo cần tự động gửi qua email/Zalo theo lịch hay chỉ xem khi đăng nhập?</t>
        </is>
      </c>
      <c r="E80" s="14" t="inlineStr">
        <is>
          <t>A. Chỉ trong app; B. Gửi email; C. Tích hợp Zalo sau.</t>
        </is>
      </c>
      <c r="F80" s="22" t="inlineStr">
        <is>
          <t>B</t>
        </is>
      </c>
      <c r="G80" s="25" t="inlineStr">
        <is>
          <t>cả 3, zalo thì sau</t>
        </is>
      </c>
      <c r="H80" s="25" t="inlineStr">
        <is>
          <t>Đã chốt</t>
        </is>
      </c>
      <c r="I80" s="14" t="inlineStr">
        <is>
          <t>Ban quản lý Sơn Cảng</t>
        </is>
      </c>
      <c r="J80" s="24" t="n"/>
      <c r="K80" s="26" t="n"/>
      <c r="L80" s="24" t="n"/>
      <c r="M80" s="14" t="inlineStr">
        <is>
          <t>Trao đổi nghiệp vụ Sơn Cảng, 10-11/10/2026</t>
        </is>
      </c>
      <c r="N80" s="27" t="inlineStr">
        <is>
          <t>Đủ rõ để đặc tả</t>
        </is>
      </c>
      <c r="O80" s="28" t="inlineStr">
        <is>
          <t>Có lựa chọn được người dùng đánh dấu đã chốt; giữ nguyên câu trả lời và ghi chú.</t>
        </is>
      </c>
    </row>
    <row r="81" ht="54.75" customHeight="1" s="81">
      <c r="A81" s="18" t="inlineStr">
        <is>
          <t>K01</t>
        </is>
      </c>
      <c r="B81" s="19" t="inlineStr">
        <is>
          <t>08. Kỹ thuật / bảo mật</t>
        </is>
      </c>
      <c r="C81" s="20" t="inlineStr">
        <is>
          <t>P0</t>
        </is>
      </c>
      <c r="D81" s="10" t="inlineStr">
        <is>
          <t>Phần mềm chạy trên tên miền/subdomain nào và ai chịu trách nhiệm quản trị máy chủ?</t>
        </is>
      </c>
      <c r="E81" s="10" t="inlineStr">
        <is>
          <t>A. Subdomain talunglogistics.com; B. Domain riêng; C. Chưa quyết.</t>
        </is>
      </c>
      <c r="F81" s="51" t="inlineStr">
        <is>
          <t>A</t>
        </is>
      </c>
      <c r="G81" s="51" t="inlineStr">
        <is>
          <t>hoặc vercel domain free</t>
        </is>
      </c>
      <c r="H81" s="25" t="inlineStr">
        <is>
          <t>Đã chốt</t>
        </is>
      </c>
      <c r="I81" s="10" t="inlineStr">
        <is>
          <t>Quản trị + CNTT</t>
        </is>
      </c>
      <c r="J81" s="24" t="n"/>
      <c r="K81" s="26" t="n"/>
      <c r="L81" s="24" t="n"/>
      <c r="M81" s="10" t="inlineStr">
        <is>
          <t>Trao đổi nghiệp vụ Sơn Cảng, 10-11/10/2026</t>
        </is>
      </c>
      <c r="N81" s="34" t="inlineStr">
        <is>
          <t>Chưa trả lời</t>
        </is>
      </c>
      <c r="O81" s="35" t="inlineStr">
        <is>
          <t>K01: ô lựa chọn thật sự để trống trong file V1, dù cột H được đánh dấu Đã chốt. Cần chọn tên miền/subdomain.</t>
        </is>
      </c>
    </row>
    <row r="82" ht="64.5" customHeight="1" s="81">
      <c r="A82" s="29" t="inlineStr">
        <is>
          <t>K02</t>
        </is>
      </c>
      <c r="B82" s="30" t="inlineStr">
        <is>
          <t>08. Kỹ thuật / bảo mật</t>
        </is>
      </c>
      <c r="C82" s="31" t="inlineStr">
        <is>
          <t>P0</t>
        </is>
      </c>
      <c r="D82" s="14" t="inlineStr">
        <is>
          <t>Cơ sở dữ liệu, backend, hosting chọn theo phương án nào? Có yêu cầu dữ liệu lưu tại Việt Nam không?</t>
        </is>
      </c>
      <c r="E82" s="14" t="inlineStr">
        <is>
          <t>A. Đề xuất Next.js + PostgreSQL; B. Hạ tầng đang có; C. Phương án khác (cần thẩm định).</t>
        </is>
      </c>
      <c r="F82" s="22" t="inlineStr">
        <is>
          <t>A</t>
        </is>
      </c>
      <c r="G82" s="25" t="inlineStr">
        <is>
          <t>công cụ free supabase, vercel</t>
        </is>
      </c>
      <c r="H82" s="25" t="inlineStr">
        <is>
          <t>Đã chốt</t>
        </is>
      </c>
      <c r="I82" s="14" t="inlineStr">
        <is>
          <t>CNTT + Ban quản lý</t>
        </is>
      </c>
      <c r="J82" s="24" t="n"/>
      <c r="K82" s="26" t="n"/>
      <c r="L82" s="24" t="n"/>
      <c r="M82" s="14" t="inlineStr">
        <is>
          <t>Trao đổi nghiệp vụ Sơn Cảng, 10-11/10/2026</t>
        </is>
      </c>
      <c r="N82" s="27" t="inlineStr">
        <is>
          <t>Đủ rõ để đặc tả</t>
        </is>
      </c>
      <c r="O82" s="28" t="inlineStr">
        <is>
          <t>Có lựa chọn được người dùng đánh dấu đã chốt; giữ nguyên câu trả lời và ghi chú.</t>
        </is>
      </c>
    </row>
    <row r="83" ht="60" customHeight="1" s="81">
      <c r="A83" s="18" t="inlineStr">
        <is>
          <t>K03</t>
        </is>
      </c>
      <c r="B83" s="19" t="inlineStr">
        <is>
          <t>08. Kỹ thuật / bảo mật</t>
        </is>
      </c>
      <c r="C83" s="20" t="inlineStr">
        <is>
          <t>P0</t>
        </is>
      </c>
      <c r="D83" s="10" t="inlineStr">
        <is>
          <t>Khi mất Internet tại cổng: cho phép nhập lượt xe offline nhưng chặn xác nhận xuất, hay cho phép xuất theo quy trình ngoại lệ?</t>
        </is>
      </c>
      <c r="E83" s="10" t="inlineStr">
        <is>
          <t>A. Offline chỉ nhập/đợi đồng bộ; B. Cho xuất ngoại lệ có chứng từ/TBP; C. Chỉ online.</t>
        </is>
      </c>
      <c r="F83" s="22" t="inlineStr">
        <is>
          <t>A</t>
        </is>
      </c>
      <c r="G83" s="24" t="n"/>
      <c r="H83" s="25" t="inlineStr">
        <is>
          <t>Đã chốt</t>
        </is>
      </c>
      <c r="I83" s="10" t="inlineStr">
        <is>
          <t>CNTT + Trưởng BP An ninh + CCKB</t>
        </is>
      </c>
      <c r="J83" s="24" t="n"/>
      <c r="K83" s="26" t="n"/>
      <c r="L83" s="24" t="n"/>
      <c r="M83" s="10" t="inlineStr">
        <is>
          <t>Trao đổi nghiệp vụ Sơn Cảng, 10-11/10/2026</t>
        </is>
      </c>
      <c r="N83" s="27" t="inlineStr">
        <is>
          <t>Đủ rõ để đặc tả</t>
        </is>
      </c>
      <c r="O83" s="28" t="inlineStr">
        <is>
          <t>Có lựa chọn được người dùng đánh dấu đã chốt; giữ nguyên câu trả lời và ghi chú.</t>
        </is>
      </c>
    </row>
    <row r="84" ht="60" customHeight="1" s="81">
      <c r="A84" s="29" t="inlineStr">
        <is>
          <t>K04</t>
        </is>
      </c>
      <c r="B84" s="30" t="inlineStr">
        <is>
          <t>08. Kỹ thuật / bảo mật</t>
        </is>
      </c>
      <c r="C84" s="31" t="inlineStr">
        <is>
          <t>P0</t>
        </is>
      </c>
      <c r="D84" s="14" t="inlineStr">
        <is>
          <t>PWA dùng điện thoại cá nhân hay thiết bị công ty? Có yêu cầu camera chụp chứng từ/quét QR số container không?</t>
        </is>
      </c>
      <c r="E84" s="14" t="inlineStr">
        <is>
          <t>A. Điện thoại + PC; B. Thiết bị công ty; C. Cần đầu đọc/QR.</t>
        </is>
      </c>
      <c r="F84" s="22" t="inlineStr">
        <is>
          <t>A</t>
        </is>
      </c>
      <c r="G84" s="25" t="inlineStr">
        <is>
          <t>A và B</t>
        </is>
      </c>
      <c r="H84" s="25" t="inlineStr">
        <is>
          <t>Đã chốt</t>
        </is>
      </c>
      <c r="I84" s="14" t="inlineStr">
        <is>
          <t>CNTT + Các TBP</t>
        </is>
      </c>
      <c r="J84" s="24" t="n"/>
      <c r="K84" s="26" t="n"/>
      <c r="L84" s="24" t="n"/>
      <c r="M84" s="14" t="inlineStr">
        <is>
          <t>Trao đổi nghiệp vụ Sơn Cảng, 10-11/10/2026</t>
        </is>
      </c>
      <c r="N84" s="39" t="inlineStr">
        <is>
          <t>Cần làm rõ</t>
        </is>
      </c>
      <c r="O84" s="40" t="inlineStr">
        <is>
          <t>F=A, G=A và B: hỗ trợ điện thoại/PC và cả thiết bị công ty; cần phân biệt cấu hình ưu tiên.</t>
        </is>
      </c>
    </row>
    <row r="85" ht="64.5" customHeight="1" s="81">
      <c r="A85" s="18" t="inlineStr">
        <is>
          <t>K05</t>
        </is>
      </c>
      <c r="B85" s="19" t="inlineStr">
        <is>
          <t>08. Kỹ thuật / bảo mật</t>
        </is>
      </c>
      <c r="C85" s="44" t="inlineStr">
        <is>
          <t>P1</t>
        </is>
      </c>
      <c r="D85" s="10" t="inlineStr">
        <is>
          <t>Có cần bắt buộc đăng nhập 2 yếu tố với quản trị/TBP, phân quyền theo phiên đăng nhập/thiết bị không?</t>
        </is>
      </c>
      <c r="E85" s="10" t="inlineStr">
        <is>
          <t>A. 2FA cho TBP/Quản trị; B. Toàn bộ; C. SSO Google.</t>
        </is>
      </c>
      <c r="F85" s="22" t="inlineStr">
        <is>
          <t>Khác</t>
        </is>
      </c>
      <c r="G85" s="25" t="inlineStr">
        <is>
          <t>Chưa áp dụng nhưng có thì tốt</t>
        </is>
      </c>
      <c r="H85" s="25" t="inlineStr">
        <is>
          <t>Đã chốt</t>
        </is>
      </c>
      <c r="I85" s="10" t="inlineStr">
        <is>
          <t>CNTT</t>
        </is>
      </c>
      <c r="J85" s="24" t="n"/>
      <c r="K85" s="26" t="n"/>
      <c r="L85" s="24" t="n"/>
      <c r="M85" s="10" t="inlineStr">
        <is>
          <t>Trao đổi nghiệp vụ Sơn Cảng, 10-11/10/2026</t>
        </is>
      </c>
      <c r="N85" s="39" t="inlineStr">
        <is>
          <t>Cần làm rõ</t>
        </is>
      </c>
      <c r="O85" s="40" t="inlineStr">
        <is>
          <t>G: 2FA chưa áp dụng nhưng có thì tốt; cần ghi đúng là nâng cấp sau, không coi là bắt buộc V1.</t>
        </is>
      </c>
    </row>
    <row r="86" ht="64.5" customHeight="1" s="81">
      <c r="A86" s="29" t="inlineStr">
        <is>
          <t>K06</t>
        </is>
      </c>
      <c r="B86" s="30" t="inlineStr">
        <is>
          <t>08. Kỹ thuật / bảo mật</t>
        </is>
      </c>
      <c r="C86" s="43" t="inlineStr">
        <is>
          <t>P1</t>
        </is>
      </c>
      <c r="D86" s="14" t="inlineStr">
        <is>
          <t>Ảnh thu tiền và chứng từ cần lưu bao lâu, dung lượng giới hạn, ai có quyền xem/xóa?</t>
        </is>
      </c>
      <c r="E86" s="14" t="inlineStr">
        <is>
          <t>A. Theo thời hạn công ty; B. Tối thiểu 3 năm; C. Theo quy định cụ thể.</t>
        </is>
      </c>
      <c r="F86" s="22" t="inlineStr">
        <is>
          <t>A</t>
        </is>
      </c>
      <c r="G86" s="25" t="inlineStr">
        <is>
          <t>Chưa áp dụng, lưu trên đâu đó free, cloudflrae R2 10G</t>
        </is>
      </c>
      <c r="H86" s="25" t="inlineStr">
        <is>
          <t>Đã chốt</t>
        </is>
      </c>
      <c r="I86" s="14" t="inlineStr">
        <is>
          <t>CNTT + Kế toán</t>
        </is>
      </c>
      <c r="J86" s="24" t="n"/>
      <c r="K86" s="26" t="n"/>
      <c r="L86" s="24" t="n"/>
      <c r="M86" s="14" t="inlineStr">
        <is>
          <t>Trao đổi nghiệp vụ Sơn Cảng, 10-11/10/2026</t>
        </is>
      </c>
      <c r="N86" s="39" t="inlineStr">
        <is>
          <t>Cần làm rõ</t>
        </is>
      </c>
      <c r="O86" s="40" t="inlineStr">
        <is>
          <t>G: “chưa áp dụng”, muốn lưu rẻ/miễn phí, gợi ý Cloudflare R2 10GB; thời gian giữ file và quota còn mở.</t>
        </is>
      </c>
    </row>
    <row r="87" ht="54.75" customHeight="1" s="81">
      <c r="A87" s="18" t="inlineStr">
        <is>
          <t>K07</t>
        </is>
      </c>
      <c r="B87" s="19" t="inlineStr">
        <is>
          <t>08. Kỹ thuật / bảo mật</t>
        </is>
      </c>
      <c r="C87" s="44" t="inlineStr">
        <is>
          <t>P1</t>
        </is>
      </c>
      <c r="D87" s="10" t="inlineStr">
        <is>
          <t>Tần suất sao lưu, khôi phục sau sự cố và lưu bản sao dữ liệu ở đâu?</t>
        </is>
      </c>
      <c r="E87" s="10" t="inlineStr">
        <is>
          <t>A. Hằng ngày; B. Nhiều lần/ngày; C. Yêu cầu cụ thể.</t>
        </is>
      </c>
      <c r="F87" s="22" t="inlineStr">
        <is>
          <t>A</t>
        </is>
      </c>
      <c r="G87" s="24" t="n"/>
      <c r="H87" s="25" t="inlineStr">
        <is>
          <t>Đã chốt</t>
        </is>
      </c>
      <c r="I87" s="10" t="inlineStr">
        <is>
          <t>CNTT</t>
        </is>
      </c>
      <c r="J87" s="24" t="n"/>
      <c r="K87" s="26" t="n"/>
      <c r="L87" s="24" t="n"/>
      <c r="M87" s="10" t="inlineStr">
        <is>
          <t>Trao đổi nghiệp vụ Sơn Cảng, 10-11/10/2026</t>
        </is>
      </c>
      <c r="N87" s="27" t="inlineStr">
        <is>
          <t>Đủ rõ để đặc tả</t>
        </is>
      </c>
      <c r="O87" s="28" t="inlineStr">
        <is>
          <t>Có lựa chọn được người dùng đánh dấu đã chốt; giữ nguyên câu trả lời và ghi chú.</t>
        </is>
      </c>
    </row>
    <row r="88" ht="54.75" customHeight="1" s="81">
      <c r="A88" s="29" t="inlineStr">
        <is>
          <t>K08</t>
        </is>
      </c>
      <c r="B88" s="30" t="inlineStr">
        <is>
          <t>08. Kỹ thuật / bảo mật</t>
        </is>
      </c>
      <c r="C88" s="43" t="inlineStr">
        <is>
          <t>P1</t>
        </is>
      </c>
      <c r="D88" s="14" t="inlineStr">
        <is>
          <t>Cần môi trường thử nghiệm và chính thức riêng biệt, đồng thời có nhật ký thao tác chi tiết không?</t>
        </is>
      </c>
      <c r="E88" s="14" t="inlineStr">
        <is>
          <t>A. Có cả hai + audit; B. Một môi trường; C. Lộ trình khác.</t>
        </is>
      </c>
      <c r="F88" s="22" t="inlineStr">
        <is>
          <t>A</t>
        </is>
      </c>
      <c r="G88" s="24" t="n"/>
      <c r="H88" s="25" t="inlineStr">
        <is>
          <t>Đã chốt</t>
        </is>
      </c>
      <c r="I88" s="14" t="inlineStr">
        <is>
          <t>CNTT</t>
        </is>
      </c>
      <c r="J88" s="24" t="n"/>
      <c r="K88" s="26" t="n"/>
      <c r="L88" s="24" t="n"/>
      <c r="M88" s="14" t="inlineStr">
        <is>
          <t>Trao đổi nghiệp vụ Sơn Cảng, 10-11/10/2026</t>
        </is>
      </c>
      <c r="N88" s="27" t="inlineStr">
        <is>
          <t>Đủ rõ để đặc tả</t>
        </is>
      </c>
      <c r="O88" s="28" t="inlineStr">
        <is>
          <t>Có lựa chọn được người dùng đánh dấu đã chốt; giữ nguyên câu trả lời và ghi chú.</t>
        </is>
      </c>
    </row>
    <row r="89" ht="64.5" customHeight="1" s="81">
      <c r="A89" s="18" t="inlineStr">
        <is>
          <t>K09</t>
        </is>
      </c>
      <c r="B89" s="19" t="inlineStr">
        <is>
          <t>08. Kỹ thuật / bảo mật</t>
        </is>
      </c>
      <c r="C89" s="49" t="inlineStr">
        <is>
          <t>P2</t>
        </is>
      </c>
      <c r="D89" s="10" t="inlineStr">
        <is>
          <t>Giai đoạn đầu có cần tích hợp Zalo thông báo lệnh cắm/rút tự động không?</t>
        </is>
      </c>
      <c r="E89" s="10" t="inlineStr">
        <is>
          <t>A. Không, tiếp tục Zalo thủ công; B. Nhắc qua kênh khác; C. Tích hợp khi khả thi.</t>
        </is>
      </c>
      <c r="F89" s="22" t="inlineStr">
        <is>
          <t>A</t>
        </is>
      </c>
      <c r="G89" s="25" t="inlineStr">
        <is>
          <t>A B C</t>
        </is>
      </c>
      <c r="H89" s="25" t="inlineStr">
        <is>
          <t>Đã chốt</t>
        </is>
      </c>
      <c r="I89" s="10" t="inlineStr">
        <is>
          <t>CNTT + CCKB</t>
        </is>
      </c>
      <c r="J89" s="24" t="n"/>
      <c r="K89" s="26" t="n"/>
      <c r="L89" s="24" t="n"/>
      <c r="M89" s="10" t="inlineStr">
        <is>
          <t>Trao đổi nghiệp vụ Sơn Cảng, 10-11/10/2026</t>
        </is>
      </c>
      <c r="N89" s="39" t="inlineStr">
        <is>
          <t>Cần làm rõ</t>
        </is>
      </c>
      <c r="O89" s="40" t="inlineStr">
        <is>
          <t>F=A không gửi Zalo tự động trong V1 nhưng G “A B C”; cần tách thông báo PWA/gửi thủ công và tích hợp sau.</t>
        </is>
      </c>
    </row>
    <row r="90" ht="60" customHeight="1" s="81">
      <c r="A90" s="29" t="inlineStr">
        <is>
          <t>M01</t>
        </is>
      </c>
      <c r="B90" s="30" t="inlineStr">
        <is>
          <t>09. Chuyển dữ liệu</t>
        </is>
      </c>
      <c r="C90" s="31" t="inlineStr">
        <is>
          <t>P0</t>
        </is>
      </c>
      <c r="D90" s="14" t="inlineStr">
        <is>
          <t>Phạm vi chuyển dữ liệu AppSheet: toàn bộ lịch sử VEHICLE/CONTAINER hay chỉ bản ghi đang hoạt động + lưu kho lịch sử?</t>
        </is>
      </c>
      <c r="E90" s="14" t="inlineStr">
        <is>
          <t>A. Toàn bộ; B. Đang hoạt động + kho lưu lịch sử; C. Từ một mốc ngày.</t>
        </is>
      </c>
      <c r="F90" s="22" t="inlineStr">
        <is>
          <t>A</t>
        </is>
      </c>
      <c r="G90" s="24" t="n"/>
      <c r="H90" s="25" t="inlineStr">
        <is>
          <t>Đã chốt</t>
        </is>
      </c>
      <c r="I90" s="14" t="inlineStr">
        <is>
          <t>CNTT + Các TBP</t>
        </is>
      </c>
      <c r="J90" s="24" t="n"/>
      <c r="K90" s="26" t="n"/>
      <c r="L90" s="24" t="n"/>
      <c r="M90" s="14" t="inlineStr">
        <is>
          <t>Tập dữ liệu AppSheet do Sơn Cảng cung cấp</t>
        </is>
      </c>
      <c r="N90" s="27" t="inlineStr">
        <is>
          <t>Đủ rõ để đặc tả</t>
        </is>
      </c>
      <c r="O90" s="28" t="inlineStr">
        <is>
          <t>Có lựa chọn được người dùng đánh dấu đã chốt; giữ nguyên câu trả lời và ghi chú.</t>
        </is>
      </c>
    </row>
    <row r="91" ht="54.75" customHeight="1" s="81">
      <c r="A91" s="18" t="inlineStr">
        <is>
          <t>M02</t>
        </is>
      </c>
      <c r="B91" s="19" t="inlineStr">
        <is>
          <t>09. Chuyển dữ liệu</t>
        </is>
      </c>
      <c r="C91" s="20" t="inlineStr">
        <is>
          <t>P0</t>
        </is>
      </c>
      <c r="D91" s="10" t="inlineStr">
        <is>
          <t>Ngày/giờ chốt dữ liệu và đóng AppSheet để chuyển sang PWA là khi nào?</t>
        </is>
      </c>
      <c r="E91" s="10" t="inlineStr">
        <is>
          <t>A. Sau UAT; B. Chạy song song ngắn hạn; C. Cần kế hoạch chi tiết.</t>
        </is>
      </c>
      <c r="F91" s="22" t="inlineStr">
        <is>
          <t>A</t>
        </is>
      </c>
      <c r="G91" s="24" t="n"/>
      <c r="H91" s="25" t="inlineStr">
        <is>
          <t>Đã chốt</t>
        </is>
      </c>
      <c r="I91" s="10" t="inlineStr">
        <is>
          <t>CNTT + Ban quản lý</t>
        </is>
      </c>
      <c r="J91" s="24" t="n"/>
      <c r="K91" s="26" t="n"/>
      <c r="L91" s="24" t="n"/>
      <c r="M91" s="10" t="inlineStr">
        <is>
          <t>Trao đổi nghiệp vụ Sơn Cảng, 10-11/10/2026</t>
        </is>
      </c>
      <c r="N91" s="27" t="inlineStr">
        <is>
          <t>Đủ rõ để đặc tả</t>
        </is>
      </c>
      <c r="O91" s="28" t="inlineStr">
        <is>
          <t>Có lựa chọn được người dùng đánh dấu đã chốt; giữ nguyên câu trả lời và ghi chú.</t>
        </is>
      </c>
    </row>
    <row r="92" ht="60" customHeight="1" s="81">
      <c r="A92" s="29" t="inlineStr">
        <is>
          <t>M03</t>
        </is>
      </c>
      <c r="B92" s="30" t="inlineStr">
        <is>
          <t>09. Chuyển dữ liệu</t>
        </is>
      </c>
      <c r="C92" s="31" t="inlineStr">
        <is>
          <t>P0</t>
        </is>
      </c>
      <c r="D92" s="14" t="inlineStr">
        <is>
          <t>Các dòng dữ liệu cũ có ghi chú tiền thực thu khác tiền phải thu: ai là người kiểm tra, xác nhận kết quả trước chuyển?</t>
        </is>
      </c>
      <c r="E92" s="14" t="inlineStr">
        <is>
          <t>A. TBP CCKB; B. Kế toán + CCKB; C. Nhóm đối soát liên BP.</t>
        </is>
      </c>
      <c r="F92" s="22" t="inlineStr">
        <is>
          <t>Khác</t>
        </is>
      </c>
      <c r="G92" s="25" t="inlineStr">
        <is>
          <t>Tiền thì tạm thời bỏ qua vò giờ trên hệ thống nhiều xe quên chưa cho ra lắ</t>
        </is>
      </c>
      <c r="H92" s="25" t="inlineStr">
        <is>
          <t>Đã chốt</t>
        </is>
      </c>
      <c r="I92" s="14" t="inlineStr">
        <is>
          <t>Trưởng BP CCKB + Kế toán</t>
        </is>
      </c>
      <c r="J92" s="24" t="n"/>
      <c r="K92" s="26" t="n"/>
      <c r="L92" s="24" t="n"/>
      <c r="M92" s="14" t="inlineStr">
        <is>
          <t>CONTAINER V1: xem 08_DOI_SOAT</t>
        </is>
      </c>
      <c r="N92" s="34" t="inlineStr">
        <is>
          <t>Cần làm rõ</t>
        </is>
      </c>
      <c r="O92" s="35" t="inlineStr">
        <is>
          <t>G: tạm bỏ qua đối soát tài chính lịch sử do còn nhiều xe quên chốt ra; cần đánh dấu dữ liệu cũ chưa xác minh, không đưa vào công nợ V1.</t>
        </is>
      </c>
    </row>
    <row r="93" ht="60" customHeight="1" s="81">
      <c r="A93" s="18" t="inlineStr">
        <is>
          <t>M04</t>
        </is>
      </c>
      <c r="B93" s="19" t="inlineStr">
        <is>
          <t>09. Chuyển dữ liệu</t>
        </is>
      </c>
      <c r="C93" s="20" t="inlineStr">
        <is>
          <t>P0</t>
        </is>
      </c>
      <c r="D93" s="10" t="inlineStr">
        <is>
          <t>Giờ ra xe/container thực tế khác dữ liệu nhập do bổ sung muộn: dùng mốc nào làm dữ liệu gốc khi chuyển?</t>
        </is>
      </c>
      <c r="E93" s="10" t="inlineStr">
        <is>
          <t>A. Giờ hệ thống; B. Giờ trên chứng từ đã xác minh; C. Tùy từng dòng có xác nhận.</t>
        </is>
      </c>
      <c r="F93" s="22" t="inlineStr">
        <is>
          <t>A</t>
        </is>
      </c>
      <c r="G93" s="25" t="inlineStr">
        <is>
          <t>quan trị viên cấp cao có thể sửa trực tiếp hết nhé, vì hiện tại tôi thấy lỗi nhieuf chính trên GG sheets đang đễ sau này sửa thì vào db sửa lại khó hơn</t>
        </is>
      </c>
      <c r="H93" s="25" t="inlineStr">
        <is>
          <t>Đã chốt</t>
        </is>
      </c>
      <c r="I93" s="10" t="inlineStr">
        <is>
          <t>An ninh + CCKB + CNTT</t>
        </is>
      </c>
      <c r="J93" s="24" t="n"/>
      <c r="K93" s="26" t="n"/>
      <c r="L93" s="24" t="n"/>
      <c r="M93" s="10" t="inlineStr">
        <is>
          <t>Dữ liệu VEHICLE/CONTAINER có ghi chú chỉnh ngày</t>
        </is>
      </c>
      <c r="N93" s="34" t="inlineStr">
        <is>
          <t>Cần làm rõ</t>
        </is>
      </c>
      <c r="O93" s="35" t="inlineStr">
        <is>
          <t>G: Quản trị cấp cao được sửa mọi dữ liệu sai, nhưng cần công cụ sửa trong app kèm audit, tránh sửa DB trực tiếp không lưu lịch sử.</t>
        </is>
      </c>
    </row>
    <row r="94" ht="54.75" customHeight="1" s="81">
      <c r="A94" s="29" t="inlineStr">
        <is>
          <t>M05</t>
        </is>
      </c>
      <c r="B94" s="30" t="inlineStr">
        <is>
          <t>09. Chuyển dữ liệu</t>
        </is>
      </c>
      <c r="C94" s="43" t="inlineStr">
        <is>
          <t>P1</t>
        </is>
      </c>
      <c r="D94" s="14" t="inlineStr">
        <is>
          <t>Mã ID cũ trong AppSheet cần giữ làm khóa tham chiếu hay chỉ lưu LEGACY_ID để tra cứu?</t>
        </is>
      </c>
      <c r="E94" s="14" t="inlineStr">
        <is>
          <t>A. Giữ ID cũ; B. Sinh ID mới và lưu LEGACY_ID; C. Khác.</t>
        </is>
      </c>
      <c r="F94" s="22" t="inlineStr">
        <is>
          <t>A</t>
        </is>
      </c>
      <c r="G94" s="24" t="n"/>
      <c r="H94" s="25" t="inlineStr">
        <is>
          <t>Đã chốt</t>
        </is>
      </c>
      <c r="I94" s="14" t="inlineStr">
        <is>
          <t>CNTT</t>
        </is>
      </c>
      <c r="J94" s="24" t="n"/>
      <c r="K94" s="26" t="n"/>
      <c r="L94" s="24" t="n"/>
      <c r="M94" s="14" t="inlineStr">
        <is>
          <t>Trao đổi nghiệp vụ Sơn Cảng, 10-11/10/2026</t>
        </is>
      </c>
      <c r="N94" s="27" t="inlineStr">
        <is>
          <t>Đủ rõ để đặc tả</t>
        </is>
      </c>
      <c r="O94" s="28" t="inlineStr">
        <is>
          <t>Có lựa chọn được người dùng đánh dấu đã chốt; giữ nguyên câu trả lời và ghi chú.</t>
        </is>
      </c>
    </row>
    <row r="95" ht="54.75" customHeight="1" s="81">
      <c r="A95" s="18" t="inlineStr">
        <is>
          <t>M06</t>
        </is>
      </c>
      <c r="B95" s="19" t="inlineStr">
        <is>
          <t>09. Chuyển dữ liệu</t>
        </is>
      </c>
      <c r="C95" s="44" t="inlineStr">
        <is>
          <t>P1</t>
        </is>
      </c>
      <c r="D95" s="10" t="inlineStr">
        <is>
          <t>Tài khoản Google cũ cần phân sang 7 vai trò PWA như thế nào và có vô hiệu hóa tài khoản nào không?</t>
        </is>
      </c>
      <c r="E95" s="10" t="inlineStr">
        <is>
          <t>A. Map theo bảng 07_TAI_KHOAN; B. Tạo tài khoản mới; C. Kết hợp.</t>
        </is>
      </c>
      <c r="F95" s="22" t="inlineStr">
        <is>
          <t>B</t>
        </is>
      </c>
      <c r="G95" s="24" t="n"/>
      <c r="H95" s="25" t="inlineStr">
        <is>
          <t>Đã chốt</t>
        </is>
      </c>
      <c r="I95" s="10" t="inlineStr">
        <is>
          <t>Quản trị + Các TBP</t>
        </is>
      </c>
      <c r="J95" s="24" t="n"/>
      <c r="K95" s="26" t="n"/>
      <c r="L95" s="24" t="n"/>
      <c r="M95" s="10" t="inlineStr">
        <is>
          <t>Trao đổi nghiệp vụ Sơn Cảng, 10-11/10/2026</t>
        </is>
      </c>
      <c r="N95" s="27" t="inlineStr">
        <is>
          <t>Đủ rõ để đặc tả</t>
        </is>
      </c>
      <c r="O95" s="28" t="inlineStr">
        <is>
          <t>Có lựa chọn được người dùng đánh dấu đã chốt; giữ nguyên câu trả lời và ghi chú.</t>
        </is>
      </c>
    </row>
    <row r="96" ht="60" customHeight="1" s="81">
      <c r="A96" s="29" t="inlineStr">
        <is>
          <t>M07</t>
        </is>
      </c>
      <c r="B96" s="30" t="inlineStr">
        <is>
          <t>09. Chuyển dữ liệu</t>
        </is>
      </c>
      <c r="C96" s="43" t="inlineStr">
        <is>
          <t>P1</t>
        </is>
      </c>
      <c r="D96" s="14" t="inlineStr">
        <is>
          <t>Các container cùng SO_CONTAINER xuất hiện ở nhiều lượt: muốn lưu lịch sử theo mỗi lượt hay hồ sơ container dùng lại nhiều lần?</t>
        </is>
      </c>
      <c r="E96" s="14" t="inlineStr">
        <is>
          <t>A. Hồ sơ container + lượt ra/vào; B. Mỗi lượt là một bản ghi; C. Thiết kế lai.</t>
        </is>
      </c>
      <c r="F96" s="22" t="inlineStr">
        <is>
          <t>A</t>
        </is>
      </c>
      <c r="G96" s="24" t="n"/>
      <c r="H96" s="25" t="inlineStr">
        <is>
          <t>Đã chốt</t>
        </is>
      </c>
      <c r="I96" s="14" t="inlineStr">
        <is>
          <t>CNTT + Điều phối</t>
        </is>
      </c>
      <c r="J96" s="24" t="n"/>
      <c r="K96" s="26" t="n"/>
      <c r="L96" s="24" t="n"/>
      <c r="M96" s="14" t="inlineStr">
        <is>
          <t>Trao đổi nghiệp vụ Sơn Cảng, 10-11/10/2026</t>
        </is>
      </c>
      <c r="N96" s="27" t="inlineStr">
        <is>
          <t>Đủ rõ để đặc tả</t>
        </is>
      </c>
      <c r="O96" s="28" t="inlineStr">
        <is>
          <t>Có lựa chọn được người dùng đánh dấu đã chốt; giữ nguyên câu trả lời và ghi chú.</t>
        </is>
      </c>
    </row>
    <row r="97" ht="60" customHeight="1" s="81">
      <c r="A97" s="18" t="inlineStr">
        <is>
          <t>M08</t>
        </is>
      </c>
      <c r="B97" s="19" t="inlineStr">
        <is>
          <t>09. Chuyển dữ liệu</t>
        </is>
      </c>
      <c r="C97" s="44" t="inlineStr">
        <is>
          <t>P1</t>
        </is>
      </c>
      <c r="D97" s="10" t="inlineStr">
        <is>
          <t>Dữ liệu cắm điện AppSheet trước đây có nhập vào PWA cùng lúc không, hay triển khai riêng từ ngày vận hành mới?</t>
        </is>
      </c>
      <c r="E97" s="10" t="inlineStr">
        <is>
          <t>A. Chuyển toàn bộ; B. Chỉ phiên đang cắm/chưa thu; C. Bắt đầu mới và lưu lịch sử cũ.</t>
        </is>
      </c>
      <c r="F97" s="22" t="inlineStr">
        <is>
          <t>Khác</t>
        </is>
      </c>
      <c r="G97" s="25" t="inlineStr">
        <is>
          <t>CHưa có những sẽ chuyneenr 1 số cái tồn</t>
        </is>
      </c>
      <c r="H97" s="25" t="inlineStr">
        <is>
          <t>Đã chốt</t>
        </is>
      </c>
      <c r="I97" s="10" t="inlineStr">
        <is>
          <t>CNTT + CCKB</t>
        </is>
      </c>
      <c r="J97" s="24" t="n"/>
      <c r="K97" s="26" t="n"/>
      <c r="L97" s="24" t="n"/>
      <c r="M97" s="10" t="inlineStr">
        <is>
          <t>Trao đổi nghiệp vụ Sơn Cảng, 10-11/10/2026</t>
        </is>
      </c>
      <c r="N97" s="39" t="inlineStr">
        <is>
          <t>Cần làm rõ</t>
        </is>
      </c>
      <c r="O97" s="40" t="inlineStr">
        <is>
          <t>G: chưa có nhiều dữ liệu điện, sẽ chuyển một số phiên đang tồn; cần tiêu chí nhận diện các phiên phải chuyển.</t>
        </is>
      </c>
    </row>
    <row r="98" ht="54.75" customHeight="1" s="81">
      <c r="A98" s="29" t="inlineStr">
        <is>
          <t>U01</t>
        </is>
      </c>
      <c r="B98" s="30" t="inlineStr">
        <is>
          <t>10. Nghiệm thu / triển khai</t>
        </is>
      </c>
      <c r="C98" s="31" t="inlineStr">
        <is>
          <t>P0</t>
        </is>
      </c>
      <c r="D98" s="14" t="inlineStr">
        <is>
          <t>Ai đại diện mỗi bộ phận ký nghiệm thu và xác nhận nghiệp vụ chuẩn trước chuyển hệ thống?</t>
        </is>
      </c>
      <c r="E98" s="14" t="inlineStr">
        <is>
          <t>A. 3 TBP + CNTT; B. Có Ban quản lý/BLĐ; C. Tổ UAT chỉ định.</t>
        </is>
      </c>
      <c r="F98" s="22" t="inlineStr">
        <is>
          <t>Không áp dụng</t>
        </is>
      </c>
      <c r="G98" s="24" t="n"/>
      <c r="H98" s="25" t="inlineStr">
        <is>
          <t>Đã chốt</t>
        </is>
      </c>
      <c r="I98" s="14" t="inlineStr">
        <is>
          <t>Ban quản lý Sơn Cảng</t>
        </is>
      </c>
      <c r="J98" s="24" t="n"/>
      <c r="K98" s="26" t="n"/>
      <c r="L98" s="24" t="n"/>
      <c r="M98" s="14" t="inlineStr">
        <is>
          <t>Trao đổi nghiệp vụ Sơn Cảng, 10-11/10/2026</t>
        </is>
      </c>
      <c r="N98" s="39" t="inlineStr">
        <is>
          <t>Cần làm rõ</t>
        </is>
      </c>
      <c r="O98" s="40" t="inlineStr">
        <is>
          <t>F=Không áp dụng nhóm ký nghiệm thu; U02 lại yêu cầu UAT trước ngừng AppSheet. Cần xác định ít nhất đầu mối duyệt nghiệm thu, không nhất thiết ký giấy.</t>
        </is>
      </c>
    </row>
    <row r="99" ht="60" customHeight="1" s="81">
      <c r="A99" s="18" t="inlineStr">
        <is>
          <t>U02</t>
        </is>
      </c>
      <c r="B99" s="19" t="inlineStr">
        <is>
          <t>10. Nghiệm thu / triển khai</t>
        </is>
      </c>
      <c r="C99" s="20" t="inlineStr">
        <is>
          <t>P0</t>
        </is>
      </c>
      <c r="D99" s="10" t="inlineStr">
        <is>
          <t>Điều kiện bắt buộc để ngừng AppSheet: chốt chuyển dữ liệu, đối soát tài chính, không lỗi chặn cổng ra, hoàn thành đào tạo?</t>
        </is>
      </c>
      <c r="E99" s="10" t="inlineStr">
        <is>
          <t>A. Tất cả; B. Tiêu chí chốt riêng; C. Theo giai đoạn.</t>
        </is>
      </c>
      <c r="F99" s="22" t="inlineStr">
        <is>
          <t>A</t>
        </is>
      </c>
      <c r="G99" s="24" t="n"/>
      <c r="H99" s="25" t="inlineStr">
        <is>
          <t>Đã chốt</t>
        </is>
      </c>
      <c r="I99" s="10" t="inlineStr">
        <is>
          <t>Ban quản lý + CNTT</t>
        </is>
      </c>
      <c r="J99" s="24" t="n"/>
      <c r="K99" s="26" t="n"/>
      <c r="L99" s="24" t="n"/>
      <c r="M99" s="10" t="inlineStr">
        <is>
          <t>Trao đổi nghiệp vụ Sơn Cảng, 10-11/10/2026</t>
        </is>
      </c>
      <c r="N99" s="27" t="inlineStr">
        <is>
          <t>Đủ rõ để đặc tả</t>
        </is>
      </c>
      <c r="O99" s="28" t="inlineStr">
        <is>
          <t>Có lựa chọn được người dùng đánh dấu đã chốt; giữ nguyên câu trả lời và ghi chú.</t>
        </is>
      </c>
    </row>
    <row r="100" ht="60" customHeight="1" s="81">
      <c r="A100" s="29" t="inlineStr">
        <is>
          <t>U03</t>
        </is>
      </c>
      <c r="B100" s="30" t="inlineStr">
        <is>
          <t>10. Nghiệm thu / triển khai</t>
        </is>
      </c>
      <c r="C100" s="43" t="inlineStr">
        <is>
          <t>P1</t>
        </is>
      </c>
      <c r="D100" s="14" t="inlineStr">
        <is>
          <t>Nếu PWA gặp lỗi trong tuần đầu, quy trình quay lại AppSheet hoặc ghi giấy tạm thời và đồng bộ lại dữ liệu thế nào?</t>
        </is>
      </c>
      <c r="E100" s="14" t="inlineStr">
        <is>
          <t>A. Quy trình dự phòng bằng giấy; B. Tạm quay về AppSheet có kế hoạch hòa giải; C. Khác.</t>
        </is>
      </c>
      <c r="F100" s="22" t="inlineStr">
        <is>
          <t>A</t>
        </is>
      </c>
      <c r="G100" s="24" t="n"/>
      <c r="H100" s="25" t="inlineStr">
        <is>
          <t>Đã chốt</t>
        </is>
      </c>
      <c r="I100" s="14" t="inlineStr">
        <is>
          <t>CNTT + An ninh + CCKB</t>
        </is>
      </c>
      <c r="J100" s="24" t="n"/>
      <c r="K100" s="26" t="n"/>
      <c r="L100" s="24" t="n"/>
      <c r="M100" s="14" t="inlineStr">
        <is>
          <t>Trao đổi nghiệp vụ Sơn Cảng, 10-11/10/2026</t>
        </is>
      </c>
      <c r="N100" s="27" t="inlineStr">
        <is>
          <t>Đủ rõ để đặc tả</t>
        </is>
      </c>
      <c r="O100" s="28" t="inlineStr">
        <is>
          <t>Có lựa chọn được người dùng đánh dấu đã chốt; giữ nguyên câu trả lời và ghi chú.</t>
        </is>
      </c>
    </row>
    <row r="101" ht="60" customHeight="1" s="81">
      <c r="A101" s="18" t="inlineStr">
        <is>
          <t>U04</t>
        </is>
      </c>
      <c r="B101" s="19" t="inlineStr">
        <is>
          <t>10. Nghiệm thu / triển khai</t>
        </is>
      </c>
      <c r="C101" s="44" t="inlineStr">
        <is>
          <t>P1</t>
        </is>
      </c>
      <c r="D101" s="10" t="inlineStr">
        <is>
          <t>Đào tạo nhân viên theo bộ phận, cần thao tác thử trước khi cấp quyền thật và phân công người hỗ trợ ca đêm không?</t>
        </is>
      </c>
      <c r="E101" s="10" t="inlineStr">
        <is>
          <t>A. Có đào tạo + UAT; B. Chỉ hướng dẫn nhanh; C. Kế hoạch riêng.</t>
        </is>
      </c>
      <c r="F101" s="22" t="inlineStr">
        <is>
          <t>A</t>
        </is>
      </c>
      <c r="G101" s="24" t="n"/>
      <c r="H101" s="25" t="inlineStr">
        <is>
          <t>Đã chốt</t>
        </is>
      </c>
      <c r="I101" s="10" t="inlineStr">
        <is>
          <t>CNTT + Các TBP</t>
        </is>
      </c>
      <c r="J101" s="24" t="n"/>
      <c r="K101" s="26" t="n"/>
      <c r="L101" s="24" t="n"/>
      <c r="M101" s="10" t="inlineStr">
        <is>
          <t>Trao đổi nghiệp vụ Sơn Cảng, 10-11/10/2026</t>
        </is>
      </c>
      <c r="N101" s="27" t="inlineStr">
        <is>
          <t>Đủ rõ để đặc tả</t>
        </is>
      </c>
      <c r="O101" s="28" t="inlineStr">
        <is>
          <t>Có lựa chọn được người dùng đánh dấu đã chốt; giữ nguyên câu trả lời và ghi chú.</t>
        </is>
      </c>
    </row>
    <row r="102" ht="60" customHeight="1" s="81">
      <c r="A102" s="29" t="inlineStr">
        <is>
          <t>U05</t>
        </is>
      </c>
      <c r="B102" s="30" t="inlineStr">
        <is>
          <t>10. Nghiệm thu / triển khai</t>
        </is>
      </c>
      <c r="C102" s="43" t="inlineStr">
        <is>
          <t>P1</t>
        </is>
      </c>
      <c r="D102" s="14" t="inlineStr">
        <is>
          <t>Trong giai đoạn pilot có kiểm soát giao dịch bất thường/mất mạng, thời gian phản hồi xử lý sự cố là bao lâu?</t>
        </is>
      </c>
      <c r="E102" s="14" t="inlineStr">
        <is>
          <t>A. Theo ca 24/7; B. Giờ hành chính + đầu mối ca; C. SLA khác.</t>
        </is>
      </c>
      <c r="F102" s="22" t="inlineStr">
        <is>
          <t>A</t>
        </is>
      </c>
      <c r="G102" s="24" t="n"/>
      <c r="H102" s="25" t="inlineStr">
        <is>
          <t>Đã chốt</t>
        </is>
      </c>
      <c r="I102" s="14" t="inlineStr">
        <is>
          <t>CNTT + Các TBP</t>
        </is>
      </c>
      <c r="J102" s="24" t="n"/>
      <c r="K102" s="26" t="n"/>
      <c r="L102" s="24" t="n"/>
      <c r="M102" s="14" t="inlineStr">
        <is>
          <t>Trao đổi nghiệp vụ Sơn Cảng, 10-11/10/2026</t>
        </is>
      </c>
      <c r="N102" s="27" t="inlineStr">
        <is>
          <t>Đủ rõ để đặc tả</t>
        </is>
      </c>
      <c r="O102" s="28" t="inlineStr">
        <is>
          <t>Có lựa chọn được người dùng đánh dấu đã chốt; giữ nguyên câu trả lời và ghi chú.</t>
        </is>
      </c>
    </row>
    <row r="103" ht="69.75" customHeight="1" s="81">
      <c r="A103" s="18" t="inlineStr">
        <is>
          <t>PR01</t>
        </is>
      </c>
      <c r="B103" s="19" t="inlineStr">
        <is>
          <t>03. Cắm/rút điện</t>
        </is>
      </c>
      <c r="C103" s="20" t="inlineStr">
        <is>
          <t>P0</t>
        </is>
      </c>
      <c r="D103" s="10" t="inlineStr">
        <is>
          <t>CCKB có thể tiếp nhận và tạo yêu cầu cắm điện dự kiến cho container A, B, C khi các container CHƯA vào bãi?</t>
        </is>
      </c>
      <c r="E103" s="10" t="inlineStr">
        <is>
          <t>A. Được tạo trước khi vào bãi; B. Chỉ tạo sau khi đã vào.</t>
        </is>
      </c>
      <c r="F103" s="24" t="inlineStr">
        <is>
          <t>A</t>
        </is>
      </c>
      <c r="G103" s="24" t="inlineStr">
        <is>
          <t>Được tạo yêu cầu cắm điện dự kiến trước khi xe/container đến, kể cả nhiều container A/B/C; chưa phát sinh lượt vào thực tế hoặc phí.</t>
        </is>
      </c>
      <c r="H103" s="52" t="inlineStr">
        <is>
          <t>Đã chốt</t>
        </is>
      </c>
      <c r="I103" s="10" t="inlineStr">
        <is>
          <t>Nghiệp vụ CCKB</t>
        </is>
      </c>
      <c r="J103" s="24" t="n"/>
      <c r="K103" s="26" t="n"/>
      <c r="L103" s="24" t="n"/>
      <c r="M103" s="10" t="inlineStr">
        <is>
          <t>Bổ sung từ trao đổi ngày 11/10/2026 về yêu cầu điện dự kiến và sửa số cont thực tế.</t>
        </is>
      </c>
      <c r="N103" s="27" t="inlineStr">
        <is>
          <t>Đủ rõ để đặc tả</t>
        </is>
      </c>
      <c r="O103" s="28" t="inlineStr">
        <is>
          <t>Đã xác nhận trực tiếp trong trao đổi: yêu cầu dự kiến/sửa số container.</t>
        </is>
      </c>
    </row>
    <row r="104" ht="69.75" customHeight="1" s="81">
      <c r="A104" s="18" t="inlineStr">
        <is>
          <t>PR02</t>
        </is>
      </c>
      <c r="B104" s="19" t="inlineStr">
        <is>
          <t>01. Vé xe / cổng</t>
        </is>
      </c>
      <c r="C104" s="20" t="inlineStr">
        <is>
          <t>P0</t>
        </is>
      </c>
      <c r="D104" s="10" t="inlineStr">
        <is>
          <t>Khi An ninh nhập số container tại cổng, có cần tự hiển thị các yêu cầu cắm điện dự kiến của CCKB để nhân viên đối chiếu?</t>
        </is>
      </c>
      <c r="E104" s="10" t="inlineStr">
        <is>
          <t>A. Có, tự cảnh báo và hiển thị danh sách chờ; B. Chỉ tìm thủ công; C. Hình thức khác.</t>
        </is>
      </c>
      <c r="F104" s="24" t="inlineStr">
        <is>
          <t>A</t>
        </is>
      </c>
      <c r="G104" s="24" t="inlineStr">
        <is>
          <t>An ninh cần được thông báo và đối chiếu yêu cầu cắm điện dự kiến khi ghi nhận container vào cổng.</t>
        </is>
      </c>
      <c r="H104" s="52" t="inlineStr">
        <is>
          <t>Đã chốt</t>
        </is>
      </c>
      <c r="I104" s="10" t="inlineStr">
        <is>
          <t>An ninh + CCKB</t>
        </is>
      </c>
      <c r="J104" s="24" t="n"/>
      <c r="K104" s="26" t="n"/>
      <c r="L104" s="24" t="n"/>
      <c r="M104" s="10" t="inlineStr">
        <is>
          <t>Bổ sung từ trao đổi ngày 11/10/2026 về yêu cầu điện dự kiến và sửa số cont thực tế.</t>
        </is>
      </c>
      <c r="N104" s="27" t="inlineStr">
        <is>
          <t>Đủ rõ để đặc tả</t>
        </is>
      </c>
      <c r="O104" s="28" t="inlineStr">
        <is>
          <t>Đã xác nhận trực tiếp trong trao đổi: yêu cầu dự kiến/sửa số container.</t>
        </is>
      </c>
    </row>
    <row r="105" ht="69.75" customHeight="1" s="81">
      <c r="A105" s="18" t="inlineStr">
        <is>
          <t>PR03</t>
        </is>
      </c>
      <c r="B105" s="19" t="inlineStr">
        <is>
          <t>03. Cắm/rút điện</t>
        </is>
      </c>
      <c r="C105" s="20" t="inlineStr">
        <is>
          <t>P0</t>
        </is>
      </c>
      <c r="D105" s="10" t="inlineStr">
        <is>
          <t>Khách gửi một yêu cầu gồm 3 container A, B, C: tạo một phiếu chung có 3 dòng container hay 3 phiếu riêng?</t>
        </is>
      </c>
      <c r="E105" s="10" t="inlineStr">
        <is>
          <t>A. 1 phiếu / nhiều dòng container; B. Mỗi cont 1 phiếu; C. Cho cả hai.</t>
        </is>
      </c>
      <c r="F105" s="51" t="inlineStr">
        <is>
          <t>B</t>
        </is>
      </c>
      <c r="G105" s="51" t="inlineStr">
        <is>
          <t>mỗi cont 1 phiếu nhiều dòng cắm rút</t>
        </is>
      </c>
      <c r="H105" s="25" t="inlineStr">
        <is>
          <t>Đã chốt</t>
        </is>
      </c>
      <c r="I105" s="10" t="inlineStr">
        <is>
          <t>Nghiệp vụ CCKB</t>
        </is>
      </c>
      <c r="J105" s="24" t="n"/>
      <c r="K105" s="26" t="n"/>
      <c r="L105" s="24" t="n"/>
      <c r="M105" s="10" t="inlineStr">
        <is>
          <t>Bổ sung từ trao đổi ngày 11/10/2026 về yêu cầu điện dự kiến và sửa số cont thực tế.</t>
        </is>
      </c>
      <c r="N105" s="34" t="inlineStr">
        <is>
          <t>Chưa trả lời</t>
        </is>
      </c>
      <c r="O105" s="35" t="inlineStr">
        <is>
          <t>Câu hỏi mới từ phần nghiệp vụ phát sinh; chờ bạn trả lời.</t>
        </is>
      </c>
    </row>
    <row r="106" ht="69.75" customHeight="1" s="81">
      <c r="A106" s="18" t="inlineStr">
        <is>
          <t>PR04</t>
        </is>
      </c>
      <c r="B106" s="19" t="inlineStr">
        <is>
          <t>03. Cắm/rút điện</t>
        </is>
      </c>
      <c r="C106" s="20" t="inlineStr">
        <is>
          <t>P0</t>
        </is>
      </c>
      <c r="D106" s="10" t="inlineStr">
        <is>
          <t>Khi An ninh ghi số cont lúc vào, hệ thống ghép yêu cầu dự kiến và lượt cont thực tế theo cách nào?</t>
        </is>
      </c>
      <c r="E106" s="10" t="inlineStr">
        <is>
          <t>A. Trùng số đầy đủ mới gợi ý ghép; B. Trùng 7 số cuối; C. Gợi ý nhưng phải xác nhận thủ công khi khác/không chắc.</t>
        </is>
      </c>
      <c r="F106" s="51" t="inlineStr">
        <is>
          <t>Khác</t>
        </is>
      </c>
      <c r="G106" s="51" t="inlineStr">
        <is>
          <t>Cả 3 cái nhưng gợi ý phải xác nhận thủ công hoặc sửa ấy</t>
        </is>
      </c>
      <c r="H106" s="25" t="inlineStr">
        <is>
          <t>Đã chốt</t>
        </is>
      </c>
      <c r="I106" s="10" t="inlineStr">
        <is>
          <t>An ninh + CCKB</t>
        </is>
      </c>
      <c r="J106" s="24" t="n"/>
      <c r="K106" s="26" t="n"/>
      <c r="L106" s="24" t="n"/>
      <c r="M106" s="10" t="inlineStr">
        <is>
          <t>Bổ sung từ trao đổi ngày 11/10/2026 về yêu cầu điện dự kiến và sửa số cont thực tế.</t>
        </is>
      </c>
      <c r="N106" s="34" t="inlineStr">
        <is>
          <t>Chưa trả lời</t>
        </is>
      </c>
      <c r="O106" s="35" t="inlineStr">
        <is>
          <t>Câu hỏi mới từ phần nghiệp vụ phát sinh; chờ bạn trả lời.</t>
        </is>
      </c>
    </row>
    <row r="107" ht="69.75" customHeight="1" s="81">
      <c r="A107" s="18" t="inlineStr">
        <is>
          <t>PR05</t>
        </is>
      </c>
      <c r="B107" s="19" t="inlineStr">
        <is>
          <t>03. Cắm/rút điện</t>
        </is>
      </c>
      <c r="C107" s="20" t="inlineStr">
        <is>
          <t>P1</t>
        </is>
      </c>
      <c r="D107" s="10" t="inlineStr">
        <is>
          <t>Yêu cầu cắm điện dự kiến bắt buộc nhập những trường nào khi cont chưa vào bãi?</t>
        </is>
      </c>
      <c r="E107" s="10" t="inlineStr">
        <is>
          <t>A. Số cont + khách hàng + loại yêu cầu; B. Thêm thời gian dự kiến/xe; C. Cho thiếu số cont và bổ sung sau.</t>
        </is>
      </c>
      <c r="F107" s="51" t="inlineStr">
        <is>
          <t>A</t>
        </is>
      </c>
      <c r="G107" s="24" t="n"/>
      <c r="H107" s="25" t="inlineStr">
        <is>
          <t>Đã chốt</t>
        </is>
      </c>
      <c r="I107" s="10" t="inlineStr">
        <is>
          <t>Nghiệp vụ CCKB</t>
        </is>
      </c>
      <c r="J107" s="24" t="n"/>
      <c r="K107" s="26" t="n"/>
      <c r="L107" s="24" t="n"/>
      <c r="M107" s="10" t="inlineStr">
        <is>
          <t>Bổ sung từ trao đổi ngày 11/10/2026 về yêu cầu điện dự kiến và sửa số cont thực tế.</t>
        </is>
      </c>
      <c r="N107" s="39" t="inlineStr">
        <is>
          <t>Chưa trả lời</t>
        </is>
      </c>
      <c r="O107" s="40" t="inlineStr">
        <is>
          <t>Câu hỏi mới từ phần nghiệp vụ phát sinh; chờ bạn trả lời.</t>
        </is>
      </c>
    </row>
    <row r="108" ht="69.75" customHeight="1" s="81">
      <c r="A108" s="18" t="inlineStr">
        <is>
          <t>PR06</t>
        </is>
      </c>
      <c r="B108" s="19" t="inlineStr">
        <is>
          <t>03. Cắm/rút điện</t>
        </is>
      </c>
      <c r="C108" s="20" t="inlineStr">
        <is>
          <t>P1</t>
        </is>
      </c>
      <c r="D108" s="10" t="inlineStr">
        <is>
          <t>Nếu container dự kiến không tới, tới muộn nhiều ngày hoặc khách hủy, xử lý yêu cầu dự kiến ra sao?</t>
        </is>
      </c>
      <c r="E108" s="10" t="inlineStr">
        <is>
          <t>A. Được hủy, giữ lịch sử; B. Tự hết hạn sau số ngày cấu hình; C. Cả hai.</t>
        </is>
      </c>
      <c r="F108" s="51" t="inlineStr">
        <is>
          <t>C</t>
        </is>
      </c>
      <c r="G108" s="24" t="n"/>
      <c r="H108" s="25" t="inlineStr">
        <is>
          <t>Đã chốt</t>
        </is>
      </c>
      <c r="I108" s="10" t="inlineStr">
        <is>
          <t>Nghiệp vụ CCKB</t>
        </is>
      </c>
      <c r="J108" s="24" t="n"/>
      <c r="K108" s="26" t="n"/>
      <c r="L108" s="24" t="n"/>
      <c r="M108" s="10" t="inlineStr">
        <is>
          <t>Bổ sung từ trao đổi ngày 11/10/2026 về yêu cầu điện dự kiến và sửa số cont thực tế.</t>
        </is>
      </c>
      <c r="N108" s="39" t="inlineStr">
        <is>
          <t>Chưa trả lời</t>
        </is>
      </c>
      <c r="O108" s="40" t="inlineStr">
        <is>
          <t>Câu hỏi mới từ phần nghiệp vụ phát sinh; chờ bạn trả lời.</t>
        </is>
      </c>
    </row>
    <row r="109" ht="69.75" customHeight="1" s="81">
      <c r="A109" s="18" t="inlineStr">
        <is>
          <t>PR07</t>
        </is>
      </c>
      <c r="B109" s="19" t="inlineStr">
        <is>
          <t>03. Cắm/rút điện</t>
        </is>
      </c>
      <c r="C109" s="20" t="inlineStr">
        <is>
          <t>P0</t>
        </is>
      </c>
      <c r="D109" s="10" t="inlineStr">
        <is>
          <t>Khi khách đổi số cont A thành B trước khi xe vào, ai được phép sửa thông tin dự kiến và có thông báo An ninh không?</t>
        </is>
      </c>
      <c r="E109" s="10" t="inlineStr">
        <is>
          <t>A. NV CCKB sửa + cảnh báo An ninh; B. TBP CCKB duyệt; C. Khác.</t>
        </is>
      </c>
      <c r="F109" s="51" t="inlineStr">
        <is>
          <t>A</t>
        </is>
      </c>
      <c r="G109" s="24" t="n"/>
      <c r="H109" s="25" t="inlineStr">
        <is>
          <t>Đã chốt</t>
        </is>
      </c>
      <c r="I109" s="10" t="inlineStr">
        <is>
          <t>Nghiệp vụ CCKB + An ninh</t>
        </is>
      </c>
      <c r="J109" s="24" t="n"/>
      <c r="K109" s="26" t="n"/>
      <c r="L109" s="24" t="n"/>
      <c r="M109" s="10" t="inlineStr">
        <is>
          <t>Bổ sung từ trao đổi ngày 11/10/2026 về yêu cầu điện dự kiến và sửa số cont thực tế.</t>
        </is>
      </c>
      <c r="N109" s="34" t="inlineStr">
        <is>
          <t>Chưa trả lời</t>
        </is>
      </c>
      <c r="O109" s="35" t="inlineStr">
        <is>
          <t>Câu hỏi mới từ phần nghiệp vụ phát sinh; chờ bạn trả lời.</t>
        </is>
      </c>
    </row>
    <row r="110" ht="69.75" customHeight="1" s="81">
      <c r="A110" s="18" t="inlineStr">
        <is>
          <t>SC01</t>
        </is>
      </c>
      <c r="B110" s="19" t="inlineStr">
        <is>
          <t>06. Điều phối / container</t>
        </is>
      </c>
      <c r="C110" s="20" t="inlineStr">
        <is>
          <t>P0</t>
        </is>
      </c>
      <c r="D110" s="10" t="inlineStr">
        <is>
          <t>An ninh phát hiện số container đã nhập sai (do khách hàng, CCKB hoặc An ninh nhầm): có được sửa và báo CCKB không?</t>
        </is>
      </c>
      <c r="E110" s="10" t="inlineStr">
        <is>
          <t>A. An ninh sửa trực tiếp, tự thông báo CCKB; B. Chỉ đề nghị CCKB sửa; C. Phê duyệt từng lần.</t>
        </is>
      </c>
      <c r="F110" s="24" t="inlineStr">
        <is>
          <t>A</t>
        </is>
      </c>
      <c r="G110" s="24" t="inlineStr">
        <is>
          <t>An ninh cần sửa được số container khi đối chiếu thực tế và phải báo lại cho CCKB; các trường hợp đã thu/đã xuất cần quy trình kiểm soát riêng.</t>
        </is>
      </c>
      <c r="H110" s="52" t="inlineStr">
        <is>
          <t>Đã chốt</t>
        </is>
      </c>
      <c r="I110" s="10" t="inlineStr">
        <is>
          <t>An ninh + CCKB</t>
        </is>
      </c>
      <c r="J110" s="24" t="n"/>
      <c r="K110" s="26" t="n"/>
      <c r="L110" s="24" t="n"/>
      <c r="M110" s="10" t="inlineStr">
        <is>
          <t>Bổ sung từ trao đổi ngày 11/10/2026 về yêu cầu điện dự kiến và sửa số cont thực tế.</t>
        </is>
      </c>
      <c r="N110" s="27" t="inlineStr">
        <is>
          <t>Đủ rõ để đặc tả</t>
        </is>
      </c>
      <c r="O110" s="28" t="inlineStr">
        <is>
          <t>Đã xác nhận trực tiếp trong trao đổi: yêu cầu dự kiến/sửa số container.</t>
        </is>
      </c>
    </row>
    <row r="111" ht="69.75" customHeight="1" s="81">
      <c r="A111" s="18" t="inlineStr">
        <is>
          <t>SC02</t>
        </is>
      </c>
      <c r="B111" s="19" t="inlineStr">
        <is>
          <t>06. Điều phối / container</t>
        </is>
      </c>
      <c r="C111" s="20" t="inlineStr">
        <is>
          <t>P0</t>
        </is>
      </c>
      <c r="D111" s="10" t="inlineStr">
        <is>
          <t>Nếu phát hiện sai số container SAU khi cắm/rút điện hoặc đã thu tiền, có cho sửa trực tiếp hay phải trình duyệt?</t>
        </is>
      </c>
      <c r="E111" s="10" t="inlineStr">
        <is>
          <t>A. An ninh sửa nhưng khoản phí đã thu giữ nguyên, CCKB đối soát; B. TBP duyệt trước; C. Cách khác.</t>
        </is>
      </c>
      <c r="F111" s="51" t="inlineStr">
        <is>
          <t>A</t>
        </is>
      </c>
      <c r="G111" s="24" t="n"/>
      <c r="H111" s="25" t="inlineStr">
        <is>
          <t>Đã chốt</t>
        </is>
      </c>
      <c r="I111" s="10" t="inlineStr">
        <is>
          <t>TBP CCKB + TBP An ninh</t>
        </is>
      </c>
      <c r="J111" s="24" t="n"/>
      <c r="K111" s="26" t="n"/>
      <c r="L111" s="24" t="n"/>
      <c r="M111" s="10" t="inlineStr">
        <is>
          <t>Bổ sung từ trao đổi ngày 11/10/2026 về yêu cầu điện dự kiến và sửa số cont thực tế.</t>
        </is>
      </c>
      <c r="N111" s="34" t="inlineStr">
        <is>
          <t>Chưa trả lời</t>
        </is>
      </c>
      <c r="O111" s="35" t="inlineStr">
        <is>
          <t>Câu hỏi mới từ phần nghiệp vụ phát sinh; chờ bạn trả lời.</t>
        </is>
      </c>
    </row>
    <row r="112" ht="69.75" customHeight="1" s="81">
      <c r="A112" s="18" t="inlineStr">
        <is>
          <t>SC03</t>
        </is>
      </c>
      <c r="B112" s="19" t="inlineStr">
        <is>
          <t>06. Điều phối / container</t>
        </is>
      </c>
      <c r="C112" s="20" t="inlineStr">
        <is>
          <t>P1</t>
        </is>
      </c>
      <c r="D112" s="10" t="inlineStr">
        <is>
          <t>Khi An ninh sửa số cont vì ảnh/video tại hiện trường cho thấy sai, có bắt buộc đính kèm ảnh hoặc video không?</t>
        </is>
      </c>
      <c r="E112" s="10" t="inlineStr">
        <is>
          <t>A. Bắt buộc ảnh/video; B. Khuyến khích, nếu thiếu phải ghi lý do; C. Không bắt buộc.</t>
        </is>
      </c>
      <c r="F112" s="51" t="inlineStr">
        <is>
          <t>B</t>
        </is>
      </c>
      <c r="G112" s="24" t="n"/>
      <c r="H112" s="25" t="inlineStr">
        <is>
          <t>Đã chốt</t>
        </is>
      </c>
      <c r="I112" s="10" t="inlineStr">
        <is>
          <t>An ninh + CCKB</t>
        </is>
      </c>
      <c r="J112" s="24" t="n"/>
      <c r="K112" s="26" t="n"/>
      <c r="L112" s="24" t="n"/>
      <c r="M112" s="10" t="inlineStr">
        <is>
          <t>Bổ sung từ trao đổi ngày 11/10/2026 về yêu cầu điện dự kiến và sửa số cont thực tế.</t>
        </is>
      </c>
      <c r="N112" s="39" t="inlineStr">
        <is>
          <t>Chưa trả lời</t>
        </is>
      </c>
      <c r="O112" s="40" t="inlineStr">
        <is>
          <t>Câu hỏi mới từ phần nghiệp vụ phát sinh; chờ bạn trả lời.</t>
        </is>
      </c>
    </row>
    <row r="113" ht="69.75" customHeight="1" s="81">
      <c r="A113" s="18" t="inlineStr">
        <is>
          <t>SC04</t>
        </is>
      </c>
      <c r="B113" s="19" t="inlineStr">
        <is>
          <t>06. Điều phối / container</t>
        </is>
      </c>
      <c r="C113" s="20" t="inlineStr">
        <is>
          <t>P0</t>
        </is>
      </c>
      <c r="D113" s="10" t="inlineStr">
        <is>
          <t>Sau khi An ninh sửa số cont, CCKB nhận thông báo và xác nhận lại bằng cách nào?</t>
        </is>
      </c>
      <c r="E113" s="10" t="inlineStr">
        <is>
          <t>A. Thông báo trong PWA + trạng thái chờ CCKB xem; B. Tự động gửi Zalo; C. PWA + gửi Zalo thủ công.</t>
        </is>
      </c>
      <c r="F113" s="51" t="inlineStr">
        <is>
          <t>A</t>
        </is>
      </c>
      <c r="G113" s="24" t="n"/>
      <c r="H113" s="25" t="inlineStr">
        <is>
          <t>Đã chốt</t>
        </is>
      </c>
      <c r="I113" s="10" t="inlineStr">
        <is>
          <t>Nghiệp vụ CCKB + An ninh</t>
        </is>
      </c>
      <c r="J113" s="24" t="n"/>
      <c r="K113" s="26" t="n"/>
      <c r="L113" s="24" t="n"/>
      <c r="M113" s="10" t="inlineStr">
        <is>
          <t>Bổ sung từ trao đổi ngày 11/10/2026 về yêu cầu điện dự kiến và sửa số cont thực tế.</t>
        </is>
      </c>
      <c r="N113" s="34" t="inlineStr">
        <is>
          <t>Chưa trả lời</t>
        </is>
      </c>
      <c r="O113" s="35" t="inlineStr">
        <is>
          <t>Câu hỏi mới từ phần nghiệp vụ phát sinh; chờ bạn trả lời.</t>
        </is>
      </c>
    </row>
    <row r="114" ht="69.75" customHeight="1" s="81">
      <c r="A114" s="18" t="inlineStr">
        <is>
          <t>SC05</t>
        </is>
      </c>
      <c r="B114" s="19" t="inlineStr">
        <is>
          <t>06. Điều phối / container</t>
        </is>
      </c>
      <c r="C114" s="20" t="inlineStr">
        <is>
          <t>P0</t>
        </is>
      </c>
      <c r="D114" s="10" t="inlineStr">
        <is>
          <t>Khi cont thực tế khác số cont CCKB đã ghi dự kiến, cần cập nhật phiếu dự kiến hay tạo yêu cầu mới?</t>
        </is>
      </c>
      <c r="E114" s="10" t="inlineStr">
        <is>
          <t>A. Sửa số dự kiến và giữ lịch sử; B. Hủy dòng sai + tạo dòng mới; C. Tùy trường hợp.</t>
        </is>
      </c>
      <c r="F114" s="51" t="inlineStr">
        <is>
          <t>A</t>
        </is>
      </c>
      <c r="G114" s="24" t="n"/>
      <c r="H114" s="25" t="inlineStr">
        <is>
          <t>Đã chốt</t>
        </is>
      </c>
      <c r="I114" s="10" t="inlineStr">
        <is>
          <t>Nghiệp vụ CCKB</t>
        </is>
      </c>
      <c r="J114" s="24" t="n"/>
      <c r="K114" s="26" t="n"/>
      <c r="L114" s="24" t="n"/>
      <c r="M114" s="10" t="inlineStr">
        <is>
          <t>Bổ sung từ trao đổi ngày 11/10/2026 về yêu cầu điện dự kiến và sửa số cont thực tế.</t>
        </is>
      </c>
      <c r="N114" s="34" t="inlineStr">
        <is>
          <t>Chưa trả lời</t>
        </is>
      </c>
      <c r="O114" s="35" t="inlineStr">
        <is>
          <t>Câu hỏi mới từ phần nghiệp vụ phát sinh; chờ bạn trả lời.</t>
        </is>
      </c>
    </row>
    <row r="115" ht="69.75" customHeight="1" s="81">
      <c r="A115" s="18" t="inlineStr">
        <is>
          <t>SC06</t>
        </is>
      </c>
      <c r="B115" s="19" t="inlineStr">
        <is>
          <t>06. Điều phối / container</t>
        </is>
      </c>
      <c r="C115" s="20" t="inlineStr">
        <is>
          <t>P0</t>
        </is>
      </c>
      <c r="D115" s="10" t="inlineStr">
        <is>
          <t>Nếu số cont sửa thành số đang thuộc một lượt container khác đang trong bãi, có cho lưu không?</t>
        </is>
      </c>
      <c r="E115" s="10" t="inlineStr">
        <is>
          <t>A. Chặn tự động và yêu cầu TBP xử lý; B. Cho trùng có cảnh báo; C. Quy định khác.</t>
        </is>
      </c>
      <c r="F115" s="51" t="inlineStr">
        <is>
          <t>B</t>
        </is>
      </c>
      <c r="G115" s="24" t="n"/>
      <c r="H115" s="25" t="inlineStr">
        <is>
          <t>Đã chốt</t>
        </is>
      </c>
      <c r="I115" s="10" t="inlineStr">
        <is>
          <t>An ninh + CCKB + Điều phối</t>
        </is>
      </c>
      <c r="J115" s="24" t="n"/>
      <c r="K115" s="26" t="n"/>
      <c r="L115" s="24" t="n"/>
      <c r="M115" s="10" t="inlineStr">
        <is>
          <t>Bổ sung từ trao đổi ngày 11/10/2026 về yêu cầu điện dự kiến và sửa số cont thực tế.</t>
        </is>
      </c>
      <c r="N115" s="34" t="inlineStr">
        <is>
          <t>Chưa trả lời</t>
        </is>
      </c>
      <c r="O115" s="35" t="inlineStr">
        <is>
          <t>Câu hỏi mới từ phần nghiệp vụ phát sinh; chờ bạn trả lời.</t>
        </is>
      </c>
    </row>
    <row r="116" ht="69.75" customHeight="1" s="81">
      <c r="A116" s="18" t="inlineStr">
        <is>
          <t>SC07</t>
        </is>
      </c>
      <c r="B116" s="19" t="inlineStr">
        <is>
          <t>06. Điều phối / container</t>
        </is>
      </c>
      <c r="C116" s="20" t="inlineStr">
        <is>
          <t>P1</t>
        </is>
      </c>
      <c r="D116" s="10" t="inlineStr">
        <is>
          <t>An ninh/CCKB cần hỗ trợ tra cứu số cont bằng 7 số cuối và gợi ý mã gần giống (không tự thay mã) không?</t>
        </is>
      </c>
      <c r="E116" s="10" t="inlineStr">
        <is>
          <t>A. Có tìm 7 số cuối + cảnh báo mã gần giống; B. Chỉ tìm đúng toàn bộ; C. Khác.</t>
        </is>
      </c>
      <c r="F116" s="51" t="inlineStr">
        <is>
          <t>A</t>
        </is>
      </c>
      <c r="G116" s="24" t="n"/>
      <c r="H116" s="25" t="inlineStr">
        <is>
          <t>Đã chốt</t>
        </is>
      </c>
      <c r="I116" s="10" t="inlineStr">
        <is>
          <t>An ninh + CCKB</t>
        </is>
      </c>
      <c r="J116" s="24" t="n"/>
      <c r="K116" s="26" t="n"/>
      <c r="L116" s="24" t="n"/>
      <c r="M116" s="10" t="inlineStr">
        <is>
          <t>Bổ sung từ trao đổi ngày 11/10/2026 về yêu cầu điện dự kiến và sửa số cont thực tế.</t>
        </is>
      </c>
      <c r="N116" s="39" t="inlineStr">
        <is>
          <t>Chưa trả lời</t>
        </is>
      </c>
      <c r="O116" s="40" t="inlineStr">
        <is>
          <t>Câu hỏi mới từ phần nghiệp vụ phát sinh; chờ bạn trả lời.</t>
        </is>
      </c>
    </row>
    <row r="117" ht="69.75" customHeight="1" s="81">
      <c r="A117" s="18" t="inlineStr">
        <is>
          <t>SC08</t>
        </is>
      </c>
      <c r="B117" s="19" t="inlineStr">
        <is>
          <t>06. Điều phối / container</t>
        </is>
      </c>
      <c r="C117" s="20" t="inlineStr">
        <is>
          <t>P0</t>
        </is>
      </c>
      <c r="D117" s="10" t="inlineStr">
        <is>
          <t>Nếu đã cấp đủ điều kiện tài chính rồi phát hiện sai số cont, cần thu hồi duyệt xuất và kiểm tra lại phí không?</t>
        </is>
      </c>
      <c r="E117" s="10" t="inlineStr">
        <is>
          <t>A. Tạm khóa xuất, CCKB tái xác nhận; B. Chỉ cảnh báo, vẫn cho ra; C. Theo hạn mức.</t>
        </is>
      </c>
      <c r="F117" s="51" t="inlineStr">
        <is>
          <t>B</t>
        </is>
      </c>
      <c r="G117" s="24" t="n"/>
      <c r="H117" s="25" t="inlineStr">
        <is>
          <t>Đã chốt</t>
        </is>
      </c>
      <c r="I117" s="10" t="inlineStr">
        <is>
          <t>TBP CCKB + TBP An ninh</t>
        </is>
      </c>
      <c r="J117" s="24" t="n"/>
      <c r="K117" s="26" t="n"/>
      <c r="L117" s="24" t="n"/>
      <c r="M117" s="10" t="inlineStr">
        <is>
          <t>Bổ sung từ trao đổi ngày 11/10/2026 về yêu cầu điện dự kiến và sửa số cont thực tế.</t>
        </is>
      </c>
      <c r="N117" s="34" t="inlineStr">
        <is>
          <t>Chưa trả lời</t>
        </is>
      </c>
      <c r="O117" s="35" t="inlineStr">
        <is>
          <t>Câu hỏi mới từ phần nghiệp vụ phát sinh; chờ bạn trả lời.</t>
        </is>
      </c>
    </row>
    <row r="118" ht="73.5" customHeight="1" s="81">
      <c r="A118" s="18" t="inlineStr">
        <is>
          <t>INV01</t>
        </is>
      </c>
      <c r="B118" s="19" t="inlineStr">
        <is>
          <t>04. Thanh toán</t>
        </is>
      </c>
      <c r="C118" s="20" t="inlineStr">
        <is>
          <t>P0</t>
        </is>
      </c>
      <c r="D118" s="10" t="inlineStr">
        <is>
          <t>Khi An ninh nhận thông tin xuất hóa đơn tại cổng vào, những trường nào bắt buộc theo từng loại khách hàng?</t>
        </is>
      </c>
      <c r="E118" s="53" t="inlineStr">
        <is>
          <t>A. Có cờ Cần hóa đơn + tên/MST hoặc CCCD/địa chỉ; B. Bắt buộc đủ tất cả trường; C. Linh hoạt theo loại khách.</t>
        </is>
      </c>
      <c r="F118" s="51" t="inlineStr">
        <is>
          <t>Khác</t>
        </is>
      </c>
      <c r="G118" s="51" t="inlineStr">
        <is>
          <t>An ninh hiện tại k điền cái này họ ghi tay thôi, kế toán sẽ đảm nhiệm phần A. Có cờ Cần hóa đơn + tên/MST hoặc CCCD/địa chỉ;</t>
        </is>
      </c>
      <c r="H118" s="25" t="inlineStr">
        <is>
          <t>Đã chốt</t>
        </is>
      </c>
      <c r="I118" s="10" t="inlineStr">
        <is>
          <t>An ninh + CCKB + Kế toán</t>
        </is>
      </c>
      <c r="J118" s="24" t="n"/>
      <c r="K118" s="26" t="n"/>
      <c r="L118" s="24" t="n"/>
      <c r="M118" s="10" t="inlineStr">
        <is>
          <t>V1 T12: khách cần hóa đơn/không cần, có họ tên/tên công ty/MST-CCCD/thường trú/điện thoại/email.</t>
        </is>
      </c>
      <c r="N118" s="34" t="inlineStr">
        <is>
          <t>Chưa trả lời</t>
        </is>
      </c>
      <c r="O118" s="35" t="inlineStr">
        <is>
          <t>Câu hỏi mới từ phần nghiệp vụ phát sinh; chờ bạn trả lời.</t>
        </is>
      </c>
    </row>
    <row r="119" ht="73.5" customHeight="1" s="81">
      <c r="A119" s="18" t="inlineStr">
        <is>
          <t>INV02</t>
        </is>
      </c>
      <c r="B119" s="19" t="inlineStr">
        <is>
          <t>04. Thanh toán</t>
        </is>
      </c>
      <c r="C119" s="20" t="inlineStr">
        <is>
          <t>P1</t>
        </is>
      </c>
      <c r="D119" s="10" t="inlineStr">
        <is>
          <t>V1 cần chuyển yêu cầu xuất hóa đơn sang Kế toán và thống kê báo cáo hay chỉ lưu thông tin để làm sau?</t>
        </is>
      </c>
      <c r="E119" s="10" t="inlineStr">
        <is>
          <t>A. V1 nhập + danh sách cần xuất hóa đơn; B. V1 phát hành hóa đơn tích hợp; C. Chỉ giữ dữ liệu.</t>
        </is>
      </c>
      <c r="F119" s="51" t="inlineStr">
        <is>
          <t>C</t>
        </is>
      </c>
      <c r="G119" s="24" t="n"/>
      <c r="H119" s="25" t="inlineStr">
        <is>
          <t>Đã chốt</t>
        </is>
      </c>
      <c r="I119" s="10" t="inlineStr">
        <is>
          <t>CCKB + Kế toán</t>
        </is>
      </c>
      <c r="J119" s="24" t="n"/>
      <c r="K119" s="26" t="n"/>
      <c r="L119" s="24" t="n"/>
      <c r="M119" s="10" t="inlineStr">
        <is>
          <t>V1 T12: Kế toán muốn tham gia giai đoạn sau.</t>
        </is>
      </c>
      <c r="N119" s="39" t="inlineStr">
        <is>
          <t>Chưa trả lời</t>
        </is>
      </c>
      <c r="O119" s="40" t="inlineStr">
        <is>
          <t>Câu hỏi mới từ phần nghiệp vụ phát sinh; chờ bạn trả lời.</t>
        </is>
      </c>
    </row>
    <row r="120" ht="73.5" customHeight="1" s="81">
      <c r="A120" s="18" t="inlineStr">
        <is>
          <t>OUT01</t>
        </is>
      </c>
      <c r="B120" s="19" t="inlineStr">
        <is>
          <t>04. Thanh toán</t>
        </is>
      </c>
      <c r="C120" s="20" t="inlineStr">
        <is>
          <t>P0</t>
        </is>
      </c>
      <c r="D120" s="10" t="inlineStr">
        <is>
          <t>Khi CCKB xác nhận cho container ra dù chưa ghi nhận đủ tiền, ai có quyền và có bắt buộc ghi lý do/cảnh báo công nợ không?</t>
        </is>
      </c>
      <c r="E120" s="10" t="inlineStr">
        <is>
          <t>A. NV CCKB duyệt thủ công, ghi lý do; B. TBP CCKB duyệt; C. Theo ngưỡng tiền.</t>
        </is>
      </c>
      <c r="F120" s="51" t="inlineStr">
        <is>
          <t>A</t>
        </is>
      </c>
      <c r="G120" s="24" t="n"/>
      <c r="H120" s="25" t="inlineStr">
        <is>
          <t>Đã chốt</t>
        </is>
      </c>
      <c r="I120" s="10" t="inlineStr">
        <is>
          <t>TBP CCKB + An ninh</t>
        </is>
      </c>
      <c r="J120" s="24" t="n"/>
      <c r="K120" s="26" t="n"/>
      <c r="L120" s="24" t="n"/>
      <c r="M120" s="10" t="inlineStr">
        <is>
          <t>V1 T08: có nút cho ra thủ công, phải hiện cảnh báo nếu chưa thu.</t>
        </is>
      </c>
      <c r="N120" s="34" t="inlineStr">
        <is>
          <t>Chưa trả lời</t>
        </is>
      </c>
      <c r="O120" s="35" t="inlineStr">
        <is>
          <t>Câu hỏi mới từ phần nghiệp vụ phát sinh; chờ bạn trả lời.</t>
        </is>
      </c>
    </row>
    <row r="121" ht="73.5" customHeight="1" s="81">
      <c r="A121" s="18" t="inlineStr">
        <is>
          <t>CNT01</t>
        </is>
      </c>
      <c r="B121" s="19" t="inlineStr">
        <is>
          <t>02. Lưu container</t>
        </is>
      </c>
      <c r="C121" s="20" t="inlineStr">
        <is>
          <t>P0</t>
        </is>
      </c>
      <c r="D121" s="10" t="inlineStr">
        <is>
          <t>Phí lưu chốt theo giờ CCKB duyệt/thu hay giờ container ra thật? Ai kiểm tra tiền cuối cùng: An ninh hay CCKB?</t>
        </is>
      </c>
      <c r="E121" s="10" t="inlineStr">
        <is>
          <t>A. Chốt tại lần thu/duyệt CCKB; B. Chốt tại giờ ra thực tế + An ninh kiểm tra/CCKB thu; C. Kết hợp theo quy trình.</t>
        </is>
      </c>
      <c r="F121" s="51" t="inlineStr">
        <is>
          <t>B</t>
        </is>
      </c>
      <c r="G121" s="51" t="inlineStr">
        <is>
          <t>Phí lưu là an ninh chốt theo lúc container đó ra, an ninh thu phí lưu nhé</t>
        </is>
      </c>
      <c r="H121" s="25" t="inlineStr">
        <is>
          <t>Đã chốt</t>
        </is>
      </c>
      <c r="I121" s="10" t="inlineStr">
        <is>
          <t>TBP CCKB + TBP An ninh</t>
        </is>
      </c>
      <c r="J121" s="24" t="n"/>
      <c r="K121" s="26" t="n"/>
      <c r="L121" s="24" t="n"/>
      <c r="M121" s="10" t="inlineStr">
        <is>
          <t>Mâu thuẫn L04, T03, T09 trong V1 đã trả lời.</t>
        </is>
      </c>
      <c r="N121" s="34" t="inlineStr">
        <is>
          <t>Chưa trả lời</t>
        </is>
      </c>
      <c r="O121" s="35" t="inlineStr">
        <is>
          <t>Câu hỏi mới từ phần nghiệp vụ phát sinh; chờ bạn trả lời.</t>
        </is>
      </c>
    </row>
    <row r="122" ht="15.75" customHeight="1" s="81"/>
    <row r="123" ht="15.75" customHeight="1" s="81"/>
    <row r="124" ht="15.75" customHeight="1" s="81"/>
    <row r="125" ht="15.75" customHeight="1" s="81"/>
    <row r="126" ht="15.75" customHeight="1" s="81"/>
    <row r="127" ht="15.75" customHeight="1" s="81"/>
    <row r="128" ht="15.75" customHeight="1" s="81"/>
    <row r="129" ht="15.75" customHeight="1" s="81"/>
    <row r="130" ht="15.75" customHeight="1" s="81"/>
    <row r="131" ht="15.75" customHeight="1" s="81"/>
    <row r="132" ht="15.75" customHeight="1" s="81"/>
    <row r="133" ht="15.75" customHeight="1" s="81"/>
    <row r="134" ht="15.75" customHeight="1" s="81"/>
    <row r="135" ht="15.75" customHeight="1" s="81"/>
    <row r="136" ht="15.75" customHeight="1" s="81"/>
    <row r="137" ht="15.75" customHeight="1" s="81"/>
    <row r="138" ht="15.75" customHeight="1" s="81"/>
    <row r="139" ht="15.75" customHeight="1" s="81"/>
    <row r="140" ht="15.75" customHeight="1" s="81"/>
    <row r="141" ht="15.75" customHeight="1" s="81"/>
    <row r="142" ht="15.75" customHeight="1" s="81"/>
    <row r="143" ht="15.75" customHeight="1" s="81"/>
    <row r="144" ht="15.75" customHeight="1" s="81"/>
    <row r="145" ht="15.75" customHeight="1" s="81"/>
    <row r="146" ht="15.75" customHeight="1" s="81"/>
    <row r="147" ht="15.75" customHeight="1" s="81"/>
    <row r="148" ht="15.75" customHeight="1" s="81"/>
    <row r="149" ht="15.75" customHeight="1" s="81"/>
    <row r="150" ht="15.75" customHeight="1" s="81"/>
    <row r="151" ht="15.75" customHeight="1" s="81"/>
    <row r="152" ht="15.75" customHeight="1" s="81"/>
    <row r="153" ht="15.75" customHeight="1" s="81"/>
    <row r="154" ht="15.75" customHeight="1" s="81"/>
    <row r="155" ht="15.75" customHeight="1" s="81"/>
    <row r="156" ht="15.75" customHeight="1" s="81"/>
    <row r="157" ht="15.75" customHeight="1" s="81"/>
    <row r="158" ht="15.75" customHeight="1" s="81"/>
    <row r="159" ht="15.75" customHeight="1" s="81"/>
    <row r="160" ht="15.75" customHeight="1" s="81"/>
    <row r="161" ht="15.75" customHeight="1" s="81"/>
    <row r="162" ht="15.75" customHeight="1" s="81"/>
    <row r="163" ht="15.75" customHeight="1" s="81"/>
    <row r="164" ht="15.75" customHeight="1" s="81"/>
    <row r="165" ht="15.75" customHeight="1" s="81"/>
    <row r="166" ht="15.75" customHeight="1" s="81"/>
    <row r="167" ht="15.75" customHeight="1" s="81"/>
    <row r="168" ht="15.75" customHeight="1" s="81"/>
    <row r="169" ht="15.75" customHeight="1" s="81"/>
    <row r="170" ht="15.75" customHeight="1" s="81"/>
    <row r="171" ht="15.75" customHeight="1" s="81"/>
    <row r="172" ht="15.75" customHeight="1" s="81"/>
    <row r="173" ht="15.75" customHeight="1" s="81"/>
    <row r="174" ht="15.75" customHeight="1" s="81"/>
    <row r="175" ht="15.75" customHeight="1" s="81"/>
    <row r="176" ht="15.75" customHeight="1" s="81"/>
    <row r="177" ht="15.75" customHeight="1" s="81"/>
    <row r="178" ht="15.75" customHeight="1" s="81"/>
    <row r="179" ht="15.75" customHeight="1" s="81"/>
    <row r="180" ht="15.75" customHeight="1" s="81"/>
    <row r="181" ht="15.75" customHeight="1" s="81"/>
    <row r="182" ht="15.75" customHeight="1" s="81"/>
    <row r="183" ht="15.75" customHeight="1" s="81"/>
    <row r="184" ht="15.75" customHeight="1" s="81"/>
    <row r="185" ht="15.75" customHeight="1" s="81"/>
    <row r="186" ht="15.75" customHeight="1" s="81"/>
    <row r="187" ht="15.75" customHeight="1" s="81"/>
    <row r="188" ht="15.75" customHeight="1" s="81"/>
    <row r="189" ht="15.75" customHeight="1" s="81"/>
    <row r="190" ht="15.75" customHeight="1" s="81"/>
    <row r="191" ht="15.75" customHeight="1" s="81"/>
    <row r="192" ht="15.75" customHeight="1" s="81"/>
    <row r="193" ht="15.75" customHeight="1" s="81"/>
    <row r="194" ht="15.75" customHeight="1" s="81"/>
    <row r="195" ht="15.75" customHeight="1" s="81"/>
    <row r="196" ht="15.75" customHeight="1" s="81"/>
    <row r="197" ht="15.75" customHeight="1" s="81"/>
    <row r="198" ht="15.75" customHeight="1" s="81"/>
    <row r="199" ht="15.75" customHeight="1" s="81"/>
    <row r="200" ht="15.75" customHeight="1" s="81"/>
    <row r="201" ht="15.75" customHeight="1" s="81"/>
    <row r="202" ht="15.75" customHeight="1" s="81"/>
    <row r="203" ht="15.75" customHeight="1" s="81"/>
    <row r="204" ht="15.75" customHeight="1" s="81"/>
    <row r="205" ht="15.75" customHeight="1" s="81"/>
    <row r="206" ht="15.75" customHeight="1" s="81"/>
    <row r="207" ht="15.75" customHeight="1" s="81"/>
    <row r="208" ht="15.75" customHeight="1" s="81"/>
    <row r="209" ht="15.75" customHeight="1" s="81"/>
    <row r="210" ht="15.75" customHeight="1" s="81"/>
    <row r="211" ht="15.75" customHeight="1" s="81"/>
    <row r="212" ht="15.75" customHeight="1" s="81"/>
    <row r="213" ht="15.75" customHeight="1" s="81"/>
    <row r="214" ht="15.75" customHeight="1" s="81"/>
    <row r="215" ht="15.75" customHeight="1" s="81"/>
    <row r="216" ht="15.75" customHeight="1" s="81"/>
    <row r="217" ht="15.75" customHeight="1" s="81"/>
    <row r="218" ht="15.75" customHeight="1" s="81"/>
    <row r="219" ht="15.75" customHeight="1" s="81"/>
    <row r="220" ht="15.75" customHeight="1" s="81"/>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autoFilter ref="$A$4:$O$121"/>
  <mergeCells count="2">
    <mergeCell ref="A1:O1"/>
    <mergeCell ref="A2:O2"/>
  </mergeCells>
  <conditionalFormatting sqref="H5:H102 H121">
    <cfRule type="expression" priority="1" dxfId="0">
      <formula>H5="Đã chốt"</formula>
    </cfRule>
    <cfRule type="expression" priority="2" dxfId="1">
      <formula>H5="Chờ trả lời"</formula>
    </cfRule>
  </conditionalFormatting>
  <conditionalFormatting sqref="H103:H117">
    <cfRule type="expression" priority="3" dxfId="0">
      <formula>H5="Đã chốt"</formula>
    </cfRule>
    <cfRule type="expression" priority="4" dxfId="1">
      <formula>H5="Chờ trả lời"</formula>
    </cfRule>
  </conditionalFormatting>
  <dataValidations count="2">
    <dataValidation sqref="H5:H121" showDropDown="0" showInputMessage="1" showErrorMessage="0" allowBlank="1" prompt="Chọn từ danh sách - Có thể chọn từ danh sách hoặc điền nội dung chi tiết ở cột bên cạnh." type="list">
      <formula1>"Chờ trả lời,Đang trao đổi,Đã chốt,Không áp dụng"</formula1>
    </dataValidation>
    <dataValidation sqref="F5:F121" showDropDown="0" showInputMessage="1" showErrorMessage="0" allowBlank="1" prompt="Chọn từ danh sách - Có thể chọn từ danh sách hoặc điền nội dung chi tiết ở cột bên cạnh." type="list">
      <formula1>"A,B,C,Khác,Không áp dụng"</formula1>
    </dataValidation>
  </dataValidations>
  <pageMargins left="0.25" right="0.25" top="0.45" bottom="0.45" header="0" footer="0"/>
  <pageSetup orientation="landscape" paperSize="8" fitToHeight="0"/>
  <headerFooter>
    <oddHeader/>
    <oddFooter>&amp;CPWA Son Cang | Yeu cau nghiep vu | Trang &amp;P /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FF0A9444"/>
    <outlinePr summaryBelow="1" summaryRight="1"/>
    <pageSetUpPr fitToPage="1"/>
  </sheetPr>
  <dimension ref="A1:G55"/>
  <sheetViews>
    <sheetView showGridLines="0"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9" customWidth="1" style="81" min="1" max="1"/>
    <col width="26" customWidth="1" style="81" min="2" max="2"/>
    <col width="82" customWidth="1" style="81" min="3" max="3"/>
    <col width="70" customWidth="1" style="81" min="4" max="4"/>
    <col width="42" customWidth="1" style="81" min="5" max="5"/>
    <col width="16" customWidth="1" style="81" min="6" max="6"/>
    <col width="52" customWidth="1" style="81" min="7" max="7"/>
    <col width="8.710000000000001" customWidth="1" style="81" min="8" max="26"/>
  </cols>
  <sheetData>
    <row r="1" ht="36" customHeight="1" s="81">
      <c r="A1" s="82" t="inlineStr">
        <is>
          <t>QUYẾT ĐỊNH ĐÃ XÁC NHẬN — BAO GỒM PHẢN HỒI V1</t>
        </is>
      </c>
    </row>
    <row r="2" ht="33" customHeight="1" s="81">
      <c r="A2" s="83" t="inlineStr">
        <is>
          <t>Các mục còn cần điều kiện chi tiết được ghi rõ trong cột Quy tắc; không suy diễn là hoàn thành mọi phân quyền và ngoại lệ.</t>
        </is>
      </c>
    </row>
    <row r="4" ht="33" customHeight="1" s="81">
      <c r="A4" s="5" t="inlineStr">
        <is>
          <t>STT</t>
        </is>
      </c>
      <c r="B4" s="5" t="inlineStr">
        <is>
          <t>Nhóm</t>
        </is>
      </c>
      <c r="C4" s="5" t="inlineStr">
        <is>
          <t>Quyết định đã xác nhận</t>
        </is>
      </c>
      <c r="D4" s="5" t="inlineStr">
        <is>
          <t>Giá trị / Quy tắc</t>
        </is>
      </c>
      <c r="E4" s="5" t="inlineStr">
        <is>
          <t>Trách nhiệm</t>
        </is>
      </c>
      <c r="F4" s="5" t="inlineStr">
        <is>
          <t>Trạng thái</t>
        </is>
      </c>
      <c r="G4" s="5" t="inlineStr">
        <is>
          <t>Nguồn xác nhận</t>
        </is>
      </c>
    </row>
    <row r="5" ht="30.75" customHeight="1" s="81">
      <c r="A5" s="8" t="n">
        <v>1</v>
      </c>
      <c r="B5" s="9" t="inlineStr">
        <is>
          <t>Phạm vi</t>
        </is>
      </c>
      <c r="C5" s="10" t="inlineStr">
        <is>
          <t>PWA/Web thay thế AppSheet Sơn Cảng sau nghiệm thu</t>
        </is>
      </c>
      <c r="D5" s="10" t="inlineStr">
        <is>
          <t>V1 có kiểm soát cổng, container, phí và cắm điện</t>
        </is>
      </c>
      <c r="E5" s="9" t="inlineStr">
        <is>
          <t>CNTT / Các BP</t>
        </is>
      </c>
      <c r="F5" s="9" t="inlineStr">
        <is>
          <t>Đã chốt</t>
        </is>
      </c>
      <c r="G5" s="9" t="inlineStr">
        <is>
          <t>Trao đổi do Sơn Cảng xác nhận, tháng 10/2026</t>
        </is>
      </c>
    </row>
    <row r="6" ht="30.75" customHeight="1" s="81">
      <c r="A6" s="12" t="n">
        <v>2</v>
      </c>
      <c r="B6" s="13" t="inlineStr">
        <is>
          <t>Phạm vi</t>
        </is>
      </c>
      <c r="C6" s="14" t="inlineStr">
        <is>
          <t>Xây phân hệ cắm điện container ngay trong V1</t>
        </is>
      </c>
      <c r="D6" s="14" t="inlineStr">
        <is>
          <t>Dùng chung dữ liệu container và cơ chế thanh toán</t>
        </is>
      </c>
      <c r="E6" s="13" t="inlineStr">
        <is>
          <t>CCKB / An ninh</t>
        </is>
      </c>
      <c r="F6" s="13" t="inlineStr">
        <is>
          <t>Đã chốt</t>
        </is>
      </c>
      <c r="G6" s="13" t="inlineStr">
        <is>
          <t>Trao đổi do Sơn Cảng xác nhận, tháng 10/2026</t>
        </is>
      </c>
    </row>
    <row r="7" ht="30.75" customHeight="1" s="81">
      <c r="A7" s="8" t="n">
        <v>3</v>
      </c>
      <c r="B7" s="9" t="inlineStr">
        <is>
          <t>Nghiệp vụ</t>
        </is>
      </c>
      <c r="C7" s="10" t="inlineStr">
        <is>
          <t>Xe/container quản lý tách lượt, có thể khác xe vào/xe ra</t>
        </is>
      </c>
      <c r="D7" s="10" t="inlineStr">
        <is>
          <t>Xe hạ container rồi ra; container tiếp tục ở trong bãi</t>
        </is>
      </c>
      <c r="E7" s="9" t="inlineStr">
        <is>
          <t>An ninh / Điều phối</t>
        </is>
      </c>
      <c r="F7" s="9" t="inlineStr">
        <is>
          <t>Đã chốt</t>
        </is>
      </c>
      <c r="G7" s="9" t="inlineStr">
        <is>
          <t>Trao đổi do Sơn Cảng xác nhận, tháng 10/2026</t>
        </is>
      </c>
    </row>
    <row r="8" ht="30.75" customHeight="1" s="81">
      <c r="A8" s="12" t="n">
        <v>4</v>
      </c>
      <c r="B8" s="13" t="inlineStr">
        <is>
          <t>Nghiệp vụ</t>
        </is>
      </c>
      <c r="C8" s="14" t="inlineStr">
        <is>
          <t>Xe có container có thể ra cùng container hoặc hạ container</t>
        </is>
      </c>
      <c r="D8" s="14" t="inlineStr">
        <is>
          <t>Việc hạ không quyết định phát sinh phí lưu</t>
        </is>
      </c>
      <c r="E8" s="13" t="inlineStr">
        <is>
          <t>An ninh</t>
        </is>
      </c>
      <c r="F8" s="13" t="inlineStr">
        <is>
          <t>Đã chốt</t>
        </is>
      </c>
      <c r="G8" s="13" t="inlineStr">
        <is>
          <t>Trao đổi do Sơn Cảng xác nhận, tháng 10/2026</t>
        </is>
      </c>
    </row>
    <row r="9" ht="30.75" customHeight="1" s="81">
      <c r="A9" s="8" t="n">
        <v>5</v>
      </c>
      <c r="B9" s="9" t="inlineStr">
        <is>
          <t>Thông tin xe</t>
        </is>
      </c>
      <c r="C9" s="10" t="inlineStr">
        <is>
          <t>Xe có mang container mới yêu cầu nhập SO_CONTAINER</t>
        </is>
      </c>
      <c r="D9" s="10" t="inlineStr">
        <is>
          <t>Loại xe bo không mang container không bị hỏi số container</t>
        </is>
      </c>
      <c r="E9" s="9" t="inlineStr">
        <is>
          <t>An ninh</t>
        </is>
      </c>
      <c r="F9" s="9" t="inlineStr">
        <is>
          <t>Đã chốt</t>
        </is>
      </c>
      <c r="G9" s="9" t="inlineStr">
        <is>
          <t>Trao đổi do Sơn Cảng xác nhận, tháng 10/2026</t>
        </is>
      </c>
    </row>
    <row r="10" ht="30.75" customHeight="1" s="81">
      <c r="A10" s="12" t="n">
        <v>6</v>
      </c>
      <c r="B10" s="13" t="inlineStr">
        <is>
          <t>Thông tin xe</t>
        </is>
      </c>
      <c r="C10" s="14" t="inlineStr">
        <is>
          <t>Xe bo ba bánh không yêu cầu biển số xe</t>
        </is>
      </c>
      <c r="D10" s="14" t="inlineStr">
        <is>
          <t>Phí vé vào 40.000 đồng/lượt</t>
        </is>
      </c>
      <c r="E10" s="13" t="inlineStr">
        <is>
          <t>An ninh</t>
        </is>
      </c>
      <c r="F10" s="13" t="inlineStr">
        <is>
          <t>Đã chốt</t>
        </is>
      </c>
      <c r="G10" s="13" t="inlineStr">
        <is>
          <t>Trao đổi do Sơn Cảng xác nhận, tháng 10/2026</t>
        </is>
      </c>
    </row>
    <row r="11" ht="30.75" customHeight="1" s="81">
      <c r="A11" s="8" t="n">
        <v>7</v>
      </c>
      <c r="B11" s="9" t="inlineStr">
        <is>
          <t>Vé xe</t>
        </is>
      </c>
      <c r="C11" s="10" t="inlineStr">
        <is>
          <t>Xe container lạnh vé vào 250.000 đồng/lượt</t>
        </is>
      </c>
      <c r="D11" s="10" t="inlineStr">
        <is>
          <t>Dùng mã CONT_LANH trong PRICE_LIST</t>
        </is>
      </c>
      <c r="E11" s="9" t="inlineStr">
        <is>
          <t>An ninh</t>
        </is>
      </c>
      <c r="F11" s="9" t="inlineStr">
        <is>
          <t>Đã chốt</t>
        </is>
      </c>
      <c r="G11" s="9" t="inlineStr">
        <is>
          <t>Trao đổi do Sơn Cảng xác nhận, tháng 10/2026</t>
        </is>
      </c>
    </row>
    <row r="12" ht="30.75" customHeight="1" s="81">
      <c r="A12" s="12" t="n">
        <v>8</v>
      </c>
      <c r="B12" s="13" t="inlineStr">
        <is>
          <t>Vé xe</t>
        </is>
      </c>
      <c r="C12" s="14" t="inlineStr">
        <is>
          <t>Đầu kéo không container vé vào 0 đồng/lượt</t>
        </is>
      </c>
      <c r="D12" s="14" t="inlineStr">
        <is>
          <t>Dùng mã DAU_KEO trong PRICE_LIST mới</t>
        </is>
      </c>
      <c r="E12" s="13" t="inlineStr">
        <is>
          <t>An ninh</t>
        </is>
      </c>
      <c r="F12" s="13" t="inlineStr">
        <is>
          <t>Đã chốt</t>
        </is>
      </c>
      <c r="G12" s="13" t="inlineStr">
        <is>
          <t>Trao đổi do Sơn Cảng xác nhận, tháng 10/2026</t>
        </is>
      </c>
    </row>
    <row r="13" ht="30.75" customHeight="1" s="81">
      <c r="A13" s="8" t="n">
        <v>9</v>
      </c>
      <c r="B13" s="9" t="inlineStr">
        <is>
          <t>Vé xe</t>
        </is>
      </c>
      <c r="C13" s="10" t="inlineStr">
        <is>
          <t>Xe bo 3 chân / 4 chân vé vào 200.000 đồng/lượt</t>
        </is>
      </c>
      <c r="D13" s="10" t="inlineStr">
        <is>
          <t>Dùng mã riêng theo PRICE_LIST</t>
        </is>
      </c>
      <c r="E13" s="9" t="inlineStr">
        <is>
          <t>An ninh</t>
        </is>
      </c>
      <c r="F13" s="9" t="inlineStr">
        <is>
          <t>Đã chốt</t>
        </is>
      </c>
      <c r="G13" s="9" t="inlineStr">
        <is>
          <t>Trao đổi do Sơn Cảng xác nhận, tháng 10/2026</t>
        </is>
      </c>
    </row>
    <row r="14" ht="30.75" customHeight="1" s="81">
      <c r="A14" s="12" t="n">
        <v>10</v>
      </c>
      <c r="B14" s="13" t="inlineStr">
        <is>
          <t>Vé xe</t>
        </is>
      </c>
      <c r="C14" s="14" t="inlineStr">
        <is>
          <t>Xe bo 8 tấn/2 chân vé vào 100.000 đồng/lượt</t>
        </is>
      </c>
      <c r="D14" s="14" t="inlineStr">
        <is>
          <t>Dùng mã XE_BO_8_TAN_2_CHAN</t>
        </is>
      </c>
      <c r="E14" s="13" t="inlineStr">
        <is>
          <t>An ninh</t>
        </is>
      </c>
      <c r="F14" s="13" t="inlineStr">
        <is>
          <t>Đã chốt</t>
        </is>
      </c>
      <c r="G14" s="13" t="inlineStr">
        <is>
          <t>Trao đổi do Sơn Cảng xác nhận, tháng 10/2026</t>
        </is>
      </c>
    </row>
    <row r="15" ht="30.75" customHeight="1" s="81">
      <c r="A15" s="8" t="n">
        <v>11</v>
      </c>
      <c r="B15" s="9" t="inlineStr">
        <is>
          <t>Vé xe</t>
        </is>
      </c>
      <c r="C15" s="10" t="inlineStr">
        <is>
          <t>Xe sang tải (tạp) vé vào 0 đồng/lượt</t>
        </is>
      </c>
      <c r="D15" s="10" t="inlineStr">
        <is>
          <t>Dùng mã XE_SANG_TAI</t>
        </is>
      </c>
      <c r="E15" s="9" t="inlineStr">
        <is>
          <t>An ninh</t>
        </is>
      </c>
      <c r="F15" s="9" t="inlineStr">
        <is>
          <t>Đã chốt</t>
        </is>
      </c>
      <c r="G15" s="9" t="inlineStr">
        <is>
          <t>Trao đổi do Sơn Cảng xác nhận, tháng 10/2026</t>
        </is>
      </c>
    </row>
    <row r="16" ht="30.75" customHeight="1" s="81">
      <c r="A16" s="12" t="n">
        <v>12</v>
      </c>
      <c r="B16" s="13" t="inlineStr">
        <is>
          <t>Lưu container</t>
        </is>
      </c>
      <c r="C16" s="14" t="inlineStr">
        <is>
          <t>Phí lưu tính theo CONTAINER, không phải lưu XE</t>
        </is>
      </c>
      <c r="D16" s="14" t="inlineStr">
        <is>
          <t>Bắt đầu GIO_CONT_VAO, kết thúc GIO_CONT_RA</t>
        </is>
      </c>
      <c r="E16" s="13" t="inlineStr">
        <is>
          <t>CCKB</t>
        </is>
      </c>
      <c r="F16" s="13" t="inlineStr">
        <is>
          <t>Đã chốt</t>
        </is>
      </c>
      <c r="G16" s="13" t="inlineStr">
        <is>
          <t>Trao đổi do Sơn Cảng xác nhận, tháng 10/2026</t>
        </is>
      </c>
    </row>
    <row r="17" ht="30.75" customHeight="1" s="81">
      <c r="A17" s="8" t="n">
        <v>13</v>
      </c>
      <c r="B17" s="9" t="inlineStr">
        <is>
          <t>Lưu container</t>
        </is>
      </c>
      <c r="C17" s="10" t="inlineStr">
        <is>
          <t>Container trong bãi được tính theo đêm bất kể hạ hay không</t>
        </is>
      </c>
      <c r="D17" s="10" t="inlineStr">
        <is>
          <t>Không cần xác nhận hạ để bắt đầu tính</t>
        </is>
      </c>
      <c r="E17" s="9" t="inlineStr">
        <is>
          <t>CCKB / An ninh</t>
        </is>
      </c>
      <c r="F17" s="9" t="inlineStr">
        <is>
          <t>Đã chốt</t>
        </is>
      </c>
      <c r="G17" s="9" t="inlineStr">
        <is>
          <t>Trao đổi do Sơn Cảng xác nhận, tháng 10/2026</t>
        </is>
      </c>
    </row>
    <row r="18" ht="30.75" customHeight="1" s="81">
      <c r="A18" s="12" t="n">
        <v>14</v>
      </c>
      <c r="B18" s="13" t="inlineStr">
        <is>
          <t>Lưu container</t>
        </is>
      </c>
      <c r="C18" s="14" t="inlineStr">
        <is>
          <t>Phí lưu container 100.000 đồng/cont/đêm</t>
        </is>
      </c>
      <c r="D18" s="14" t="inlineStr">
        <is>
          <t>Miễn phí 1 đêm đầu; thông số 22:00–06:00</t>
        </is>
      </c>
      <c r="E18" s="13" t="inlineStr">
        <is>
          <t>CCKB</t>
        </is>
      </c>
      <c r="F18" s="13" t="inlineStr">
        <is>
          <t>Đã chốt</t>
        </is>
      </c>
      <c r="G18" s="13" t="inlineStr">
        <is>
          <t>Trao đổi do Sơn Cảng xác nhận, tháng 10/2026</t>
        </is>
      </c>
    </row>
    <row r="19" ht="30.75" customHeight="1" s="81">
      <c r="A19" s="8" t="n">
        <v>15</v>
      </c>
      <c r="B19" s="9" t="inlineStr">
        <is>
          <t>Lưu container</t>
        </is>
      </c>
      <c r="C19" s="10" t="inlineStr">
        <is>
          <t>Công thức phí: MAX(0, số đêm - 1) × 100.000đ</t>
        </is>
      </c>
      <c r="D19" s="10" t="inlineStr">
        <is>
          <t>L01/L02 đã chọn A ở các mốc 22:00 và 06:00; riêng phí khi duyệt trước 22:00 nhưng ra sau vẫn còn xung đột L04/T09.</t>
        </is>
      </c>
      <c r="E19" s="9" t="inlineStr">
        <is>
          <t>CCKB</t>
        </is>
      </c>
      <c r="F19" s="9" t="inlineStr">
        <is>
          <t>Đã chốt</t>
        </is>
      </c>
      <c r="G19" s="9" t="inlineStr">
        <is>
          <t>Trao đổi do Sơn Cảng xác nhận, tháng 10/2026</t>
        </is>
      </c>
    </row>
    <row r="20" ht="30.75" customHeight="1" s="81">
      <c r="A20" s="12" t="n">
        <v>16</v>
      </c>
      <c r="B20" s="13" t="inlineStr">
        <is>
          <t>Vé giấy</t>
        </is>
      </c>
      <c r="C20" s="14" t="inlineStr">
        <is>
          <t>Đang vận hành vé xe 02 liên, liên 02 giao lái xe</t>
        </is>
      </c>
      <c r="D20" s="14" t="inlineStr">
        <is>
          <t>Lái xe xuất trình liên 02 khi ra, nếu không có bị phạt 250.000đ</t>
        </is>
      </c>
      <c r="E20" s="13" t="inlineStr">
        <is>
          <t>An ninh</t>
        </is>
      </c>
      <c r="F20" s="13" t="inlineStr">
        <is>
          <t>Đã chốt</t>
        </is>
      </c>
      <c r="G20" s="13" t="inlineStr">
        <is>
          <t>Trao đổi do Sơn Cảng xác nhận, tháng 10/2026</t>
        </is>
      </c>
    </row>
    <row r="21" ht="30.75" customHeight="1" s="81">
      <c r="A21" s="8" t="n">
        <v>17</v>
      </c>
      <c r="B21" s="9" t="inlineStr">
        <is>
          <t>Tổ chức</t>
        </is>
      </c>
      <c r="C21" s="10" t="inlineStr">
        <is>
          <t>Có 3 BP: An ninh, Nghiệp vụ CCKB, Điều phối</t>
        </is>
      </c>
      <c r="D21" s="10" t="inlineStr">
        <is>
          <t>Mỗi BP có nhân viên và trưởng BP; thêm Quản trị</t>
        </is>
      </c>
      <c r="E21" s="9" t="inlineStr">
        <is>
          <t>Các TBP</t>
        </is>
      </c>
      <c r="F21" s="9" t="inlineStr">
        <is>
          <t>Đã chốt</t>
        </is>
      </c>
      <c r="G21" s="9" t="inlineStr">
        <is>
          <t>Trao đổi do Sơn Cảng xác nhận, tháng 10/2026</t>
        </is>
      </c>
    </row>
    <row r="22" ht="30.75" customHeight="1" s="81">
      <c r="A22" s="12" t="n">
        <v>18</v>
      </c>
      <c r="B22" s="13" t="inlineStr">
        <is>
          <t>An ninh</t>
        </is>
      </c>
      <c r="C22" s="14" t="inlineStr">
        <is>
          <t>An ninh kiểm soát xe vào/ra, trực tiếp cắm và rút điện</t>
        </is>
      </c>
      <c r="D22" s="14" t="inlineStr">
        <is>
          <t>Thực hiện ngoài hiện trường, không buộc tự nhập giờ điện trên PWA</t>
        </is>
      </c>
      <c r="E22" s="13" t="inlineStr">
        <is>
          <t>An ninh</t>
        </is>
      </c>
      <c r="F22" s="13" t="inlineStr">
        <is>
          <t>Đã chốt</t>
        </is>
      </c>
      <c r="G22" s="13" t="inlineStr">
        <is>
          <t>Trao đổi do Sơn Cảng xác nhận, tháng 10/2026</t>
        </is>
      </c>
    </row>
    <row r="23" ht="30.75" customHeight="1" s="81">
      <c r="A23" s="8" t="n">
        <v>19</v>
      </c>
      <c r="B23" s="9" t="inlineStr">
        <is>
          <t>An ninh</t>
        </is>
      </c>
      <c r="C23" s="10" t="inlineStr">
        <is>
          <t>An ninh trực tiếp thu tiền vé xe vào bãi</t>
        </is>
      </c>
      <c r="D23" s="10" t="inlineStr">
        <is>
          <t>Tách doanh thu vé với khoản CCKB thu</t>
        </is>
      </c>
      <c r="E23" s="9" t="inlineStr">
        <is>
          <t>An ninh</t>
        </is>
      </c>
      <c r="F23" s="9" t="inlineStr">
        <is>
          <t>Đã chốt</t>
        </is>
      </c>
      <c r="G23" s="9" t="inlineStr">
        <is>
          <t>Trao đổi do Sơn Cảng xác nhận, tháng 10/2026</t>
        </is>
      </c>
    </row>
    <row r="24" ht="30.75" customHeight="1" s="81">
      <c r="A24" s="12" t="n">
        <v>20</v>
      </c>
      <c r="B24" s="13" t="inlineStr">
        <is>
          <t>CCKB</t>
        </is>
      </c>
      <c r="C24" s="14" t="inlineStr">
        <is>
          <t>CCKB nhận yêu cầu điện của khách, điều phối đến An ninh</t>
        </is>
      </c>
      <c r="D24" s="14" t="inlineStr">
        <is>
          <t>An ninh báo giờ thực tế qua Zalo/nhóm để CCKB nhập</t>
        </is>
      </c>
      <c r="E24" s="13" t="inlineStr">
        <is>
          <t>CCKB</t>
        </is>
      </c>
      <c r="F24" s="13" t="inlineStr">
        <is>
          <t>Đã chốt</t>
        </is>
      </c>
      <c r="G24" s="13" t="inlineStr">
        <is>
          <t>Trao đổi do Sơn Cảng xác nhận, tháng 10/2026</t>
        </is>
      </c>
    </row>
    <row r="25" ht="30.75" customHeight="1" s="81">
      <c r="A25" s="8" t="n">
        <v>21</v>
      </c>
      <c r="B25" s="9" t="inlineStr">
        <is>
          <t>CCKB</t>
        </is>
      </c>
      <c r="C25" s="10" t="inlineStr">
        <is>
          <t>CCKB nhập/sửa giờ cắm và rút điện thực tế</t>
        </is>
      </c>
      <c r="D25" s="10" t="inlineStr">
        <is>
          <t>Không khóa cứng; cơ chế duyệt sau khi đã thu còn chờ chốt</t>
        </is>
      </c>
      <c r="E25" s="9" t="inlineStr">
        <is>
          <t>CCKB</t>
        </is>
      </c>
      <c r="F25" s="9" t="inlineStr">
        <is>
          <t>Đã chốt</t>
        </is>
      </c>
      <c r="G25" s="9" t="inlineStr">
        <is>
          <t>Trao đổi do Sơn Cảng xác nhận, tháng 10/2026</t>
        </is>
      </c>
    </row>
    <row r="26" ht="30.75" customHeight="1" s="81">
      <c r="A26" s="12" t="n">
        <v>22</v>
      </c>
      <c r="B26" s="13" t="inlineStr">
        <is>
          <t>CCKB</t>
        </is>
      </c>
      <c r="C26" s="14" t="inlineStr">
        <is>
          <t>CCKB tính và trực tiếp thu phí lưu container + tiền điện</t>
        </is>
      </c>
      <c r="D26" s="14" t="inlineStr">
        <is>
          <t>Đã chốt phân công ban đầu; V1 T03/T09 lại nêu An ninh thu/tính lưu đêm lúc ra — đang ở 11_RA_SOAT_V1.</t>
        </is>
      </c>
      <c r="E26" s="13" t="inlineStr">
        <is>
          <t>CCKB</t>
        </is>
      </c>
      <c r="F26" s="13" t="inlineStr">
        <is>
          <t>Đã chốt</t>
        </is>
      </c>
      <c r="G26" s="13" t="inlineStr">
        <is>
          <t>Trao đổi do Sơn Cảng xác nhận, tháng 10/2026</t>
        </is>
      </c>
    </row>
    <row r="27" ht="30.75" customHeight="1" s="81">
      <c r="A27" s="8" t="n">
        <v>23</v>
      </c>
      <c r="B27" s="9" t="inlineStr">
        <is>
          <t>CCKB</t>
        </is>
      </c>
      <c r="C27" s="10" t="inlineStr">
        <is>
          <t>CCKB xác nhận đủ điều kiện tài chính để xe/container ra</t>
        </is>
      </c>
      <c r="D27" s="10" t="inlineStr">
        <is>
          <t>Bao gồm nút CCKB duyệt ra bằng tay dù chưa thu đủ (T08) có cảnh báo; chờ quy định quyền và lý do.</t>
        </is>
      </c>
      <c r="E27" s="9" t="inlineStr">
        <is>
          <t>CCKB / An ninh</t>
        </is>
      </c>
      <c r="F27" s="9" t="inlineStr">
        <is>
          <t>Đã chốt</t>
        </is>
      </c>
      <c r="G27" s="9" t="inlineStr">
        <is>
          <t>Trao đổi do Sơn Cảng xác nhận, tháng 10/2026</t>
        </is>
      </c>
    </row>
    <row r="28" ht="30.75" customHeight="1" s="81">
      <c r="A28" s="12" t="n">
        <v>24</v>
      </c>
      <c r="B28" s="13" t="inlineStr">
        <is>
          <t>Điều phối</t>
        </is>
      </c>
      <c r="C28" s="14" t="inlineStr">
        <is>
          <t>Điều phối cập nhật container HÀNG/RỖNG</t>
        </is>
      </c>
      <c r="D28" s="14" t="inlineStr">
        <is>
          <t>Tách quyền Điều phối với An ninh và CCKB</t>
        </is>
      </c>
      <c r="E28" s="13" t="inlineStr">
        <is>
          <t>Điều phối</t>
        </is>
      </c>
      <c r="F28" s="13" t="inlineStr">
        <is>
          <t>Đã chốt</t>
        </is>
      </c>
      <c r="G28" s="13" t="inlineStr">
        <is>
          <t>Trao đổi do Sơn Cảng xác nhận, tháng 10/2026</t>
        </is>
      </c>
    </row>
    <row r="29" ht="30.75" customHeight="1" s="81">
      <c r="A29" s="8" t="n">
        <v>25</v>
      </c>
      <c r="B29" s="9" t="inlineStr">
        <is>
          <t>Điện</t>
        </is>
      </c>
      <c r="C29" s="10" t="inlineStr">
        <is>
          <t>Phí điện hiện tại 100.000 đồng/giờ - Theo giờ</t>
        </is>
      </c>
      <c r="D29" s="10" t="inlineStr">
        <is>
          <t>Mã điện riêng; quản trị linh hoạt trong PRICE_LIST</t>
        </is>
      </c>
      <c r="E29" s="9" t="inlineStr">
        <is>
          <t>CCKB</t>
        </is>
      </c>
      <c r="F29" s="9" t="inlineStr">
        <is>
          <t>Đã chốt</t>
        </is>
      </c>
      <c r="G29" s="9" t="inlineStr">
        <is>
          <t>Trao đổi do Sơn Cảng xác nhận, tháng 10/2026</t>
        </is>
      </c>
    </row>
    <row r="30" ht="30.75" customHeight="1" s="81">
      <c r="A30" s="12" t="n">
        <v>26</v>
      </c>
      <c r="B30" s="13" t="inlineStr">
        <is>
          <t>Điện</t>
        </is>
      </c>
      <c r="C30" s="14" t="inlineStr">
        <is>
          <t>Phí điện hiện tại 100.000 đồng/giờ - Cắm liên tục</t>
        </is>
      </c>
      <c r="D30" s="14" t="inlineStr">
        <is>
          <t>Dù cùng giá nhưng là mã dịch vụ riêng</t>
        </is>
      </c>
      <c r="E30" s="13" t="inlineStr">
        <is>
          <t>CCKB</t>
        </is>
      </c>
      <c r="F30" s="13" t="inlineStr">
        <is>
          <t>Đã chốt</t>
        </is>
      </c>
      <c r="G30" s="13" t="inlineStr">
        <is>
          <t>Trao đổi do Sơn Cảng xác nhận, tháng 10/2026</t>
        </is>
      </c>
    </row>
    <row r="31" ht="30.75" customHeight="1" s="81">
      <c r="A31" s="8" t="n">
        <v>27</v>
      </c>
      <c r="B31" s="9" t="inlineStr">
        <is>
          <t>Điện</t>
        </is>
      </c>
      <c r="C31" s="10" t="inlineStr">
        <is>
          <t>Thời gian điện tính từ giờ cắm/rút thực tế do CCKB nhập</t>
        </is>
      </c>
      <c r="D31" s="10" t="inlineStr">
        <is>
          <t>Không lấy giờ gửi tin nhắn Zalo hoặc giờ nhập làm mốc tính phí</t>
        </is>
      </c>
      <c r="E31" s="9" t="inlineStr">
        <is>
          <t>CCKB</t>
        </is>
      </c>
      <c r="F31" s="9" t="inlineStr">
        <is>
          <t>Đã chốt</t>
        </is>
      </c>
      <c r="G31" s="9" t="inlineStr">
        <is>
          <t>Trao đổi do Sơn Cảng xác nhận, tháng 10/2026</t>
        </is>
      </c>
    </row>
    <row r="32" ht="30.75" customHeight="1" s="81">
      <c r="A32" s="12" t="n">
        <v>28</v>
      </c>
      <c r="B32" s="13" t="inlineStr">
        <is>
          <t>Điện</t>
        </is>
      </c>
      <c r="C32" s="14" t="inlineStr">
        <is>
          <t>Làm tròn thời gian điện LÊN mỗi 15 phút</t>
        </is>
      </c>
      <c r="D32" s="14" t="inlineStr">
        <is>
          <t>4h53p được tính 5h; 4h01p được tính 4h15p</t>
        </is>
      </c>
      <c r="E32" s="13" t="inlineStr">
        <is>
          <t>CCKB</t>
        </is>
      </c>
      <c r="F32" s="13" t="inlineStr">
        <is>
          <t>Đã chốt</t>
        </is>
      </c>
      <c r="G32" s="13" t="inlineStr">
        <is>
          <t>Trao đổi do Sơn Cảng xác nhận, tháng 10/2026</t>
        </is>
      </c>
    </row>
    <row r="33" ht="30.75" customHeight="1" s="81">
      <c r="A33" s="8" t="n">
        <v>29</v>
      </c>
      <c r="B33" s="9" t="inlineStr">
        <is>
          <t>Điện</t>
        </is>
      </c>
      <c r="C33" s="10" t="inlineStr">
        <is>
          <t>Được thu điện ngay khi rút hoặc thu chung khi container xuất</t>
        </is>
      </c>
      <c r="D33" s="10" t="inlineStr">
        <is>
          <t>Chỉ thu phần còn thiếu, tránh thu trùng</t>
        </is>
      </c>
      <c r="E33" s="9" t="inlineStr">
        <is>
          <t>CCKB</t>
        </is>
      </c>
      <c r="F33" s="9" t="inlineStr">
        <is>
          <t>Đã chốt</t>
        </is>
      </c>
      <c r="G33" s="9" t="inlineStr">
        <is>
          <t>Trao đổi do Sơn Cảng xác nhận, tháng 10/2026</t>
        </is>
      </c>
    </row>
    <row r="34" ht="30.75" customHeight="1" s="81">
      <c r="A34" s="12" t="n">
        <v>30</v>
      </c>
      <c r="B34" s="13" t="inlineStr">
        <is>
          <t>Bảng giá</t>
        </is>
      </c>
      <c r="C34" s="14" t="inlineStr">
        <is>
          <t>Bảng giá linh hoạt, sửa trong PWA không sửa mã nguồn</t>
        </is>
      </c>
      <c r="D34" s="14" t="inlineStr">
        <is>
          <t>2 mã điện có thể thay đổi độc lập; quyền duyệt giá còn chờ chốt</t>
        </is>
      </c>
      <c r="E34" s="13" t="inlineStr">
        <is>
          <t>CCKB / Quản trị</t>
        </is>
      </c>
      <c r="F34" s="13" t="inlineStr">
        <is>
          <t>Đã chốt</t>
        </is>
      </c>
      <c r="G34" s="13" t="inlineStr">
        <is>
          <t>Trao đổi do Sơn Cảng xác nhận, tháng 10/2026</t>
        </is>
      </c>
    </row>
    <row r="35" ht="69" customHeight="1" s="81">
      <c r="A35" s="8" t="n">
        <v>31</v>
      </c>
      <c r="B35" s="9" t="inlineStr">
        <is>
          <t>Cắm điện dự kiến</t>
        </is>
      </c>
      <c r="C35" s="10" t="inlineStr">
        <is>
          <t>CCKB tiếp nhận yêu cầu cắm điện trước khi container vào</t>
        </is>
      </c>
      <c r="D35" s="10" t="inlineStr">
        <is>
          <t>Có thể ghi nhận danh sách container A, B, C để chờ xe/container đến; chưa ghi nhận giờ vào thực tế</t>
        </is>
      </c>
      <c r="E35" s="9" t="inlineStr">
        <is>
          <t>CCKB / An ninh</t>
        </is>
      </c>
      <c r="F35" s="9" t="inlineStr">
        <is>
          <t>Đã chốt</t>
        </is>
      </c>
      <c r="G35" s="9" t="inlineStr">
        <is>
          <t>Người dùng xác nhận 11/10/2026</t>
        </is>
      </c>
    </row>
    <row r="36" ht="69" customHeight="1" s="81">
      <c r="A36" s="8" t="n">
        <v>32</v>
      </c>
      <c r="B36" s="9" t="inlineStr">
        <is>
          <t>Giao diện cổng</t>
        </is>
      </c>
      <c r="C36" s="10" t="inlineStr">
        <is>
          <t>An ninh phải được nhìn thấy yêu cầu điện dự kiến khi nhập số cont vào cổng</t>
        </is>
      </c>
      <c r="D36" s="10" t="inlineStr">
        <is>
          <t>Cần gợi ý/cảnh báo các yêu cầu chờ container vào để An ninh đối chiếu</t>
        </is>
      </c>
      <c r="E36" s="9" t="inlineStr">
        <is>
          <t>An ninh / CCKB</t>
        </is>
      </c>
      <c r="F36" s="9" t="inlineStr">
        <is>
          <t>Đã chốt</t>
        </is>
      </c>
      <c r="G36" s="9" t="inlineStr">
        <is>
          <t>Người dùng xác nhận 11/10/2026</t>
        </is>
      </c>
    </row>
    <row r="37" ht="69" customHeight="1" s="81">
      <c r="A37" s="8" t="n">
        <v>33</v>
      </c>
      <c r="B37" s="9" t="inlineStr">
        <is>
          <t>Sửa số container</t>
        </is>
      </c>
      <c r="C37" s="10" t="inlineStr">
        <is>
          <t>An ninh được sửa số container sai và báo lại CCKB</t>
        </is>
      </c>
      <c r="D37" s="10" t="inlineStr">
        <is>
          <t>Sai có thể đến từ khách hàng, CCKB hoặc hiện trường; sửa phải lưu lịch sử, thông báo cho CCKB; chi tiết chứng cứ/quy trình sau thu chưa chốt</t>
        </is>
      </c>
      <c r="E37" s="9" t="inlineStr">
        <is>
          <t>An ninh / CCKB</t>
        </is>
      </c>
      <c r="F37" s="9" t="inlineStr">
        <is>
          <t>Đã chốt</t>
        </is>
      </c>
      <c r="G37" s="9" t="inlineStr">
        <is>
          <t>Người dùng xác nhận 11/10/2026</t>
        </is>
      </c>
    </row>
    <row r="38" ht="64.5" customHeight="1" s="81">
      <c r="A38" s="8" t="n">
        <v>34</v>
      </c>
      <c r="B38" s="9" t="inlineStr">
        <is>
          <t>Vé vào</t>
        </is>
      </c>
      <c r="C38" s="10" t="inlineStr">
        <is>
          <t>Đầu kéo vào không cont, ra kéo cont: KHÔNG thu thêm vé 250.000đ</t>
        </is>
      </c>
      <c r="D38" s="10" t="inlineStr">
        <is>
          <t>Chỉ thu giá vé lượt vào theo phân loại lúc vào; không miễn phí lưu cont khi cont xuất</t>
        </is>
      </c>
      <c r="E38" s="9" t="inlineStr">
        <is>
          <t>An ninh</t>
        </is>
      </c>
      <c r="F38" s="9" t="inlineStr">
        <is>
          <t>Đã chốt phần nguyên tắc</t>
        </is>
      </c>
      <c r="G38" s="9" t="inlineStr">
        <is>
          <t>V1 đã trả lời: V01</t>
        </is>
      </c>
    </row>
    <row r="39" ht="64.5" customHeight="1" s="81">
      <c r="A39" s="8" t="n">
        <v>35</v>
      </c>
      <c r="B39" s="9" t="inlineStr">
        <is>
          <t>Vé vào</t>
        </is>
      </c>
      <c r="C39" s="10" t="inlineStr">
        <is>
          <t>Mặc định thu tiền vé khi xe vào, có trường hợp thu sau (ít)</t>
        </is>
      </c>
      <c r="D39" s="10" t="inlineStr">
        <is>
          <t>Ngoại lệ thu sau cần thêm quy trình, chưa đặt là bắt buộc có phê duyệt TBP</t>
        </is>
      </c>
      <c r="E39" s="9" t="inlineStr">
        <is>
          <t>An ninh</t>
        </is>
      </c>
      <c r="F39" s="9" t="inlineStr">
        <is>
          <t>Đã chốt phần nguyên tắc</t>
        </is>
      </c>
      <c r="G39" s="9" t="inlineStr">
        <is>
          <t>V1 đã trả lời: V02 (G)</t>
        </is>
      </c>
    </row>
    <row r="40" ht="64.5" customHeight="1" s="81">
      <c r="A40" s="8" t="n">
        <v>36</v>
      </c>
      <c r="B40" s="9" t="inlineStr">
        <is>
          <t>Thông tin xe</t>
        </is>
      </c>
      <c r="C40" s="10" t="inlineStr">
        <is>
          <t>Xe container 250.000đ, đầu kéo không container 0đ</t>
        </is>
      </c>
      <c r="D40" s="10" t="inlineStr">
        <is>
          <t>Tên loại xe trên UI cần chuẩn hóa do PRICE_LIST hiện ghi CONT_LANH</t>
        </is>
      </c>
      <c r="E40" s="9" t="inlineStr">
        <is>
          <t>An ninh</t>
        </is>
      </c>
      <c r="F40" s="9" t="inlineStr">
        <is>
          <t>Đã chốt phần nguyên tắc</t>
        </is>
      </c>
      <c r="G40" s="9" t="inlineStr">
        <is>
          <t>V1 đã trả lời: V03 (G)</t>
        </is>
      </c>
    </row>
    <row r="41" ht="64.5" customHeight="1" s="81">
      <c r="A41" s="8" t="n">
        <v>37</v>
      </c>
      <c r="B41" s="9" t="inlineStr">
        <is>
          <t>Vé giấy</t>
        </is>
      </c>
      <c r="C41" s="10" t="inlineStr">
        <is>
          <t>Số vé giấy hiện chưa bắt buộc nhập</t>
        </is>
      </c>
      <c r="D41" s="10" t="inlineStr">
        <is>
          <t>Tính năng in vé sau này; cần đảm bảo đối chiếu lượt xe không biển số</t>
        </is>
      </c>
      <c r="E41" s="9" t="inlineStr">
        <is>
          <t>An ninh</t>
        </is>
      </c>
      <c r="F41" s="9" t="inlineStr">
        <is>
          <t>Đã chốt phần nguyên tắc</t>
        </is>
      </c>
      <c r="G41" s="9" t="inlineStr">
        <is>
          <t>V1 đã trả lời: V05 (G), V04 (G)</t>
        </is>
      </c>
    </row>
    <row r="42" ht="64.5" customHeight="1" s="81">
      <c r="A42" s="8" t="n">
        <v>38</v>
      </c>
      <c r="B42" s="9" t="inlineStr">
        <is>
          <t>Lưu cont</t>
        </is>
      </c>
      <c r="C42" s="10" t="inlineStr">
        <is>
          <t>Trường hợp chưa xác định HÀNG/RỖNG vẫn tính phí lưu</t>
        </is>
      </c>
      <c r="D42" s="10" t="inlineStr">
        <is>
          <t>Vai trò cập nhật HÀNG/RỖNG có thể phân quyền khác Điều phối theo yêu cầu</t>
        </is>
      </c>
      <c r="E42" s="9" t="inlineStr">
        <is>
          <t>Điều phối + CCKB</t>
        </is>
      </c>
      <c r="F42" s="9" t="inlineStr">
        <is>
          <t>Đã chốt phần nguyên tắc</t>
        </is>
      </c>
      <c r="G42" s="9" t="inlineStr">
        <is>
          <t>V1 đã trả lời: L10 (G)</t>
        </is>
      </c>
    </row>
    <row r="43" ht="64.5" customHeight="1" s="81">
      <c r="A43" s="8" t="n">
        <v>39</v>
      </c>
      <c r="B43" s="9" t="inlineStr">
        <is>
          <t>Cắm điện</t>
        </is>
      </c>
      <c r="C43" s="10" t="inlineStr">
        <is>
          <t>Cho nhập giờ cắm/rút hồi tố, có thể điền cả hai trong một biểu mẫu</t>
        </is>
      </c>
      <c r="D43" s="10" t="inlineStr">
        <is>
          <t>Không bắt buộc lập lệnh PWA trước; ghi nguồn giờ thực tế Zalo/ảnh/video</t>
        </is>
      </c>
      <c r="E43" s="9" t="inlineStr">
        <is>
          <t>CCKB</t>
        </is>
      </c>
      <c r="F43" s="9" t="inlineStr">
        <is>
          <t>Đã chốt phần nguyên tắc</t>
        </is>
      </c>
      <c r="G43" s="9" t="inlineStr">
        <is>
          <t>V1 đã trả lời: E01, E04</t>
        </is>
      </c>
    </row>
    <row r="44" ht="64.5" customHeight="1" s="81">
      <c r="A44" s="8" t="n">
        <v>40</v>
      </c>
      <c r="B44" s="9" t="inlineStr">
        <is>
          <t>Cắm điện</t>
        </is>
      </c>
      <c r="C44" s="10" t="inlineStr">
        <is>
          <t>An ninh quay/chụp camera timestamp và gửi lên nhóm</t>
        </is>
      </c>
      <c r="D44" s="10" t="inlineStr">
        <is>
          <t>CCKB dùng bằng chứng hiện trường để xác minh giờ cắm/rút</t>
        </is>
      </c>
      <c r="E44" s="9" t="inlineStr">
        <is>
          <t>An ninh + CCKB</t>
        </is>
      </c>
      <c r="F44" s="9" t="inlineStr">
        <is>
          <t>Đã chốt phần nguyên tắc</t>
        </is>
      </c>
      <c r="G44" s="9" t="inlineStr">
        <is>
          <t>V1 đã trả lời: E05 (G)</t>
        </is>
      </c>
    </row>
    <row r="45" ht="64.5" customHeight="1" s="81">
      <c r="A45" s="8" t="n">
        <v>41</v>
      </c>
      <c r="B45" s="9" t="inlineStr">
        <is>
          <t>Cắm điện</t>
        </is>
      </c>
      <c r="C45" s="10" t="inlineStr">
        <is>
          <t>Theo giờ: thường biết giờ rút dự kiến; Liên tục: chưa biết</t>
        </is>
      </c>
      <c r="D45" s="10" t="inlineStr">
        <is>
          <t>Giờ rút dự kiến chỉ nên là dữ liệu tùy chọn, không chốt bắt buộc</t>
        </is>
      </c>
      <c r="E45" s="9" t="inlineStr">
        <is>
          <t>CCKB</t>
        </is>
      </c>
      <c r="F45" s="9" t="inlineStr">
        <is>
          <t>Đã chốt phần nguyên tắc</t>
        </is>
      </c>
      <c r="G45" s="9" t="inlineStr">
        <is>
          <t>V1 đã trả lời: E03 (G)</t>
        </is>
      </c>
    </row>
    <row r="46" ht="64.5" customHeight="1" s="81">
      <c r="A46" s="8" t="n">
        <v>42</v>
      </c>
      <c r="B46" s="9" t="inlineStr">
        <is>
          <t>Thanh toán</t>
        </is>
      </c>
      <c r="C46" s="10" t="inlineStr">
        <is>
          <t>Được thu phí điện/lưu trọn hoặc từng phần</t>
        </is>
      </c>
      <c r="D46" s="10" t="inlineStr">
        <is>
          <t>Giữ nhiều lần thanh toán và lịch sử phân bổ; chi tiết UX là đề xuất</t>
        </is>
      </c>
      <c r="E46" s="9" t="inlineStr">
        <is>
          <t>CCKB</t>
        </is>
      </c>
      <c r="F46" s="9" t="inlineStr">
        <is>
          <t>Đã chốt phần nguyên tắc</t>
        </is>
      </c>
      <c r="G46" s="9" t="inlineStr">
        <is>
          <t>V1 đã trả lời: T01 (G)</t>
        </is>
      </c>
    </row>
    <row r="47" ht="64.5" customHeight="1" s="81">
      <c r="A47" s="8" t="n">
        <v>43</v>
      </c>
      <c r="B47" s="9" t="inlineStr">
        <is>
          <t>Thanh toán</t>
        </is>
      </c>
      <c r="C47" s="10" t="inlineStr">
        <is>
          <t>Cho CCKB xác nhận xuất thủ công khi chưa thu đủ, có cảnh báo</t>
        </is>
      </c>
      <c r="D47" s="10" t="inlineStr">
        <is>
          <t>Không tự đánh dấu Đã thu; phạm vi quyền/ghi lý do chờ chốt OUT01</t>
        </is>
      </c>
      <c r="E47" s="9" t="inlineStr">
        <is>
          <t>CCKB + An ninh</t>
        </is>
      </c>
      <c r="F47" s="9" t="inlineStr">
        <is>
          <t>Đã chốt phần nguyên tắc</t>
        </is>
      </c>
      <c r="G47" s="9" t="inlineStr">
        <is>
          <t>V1 đã trả lời: T08 (G)</t>
        </is>
      </c>
    </row>
    <row r="48" ht="64.5" customHeight="1" s="81">
      <c r="A48" s="8" t="n">
        <v>44</v>
      </c>
      <c r="B48" s="9" t="inlineStr">
        <is>
          <t>Xe ra</t>
        </is>
      </c>
      <c r="C48" s="10" t="inlineStr">
        <is>
          <t>Xe không kéo cont ra không cần CCKB duyệt riêng nếu không có cont xuất</t>
        </is>
      </c>
      <c r="D48" s="10" t="inlineStr">
        <is>
          <t>An ninh vẫn kiểm tra vé và xác nhận xe ra</t>
        </is>
      </c>
      <c r="E48" s="9" t="inlineStr">
        <is>
          <t>An ninh</t>
        </is>
      </c>
      <c r="F48" s="9" t="inlineStr">
        <is>
          <t>Đã chốt phần nguyên tắc</t>
        </is>
      </c>
      <c r="G48" s="9" t="inlineStr">
        <is>
          <t>V1 đã trả lời: T10 (G)</t>
        </is>
      </c>
    </row>
    <row r="49" ht="64.5" customHeight="1" s="81">
      <c r="A49" s="8" t="n">
        <v>45</v>
      </c>
      <c r="B49" s="9" t="inlineStr">
        <is>
          <t>Điều phối</t>
        </is>
      </c>
      <c r="C49" s="10" t="inlineStr">
        <is>
          <t>HÀNG/RỖNG được để trống khi container mới vào</t>
        </is>
      </c>
      <c r="D49" s="10" t="inlineStr">
        <is>
          <t>Cập nhật thông tin sau, phí lưu không phụ thuộc tình trạng hàng</t>
        </is>
      </c>
      <c r="E49" s="9" t="inlineStr">
        <is>
          <t>Điều phối</t>
        </is>
      </c>
      <c r="F49" s="9" t="inlineStr">
        <is>
          <t>Đã chốt phần nguyên tắc</t>
        </is>
      </c>
      <c r="G49" s="9" t="inlineStr">
        <is>
          <t>V1 đã trả lời: D01 (G), L10</t>
        </is>
      </c>
    </row>
    <row r="50" ht="64.5" customHeight="1" s="81">
      <c r="A50" s="8" t="n">
        <v>46</v>
      </c>
      <c r="B50" s="9" t="inlineStr">
        <is>
          <t>Tương lai</t>
        </is>
      </c>
      <c r="C50" s="10" t="inlineStr">
        <is>
          <t>Quản lý khu/dãy/ô vị trí cont nâng cấp giai đoạn sau</t>
        </is>
      </c>
      <c r="D50" s="10" t="inlineStr">
        <is>
          <t>V1 không coi quản lý vị trí ô bãi là điều kiện bắt buộc</t>
        </is>
      </c>
      <c r="E50" s="9" t="inlineStr">
        <is>
          <t>Điều phối</t>
        </is>
      </c>
      <c r="F50" s="9" t="inlineStr">
        <is>
          <t>Đã chốt phần nguyên tắc</t>
        </is>
      </c>
      <c r="G50" s="9" t="inlineStr">
        <is>
          <t>V1 đã trả lời: D04 (G)</t>
        </is>
      </c>
    </row>
    <row r="51" ht="64.5" customHeight="1" s="81">
      <c r="A51" s="8" t="n">
        <v>47</v>
      </c>
      <c r="B51" s="9" t="inlineStr">
        <is>
          <t>Thu theo ca</t>
        </is>
      </c>
      <c r="C51" s="10" t="inlineStr">
        <is>
          <t>Ca làm việc An ninh hiện 06:00–18:00</t>
        </is>
      </c>
      <c r="D51" s="10" t="inlineStr">
        <is>
          <t>Giờ chốt doanh thu có thể khác ca; quy tắc kỳ chốt còn cần xác nhận</t>
        </is>
      </c>
      <c r="E51" s="9" t="inlineStr">
        <is>
          <t>An ninh</t>
        </is>
      </c>
      <c r="F51" s="9" t="inlineStr">
        <is>
          <t>Đã chốt phần nguyên tắc</t>
        </is>
      </c>
      <c r="G51" s="9" t="inlineStr">
        <is>
          <t>V1 đã trả lời: T14 (G)</t>
        </is>
      </c>
    </row>
    <row r="52" ht="64.5" customHeight="1" s="81">
      <c r="A52" s="8" t="n">
        <v>48</v>
      </c>
      <c r="B52" s="9" t="inlineStr">
        <is>
          <t>Kỹ thuật</t>
        </is>
      </c>
      <c r="C52" s="10" t="inlineStr">
        <is>
          <t>Định hướng dùng Supabase, Vercel (ưu tiên gói free)</t>
        </is>
      </c>
      <c r="D52" s="10" t="inlineStr">
        <is>
          <t>Chưa xác nhận miền, ngân sách và mức tải giới hạn hạ tầng</t>
        </is>
      </c>
      <c r="E52" s="9" t="inlineStr">
        <is>
          <t>CNTT</t>
        </is>
      </c>
      <c r="F52" s="9" t="inlineStr">
        <is>
          <t>Đã chốt phần nguyên tắc</t>
        </is>
      </c>
      <c r="G52" s="9" t="inlineStr">
        <is>
          <t>V1 đã trả lời: K02 (G)</t>
        </is>
      </c>
    </row>
    <row r="53" ht="64.5" customHeight="1" s="81">
      <c r="A53" s="8" t="n">
        <v>49</v>
      </c>
      <c r="B53" s="9" t="inlineStr">
        <is>
          <t>Kỹ thuật</t>
        </is>
      </c>
      <c r="C53" s="10" t="inlineStr">
        <is>
          <t>CCKB dùng tài khoản cá nhân; bốt An ninh vận hành tại vị trí cố định</t>
        </is>
      </c>
      <c r="D53" s="10" t="inlineStr">
        <is>
          <t>Vai trò ca làm và đa quyền theo ca là định hướng sau, cần audit tại bốt</t>
        </is>
      </c>
      <c r="E53" s="9" t="inlineStr">
        <is>
          <t>CNTT + An ninh</t>
        </is>
      </c>
      <c r="F53" s="9" t="inlineStr">
        <is>
          <t>Đã chốt phần nguyên tắc</t>
        </is>
      </c>
      <c r="G53" s="9" t="inlineStr">
        <is>
          <t>V1 đã trả lời: P07 (G)</t>
        </is>
      </c>
    </row>
    <row r="54" ht="64.5" customHeight="1" s="81">
      <c r="A54" s="8" t="n">
        <v>50</v>
      </c>
      <c r="B54" s="9" t="inlineStr">
        <is>
          <t>Dữ liệu</t>
        </is>
      </c>
      <c r="C54" s="10" t="inlineStr">
        <is>
          <t>Cho phép Quản trị cấp cao sửa dữ liệu lỗi về sau</t>
        </is>
      </c>
      <c r="D54" s="10" t="inlineStr">
        <is>
          <t>Cần nhật ký chỉnh sửa và giới hạn hiển thị quyền đặc biệt; không mặc định sửa SQL trực tiếp</t>
        </is>
      </c>
      <c r="E54" s="9" t="inlineStr">
        <is>
          <t>Quản trị</t>
        </is>
      </c>
      <c r="F54" s="9" t="inlineStr">
        <is>
          <t>Đã chốt phần nguyên tắc</t>
        </is>
      </c>
      <c r="G54" s="9" t="inlineStr">
        <is>
          <t>V1 đã trả lời: M04 (G)</t>
        </is>
      </c>
    </row>
    <row r="55" ht="64.5" customHeight="1" s="81">
      <c r="A55" s="8" t="n">
        <v>51</v>
      </c>
      <c r="B55" s="9" t="inlineStr">
        <is>
          <t>Hóa đơn</t>
        </is>
      </c>
      <c r="C55" s="10" t="inlineStr">
        <is>
          <t>Bước tiếp nhận vé cần lưu thông tin khách/lái xe phục vụ hóa đơn</t>
        </is>
      </c>
      <c r="D55" s="10" t="inlineStr">
        <is>
          <t>Yêu cầu công nợ/hóa đơn tích hợp Kế toán dự kiến triển khai giai đoạn sau</t>
        </is>
      </c>
      <c r="E55" s="9" t="inlineStr">
        <is>
          <t>An ninh + Kế toán</t>
        </is>
      </c>
      <c r="F55" s="9" t="inlineStr">
        <is>
          <t>Đã chốt phần nguyên tắc</t>
        </is>
      </c>
      <c r="G55" s="9" t="inlineStr">
        <is>
          <t>V1 đã trả lời: T12 (G)</t>
        </is>
      </c>
    </row>
    <row r="56" ht="15.75" customHeight="1" s="81"/>
    <row r="57" ht="15.75" customHeight="1" s="81"/>
    <row r="58" ht="15.75" customHeight="1" s="81"/>
    <row r="59" ht="15.75" customHeight="1" s="81"/>
    <row r="60" ht="15.75" customHeight="1" s="81"/>
    <row r="61" ht="15.75" customHeight="1" s="81"/>
    <row r="62" ht="15.75" customHeight="1" s="81"/>
    <row r="63" ht="15.75" customHeight="1" s="81"/>
    <row r="64" ht="15.75" customHeight="1" s="81"/>
    <row r="65" ht="15.75" customHeight="1" s="81"/>
    <row r="66" ht="15.75" customHeight="1" s="81"/>
    <row r="67" ht="15.75" customHeight="1" s="81"/>
    <row r="68" ht="15.75" customHeight="1" s="81"/>
    <row r="69" ht="15.75" customHeight="1" s="81"/>
    <row r="70" ht="15.75" customHeight="1" s="81"/>
    <row r="71" ht="15.75" customHeight="1" s="81"/>
    <row r="72" ht="15.75" customHeight="1" s="81"/>
    <row r="73" ht="15.75" customHeight="1" s="81"/>
    <row r="74" ht="15.75" customHeight="1" s="81"/>
    <row r="75" ht="15.75" customHeight="1" s="81"/>
    <row r="76" ht="15.75" customHeight="1" s="81"/>
    <row r="77" ht="15.75" customHeight="1" s="81"/>
    <row r="78" ht="15.75" customHeight="1" s="81"/>
    <row r="79" ht="15.75" customHeight="1" s="81"/>
    <row r="80" ht="15.75" customHeight="1" s="81"/>
    <row r="81" ht="15.75" customHeight="1" s="81"/>
    <row r="82" ht="15.75" customHeight="1" s="81"/>
    <row r="83" ht="15.75" customHeight="1" s="81"/>
    <row r="84" ht="15.75" customHeight="1" s="81"/>
    <row r="85" ht="15.75" customHeight="1" s="81"/>
    <row r="86" ht="15.75" customHeight="1" s="81"/>
    <row r="87" ht="15.75" customHeight="1" s="81"/>
    <row r="88" ht="15.75" customHeight="1" s="81"/>
    <row r="89" ht="15.75" customHeight="1" s="81"/>
    <row r="90" ht="15.75" customHeight="1" s="81"/>
    <row r="91" ht="15.75" customHeight="1" s="81"/>
    <row r="92" ht="15.75" customHeight="1" s="81"/>
    <row r="93" ht="15.75" customHeight="1" s="81"/>
    <row r="94" ht="15.75" customHeight="1" s="81"/>
    <row r="95" ht="15.75" customHeight="1" s="81"/>
    <row r="96" ht="15.75" customHeight="1" s="81"/>
    <row r="97" ht="15.75" customHeight="1" s="81"/>
    <row r="98" ht="15.75" customHeight="1" s="81"/>
    <row r="99" ht="15.75" customHeight="1" s="81"/>
    <row r="100" ht="15.75" customHeight="1" s="81"/>
    <row r="101" ht="15.75" customHeight="1" s="81"/>
    <row r="102" ht="15.75" customHeight="1" s="81"/>
    <row r="103" ht="15.75" customHeight="1" s="81"/>
    <row r="104" ht="15.75" customHeight="1" s="81"/>
    <row r="105" ht="15.75" customHeight="1" s="81"/>
    <row r="106" ht="15.75" customHeight="1" s="81"/>
    <row r="107" ht="15.75" customHeight="1" s="81"/>
    <row r="108" ht="15.75" customHeight="1" s="81"/>
    <row r="109" ht="15.75" customHeight="1" s="81"/>
    <row r="110" ht="15.75" customHeight="1" s="81"/>
    <row r="111" ht="15.75" customHeight="1" s="81"/>
    <row r="112" ht="15.75" customHeight="1" s="81"/>
    <row r="113" ht="15.75" customHeight="1" s="81"/>
    <row r="114" ht="15.75" customHeight="1" s="81"/>
    <row r="115" ht="15.75" customHeight="1" s="81"/>
    <row r="116" ht="15.75" customHeight="1" s="81"/>
    <row r="117" ht="15.75" customHeight="1" s="81"/>
    <row r="118" ht="15.75" customHeight="1" s="81"/>
    <row r="119" ht="15.75" customHeight="1" s="81"/>
    <row r="120" ht="15.75" customHeight="1" s="81"/>
    <row r="121" ht="15.75" customHeight="1" s="81"/>
    <row r="122" ht="15.75" customHeight="1" s="81"/>
    <row r="123" ht="15.75" customHeight="1" s="81"/>
    <row r="124" ht="15.75" customHeight="1" s="81"/>
    <row r="125" ht="15.75" customHeight="1" s="81"/>
    <row r="126" ht="15.75" customHeight="1" s="81"/>
    <row r="127" ht="15.75" customHeight="1" s="81"/>
    <row r="128" ht="15.75" customHeight="1" s="81"/>
    <row r="129" ht="15.75" customHeight="1" s="81"/>
    <row r="130" ht="15.75" customHeight="1" s="81"/>
    <row r="131" ht="15.75" customHeight="1" s="81"/>
    <row r="132" ht="15.75" customHeight="1" s="81"/>
    <row r="133" ht="15.75" customHeight="1" s="81"/>
    <row r="134" ht="15.75" customHeight="1" s="81"/>
    <row r="135" ht="15.75" customHeight="1" s="81"/>
    <row r="136" ht="15.75" customHeight="1" s="81"/>
    <row r="137" ht="15.75" customHeight="1" s="81"/>
    <row r="138" ht="15.75" customHeight="1" s="81"/>
    <row r="139" ht="15.75" customHeight="1" s="81"/>
    <row r="140" ht="15.75" customHeight="1" s="81"/>
    <row r="141" ht="15.75" customHeight="1" s="81"/>
    <row r="142" ht="15.75" customHeight="1" s="81"/>
    <row r="143" ht="15.75" customHeight="1" s="81"/>
    <row r="144" ht="15.75" customHeight="1" s="81"/>
    <row r="145" ht="15.75" customHeight="1" s="81"/>
    <row r="146" ht="15.75" customHeight="1" s="81"/>
    <row r="147" ht="15.75" customHeight="1" s="81"/>
    <row r="148" ht="15.75" customHeight="1" s="81"/>
    <row r="149" ht="15.75" customHeight="1" s="81"/>
    <row r="150" ht="15.75" customHeight="1" s="81"/>
    <row r="151" ht="15.75" customHeight="1" s="81"/>
    <row r="152" ht="15.75" customHeight="1" s="81"/>
    <row r="153" ht="15.75" customHeight="1" s="81"/>
    <row r="154" ht="15.75" customHeight="1" s="81"/>
    <row r="155" ht="15.75" customHeight="1" s="81"/>
    <row r="156" ht="15.75" customHeight="1" s="81"/>
    <row r="157" ht="15.75" customHeight="1" s="81"/>
    <row r="158" ht="15.75" customHeight="1" s="81"/>
    <row r="159" ht="15.75" customHeight="1" s="81"/>
    <row r="160" ht="15.75" customHeight="1" s="81"/>
    <row r="161" ht="15.75" customHeight="1" s="81"/>
    <row r="162" ht="15.75" customHeight="1" s="81"/>
    <row r="163" ht="15.75" customHeight="1" s="81"/>
    <row r="164" ht="15.75" customHeight="1" s="81"/>
    <row r="165" ht="15.75" customHeight="1" s="81"/>
    <row r="166" ht="15.75" customHeight="1" s="81"/>
    <row r="167" ht="15.75" customHeight="1" s="81"/>
    <row r="168" ht="15.75" customHeight="1" s="81"/>
    <row r="169" ht="15.75" customHeight="1" s="81"/>
    <row r="170" ht="15.75" customHeight="1" s="81"/>
    <row r="171" ht="15.75" customHeight="1" s="81"/>
    <row r="172" ht="15.75" customHeight="1" s="81"/>
    <row r="173" ht="15.75" customHeight="1" s="81"/>
    <row r="174" ht="15.75" customHeight="1" s="81"/>
    <row r="175" ht="15.75" customHeight="1" s="81"/>
    <row r="176" ht="15.75" customHeight="1" s="81"/>
    <row r="177" ht="15.75" customHeight="1" s="81"/>
    <row r="178" ht="15.75" customHeight="1" s="81"/>
    <row r="179" ht="15.75" customHeight="1" s="81"/>
    <row r="180" ht="15.75" customHeight="1" s="81"/>
    <row r="181" ht="15.75" customHeight="1" s="81"/>
    <row r="182" ht="15.75" customHeight="1" s="81"/>
    <row r="183" ht="15.75" customHeight="1" s="81"/>
    <row r="184" ht="15.75" customHeight="1" s="81"/>
    <row r="185" ht="15.75" customHeight="1" s="81"/>
    <row r="186" ht="15.75" customHeight="1" s="81"/>
    <row r="187" ht="15.75" customHeight="1" s="81"/>
    <row r="188" ht="15.75" customHeight="1" s="81"/>
    <row r="189" ht="15.75" customHeight="1" s="81"/>
    <row r="190" ht="15.75" customHeight="1" s="81"/>
    <row r="191" ht="15.75" customHeight="1" s="81"/>
    <row r="192" ht="15.75" customHeight="1" s="81"/>
    <row r="193" ht="15.75" customHeight="1" s="81"/>
    <row r="194" ht="15.75" customHeight="1" s="81"/>
    <row r="195" ht="15.75" customHeight="1" s="81"/>
    <row r="196" ht="15.75" customHeight="1" s="81"/>
    <row r="197" ht="15.75" customHeight="1" s="81"/>
    <row r="198" ht="15.75" customHeight="1" s="81"/>
    <row r="199" ht="15.75" customHeight="1" s="81"/>
    <row r="200" ht="15.75" customHeight="1" s="81"/>
    <row r="201" ht="15.75" customHeight="1" s="81"/>
    <row r="202" ht="15.75" customHeight="1" s="81"/>
    <row r="203" ht="15.75" customHeight="1" s="81"/>
    <row r="204" ht="15.75" customHeight="1" s="81"/>
    <row r="205" ht="15.75" customHeight="1" s="81"/>
    <row r="206" ht="15.75" customHeight="1" s="81"/>
    <row r="207" ht="15.75" customHeight="1" s="81"/>
    <row r="208" ht="15.75" customHeight="1" s="81"/>
    <row r="209" ht="15.75" customHeight="1" s="81"/>
    <row r="210" ht="15.75" customHeight="1" s="81"/>
    <row r="211" ht="15.75" customHeight="1" s="81"/>
    <row r="212" ht="15.75" customHeight="1" s="81"/>
    <row r="213" ht="15.75" customHeight="1" s="81"/>
    <row r="214" ht="15.75" customHeight="1" s="81"/>
    <row r="215" ht="15.75" customHeight="1" s="81"/>
    <row r="216" ht="15.75" customHeight="1" s="81"/>
    <row r="217" ht="15.75" customHeight="1" s="81"/>
    <row r="218" ht="15.75" customHeight="1" s="81"/>
    <row r="219" ht="15.75" customHeight="1" s="81"/>
    <row r="220" ht="15.75" customHeight="1" s="81"/>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autoFilter ref="$A$4:$G$55"/>
  <mergeCells count="2">
    <mergeCell ref="A2:G2"/>
    <mergeCell ref="A1:G1"/>
  </mergeCells>
  <pageMargins left="0.25" right="0.25" top="0.45" bottom="0.45" header="0" footer="0"/>
  <pageSetup orientation="landscape" paperSize="8" fitToHeight="0"/>
  <headerFooter>
    <oddHeader/>
    <oddFooter>&amp;CPWA Son Cang | Yeu cau nghiep vu | Trang &amp;P / </oddFooter>
    <evenHeader/>
    <evenFooter/>
    <firstHeader/>
    <firstFooter/>
  </headerFooter>
</worksheet>
</file>

<file path=xl/worksheets/sheet4.xml><?xml version="1.0" encoding="utf-8"?>
<worksheet xmlns="http://schemas.openxmlformats.org/spreadsheetml/2006/main">
  <sheetPr>
    <tabColor rgb="FF223873"/>
    <outlinePr summaryBelow="1" summaryRight="1"/>
    <pageSetUpPr fitToPage="1"/>
  </sheetPr>
  <dimension ref="A1:O15"/>
  <sheetViews>
    <sheetView showGridLines="0" workbookViewId="0">
      <pane xSplit="4" ySplit="4" topLeftCell="E5" activePane="bottomRight" state="frozen"/>
      <selection pane="topRight" activeCell="E1" sqref="E1"/>
      <selection pane="bottomLeft" activeCell="A5" sqref="A5"/>
      <selection pane="bottomRight" activeCell="E5" sqref="E5"/>
    </sheetView>
  </sheetViews>
  <sheetFormatPr baseColWidth="8" defaultColWidth="14.43" defaultRowHeight="15" customHeight="1"/>
  <cols>
    <col width="26" customWidth="1" style="81" min="1" max="1"/>
    <col width="31" customWidth="1" style="81" min="2" max="2"/>
    <col width="22" customWidth="1" style="81" min="3" max="3"/>
    <col width="18" customWidth="1" style="81" min="4" max="4"/>
    <col width="20" customWidth="1" style="81" min="5" max="5"/>
    <col width="17" customWidth="1" style="81" min="6" max="7"/>
    <col width="18" customWidth="1" style="81" min="8" max="8"/>
    <col width="21" customWidth="1" style="81" min="9" max="9"/>
    <col width="16" customWidth="1" style="81" min="10" max="10"/>
    <col width="12" customWidth="1" style="81" min="11" max="11"/>
    <col width="62" customWidth="1" style="81" min="12" max="12"/>
    <col width="38" customWidth="1" style="81" min="13" max="13"/>
    <col width="25" customWidth="1" style="81" min="14" max="14"/>
    <col width="51" customWidth="1" style="81" min="15" max="15"/>
    <col width="8.710000000000001" customWidth="1" style="81" min="16" max="26"/>
  </cols>
  <sheetData>
    <row r="1" ht="36" customHeight="1" s="81">
      <c r="A1" s="82" t="inlineStr">
        <is>
          <t>BẢNG GIÁ HIỆN HÀNH VÀ DÒNG GIÁ BỔ SUNG</t>
        </is>
      </c>
    </row>
    <row r="2" ht="33" customHeight="1" s="81">
      <c r="A2" s="83" t="inlineStr">
        <is>
          <t>Giữ nguyên 8 dòng PRICE_LIST do Sơn Cảng cung cấp; bổ sung 2 mã cắm điện và 1 mã phạt mất vé để chuẩn hóa, cần xác nhận mã mới.</t>
        </is>
      </c>
    </row>
    <row r="4" ht="33" customHeight="1" s="81">
      <c r="A4" s="5" t="inlineStr">
        <is>
          <t>MA_LOAI</t>
        </is>
      </c>
      <c r="B4" s="5" t="inlineStr">
        <is>
          <t>TEN_LOAI</t>
        </is>
      </c>
      <c r="C4" s="5" t="inlineStr">
        <is>
          <t>DOI_TUONG</t>
        </is>
      </c>
      <c r="D4" s="5" t="inlineStr">
        <is>
          <t>LOAI_PHI</t>
        </is>
      </c>
      <c r="E4" s="5" t="inlineStr">
        <is>
          <t>DON_GIA (VND)</t>
        </is>
      </c>
      <c r="F4" s="5" t="inlineStr">
        <is>
          <t>DON_VI_TINH</t>
        </is>
      </c>
      <c r="G4" s="5" t="inlineStr">
        <is>
          <t>MOC_BAT_DAU</t>
        </is>
      </c>
      <c r="H4" s="5" t="inlineStr">
        <is>
          <t>MOC_KET_THUC</t>
        </is>
      </c>
      <c r="I4" s="5" t="inlineStr">
        <is>
          <t>SO_DEM_MIEN_PHI</t>
        </is>
      </c>
      <c r="J4" s="5" t="inlineStr">
        <is>
          <t>HOAT_DONG</t>
        </is>
      </c>
      <c r="K4" s="5" t="inlineStr">
        <is>
          <t>THU_TU</t>
        </is>
      </c>
      <c r="L4" s="5" t="inlineStr">
        <is>
          <t>GHI_CHU</t>
        </is>
      </c>
      <c r="M4" s="5" t="inlineStr">
        <is>
          <t>Nguồn</t>
        </is>
      </c>
      <c r="N4" s="5" t="inlineStr">
        <is>
          <t>Phê duyệt mã thêm</t>
        </is>
      </c>
      <c r="O4" s="5" t="inlineStr">
        <is>
          <t>Ghi chú cập nhật (điền)</t>
        </is>
      </c>
    </row>
    <row r="5" ht="42.75" customHeight="1" s="81">
      <c r="A5" s="15" t="inlineStr">
        <is>
          <t>CONT_LANH</t>
        </is>
      </c>
      <c r="B5" s="17" t="inlineStr">
        <is>
          <t>Xe container lạnh</t>
        </is>
      </c>
      <c r="C5" s="17" t="inlineStr">
        <is>
          <t>Phương tiện</t>
        </is>
      </c>
      <c r="D5" s="17" t="inlineStr">
        <is>
          <t>Vé vào</t>
        </is>
      </c>
      <c r="E5" s="21" t="n">
        <v>250000</v>
      </c>
      <c r="F5" s="17" t="inlineStr">
        <is>
          <t>Lượt</t>
        </is>
      </c>
      <c r="G5" s="17" t="n"/>
      <c r="H5" s="17" t="n"/>
      <c r="I5" s="17" t="n">
        <v>0</v>
      </c>
      <c r="J5" s="17" t="b">
        <v>1</v>
      </c>
      <c r="K5" s="17" t="n">
        <v>1</v>
      </c>
      <c r="L5" s="17" t="inlineStr">
        <is>
          <t>Thu vé khi xe vào có kéo container</t>
        </is>
      </c>
      <c r="M5" s="23" t="inlineStr">
        <is>
          <t>PRICE_LIST gốc</t>
        </is>
      </c>
      <c r="N5" s="23" t="inlineStr">
        <is>
          <t>Đã xác nhận</t>
        </is>
      </c>
      <c r="O5" s="24" t="n"/>
    </row>
    <row r="6" ht="42.75" customHeight="1" s="81">
      <c r="A6" s="15" t="inlineStr">
        <is>
          <t>DAU_KEO</t>
        </is>
      </c>
      <c r="B6" s="17" t="inlineStr">
        <is>
          <t>Đầu kéo không container</t>
        </is>
      </c>
      <c r="C6" s="17" t="inlineStr">
        <is>
          <t>Phương tiện</t>
        </is>
      </c>
      <c r="D6" s="17" t="inlineStr">
        <is>
          <t>Vé vào</t>
        </is>
      </c>
      <c r="E6" s="21" t="n">
        <v>0</v>
      </c>
      <c r="F6" s="17" t="inlineStr">
        <is>
          <t>Lượt</t>
        </is>
      </c>
      <c r="G6" s="17" t="n"/>
      <c r="H6" s="17" t="n"/>
      <c r="I6" s="17" t="n">
        <v>0</v>
      </c>
      <c r="J6" s="17" t="b">
        <v>1</v>
      </c>
      <c r="K6" s="17" t="n">
        <v>2</v>
      </c>
      <c r="L6" s="17" t="inlineStr">
        <is>
          <t>Thu vé khi đầu kéo vào không có container</t>
        </is>
      </c>
      <c r="M6" s="23" t="inlineStr">
        <is>
          <t>PRICE_LIST gốc</t>
        </is>
      </c>
      <c r="N6" s="23" t="inlineStr">
        <is>
          <t>Đã xác nhận</t>
        </is>
      </c>
      <c r="O6" s="24" t="n"/>
    </row>
    <row r="7" ht="42.75" customHeight="1" s="81">
      <c r="A7" s="15" t="inlineStr">
        <is>
          <t>XE_BO_4_CHAN</t>
        </is>
      </c>
      <c r="B7" s="17" t="inlineStr">
        <is>
          <t>Xe bo 4 chân</t>
        </is>
      </c>
      <c r="C7" s="17" t="inlineStr">
        <is>
          <t>Phương tiện</t>
        </is>
      </c>
      <c r="D7" s="17" t="inlineStr">
        <is>
          <t>Vé vào</t>
        </is>
      </c>
      <c r="E7" s="21" t="n">
        <v>200000</v>
      </c>
      <c r="F7" s="17" t="inlineStr">
        <is>
          <t>Lượt</t>
        </is>
      </c>
      <c r="G7" s="17" t="n"/>
      <c r="H7" s="17" t="n"/>
      <c r="I7" s="17" t="n">
        <v>0</v>
      </c>
      <c r="J7" s="17" t="b">
        <v>1</v>
      </c>
      <c r="K7" s="17" t="n">
        <v>3</v>
      </c>
      <c r="L7" s="17" t="inlineStr">
        <is>
          <t>Thu tiền vé khi xe vào</t>
        </is>
      </c>
      <c r="M7" s="23" t="inlineStr">
        <is>
          <t>PRICE_LIST gốc</t>
        </is>
      </c>
      <c r="N7" s="23" t="inlineStr">
        <is>
          <t>Đã xác nhận</t>
        </is>
      </c>
      <c r="O7" s="24" t="n"/>
    </row>
    <row r="8" ht="42.75" customHeight="1" s="81">
      <c r="A8" s="15" t="inlineStr">
        <is>
          <t>XE_BO_3_CHAN</t>
        </is>
      </c>
      <c r="B8" s="17" t="inlineStr">
        <is>
          <t>Xe bo 3 chân</t>
        </is>
      </c>
      <c r="C8" s="17" t="inlineStr">
        <is>
          <t>Phương tiện</t>
        </is>
      </c>
      <c r="D8" s="17" t="inlineStr">
        <is>
          <t>Vé vào</t>
        </is>
      </c>
      <c r="E8" s="21" t="n">
        <v>200000</v>
      </c>
      <c r="F8" s="17" t="inlineStr">
        <is>
          <t>Lượt</t>
        </is>
      </c>
      <c r="G8" s="17" t="n"/>
      <c r="H8" s="17" t="n"/>
      <c r="I8" s="17" t="n">
        <v>0</v>
      </c>
      <c r="J8" s="17" t="b">
        <v>1</v>
      </c>
      <c r="K8" s="17" t="n">
        <v>4</v>
      </c>
      <c r="L8" s="17" t="inlineStr">
        <is>
          <t>Thu tiền vé khi xe vào</t>
        </is>
      </c>
      <c r="M8" s="23" t="inlineStr">
        <is>
          <t>PRICE_LIST gốc</t>
        </is>
      </c>
      <c r="N8" s="23" t="inlineStr">
        <is>
          <t>Đã xác nhận</t>
        </is>
      </c>
      <c r="O8" s="24" t="n"/>
    </row>
    <row r="9" ht="42.75" customHeight="1" s="81">
      <c r="A9" s="15" t="inlineStr">
        <is>
          <t>XE_BO_8_TAN_2_CHAN</t>
        </is>
      </c>
      <c r="B9" s="17" t="inlineStr">
        <is>
          <t>Xe bo 8 tấn/2 chân</t>
        </is>
      </c>
      <c r="C9" s="17" t="inlineStr">
        <is>
          <t>Phương tiện</t>
        </is>
      </c>
      <c r="D9" s="17" t="inlineStr">
        <is>
          <t>Vé vào</t>
        </is>
      </c>
      <c r="E9" s="21" t="n">
        <v>100000</v>
      </c>
      <c r="F9" s="17" t="inlineStr">
        <is>
          <t>Lượt</t>
        </is>
      </c>
      <c r="G9" s="17" t="n"/>
      <c r="H9" s="17" t="n"/>
      <c r="I9" s="17" t="n">
        <v>0</v>
      </c>
      <c r="J9" s="17" t="b">
        <v>1</v>
      </c>
      <c r="K9" s="17" t="n">
        <v>5</v>
      </c>
      <c r="L9" s="17" t="inlineStr">
        <is>
          <t>Thu tiền vé khi xe vào</t>
        </is>
      </c>
      <c r="M9" s="23" t="inlineStr">
        <is>
          <t>PRICE_LIST gốc</t>
        </is>
      </c>
      <c r="N9" s="23" t="inlineStr">
        <is>
          <t>Đã xác nhận</t>
        </is>
      </c>
      <c r="O9" s="24" t="n"/>
    </row>
    <row r="10" ht="42.75" customHeight="1" s="81">
      <c r="A10" s="15" t="inlineStr">
        <is>
          <t>XE_BO_3_BANH</t>
        </is>
      </c>
      <c r="B10" s="17" t="inlineStr">
        <is>
          <t>Xe bo 3 bánh</t>
        </is>
      </c>
      <c r="C10" s="17" t="inlineStr">
        <is>
          <t>Phương tiện</t>
        </is>
      </c>
      <c r="D10" s="17" t="inlineStr">
        <is>
          <t>Vé vào</t>
        </is>
      </c>
      <c r="E10" s="21" t="n">
        <v>40000</v>
      </c>
      <c r="F10" s="17" t="inlineStr">
        <is>
          <t>Lượt</t>
        </is>
      </c>
      <c r="G10" s="17" t="n"/>
      <c r="H10" s="17" t="n"/>
      <c r="I10" s="17" t="n">
        <v>0</v>
      </c>
      <c r="J10" s="17" t="b">
        <v>1</v>
      </c>
      <c r="K10" s="17" t="n">
        <v>6</v>
      </c>
      <c r="L10" s="17" t="inlineStr">
        <is>
          <t>Thu tiền vé khi xe vào; không yêu cầu biển số</t>
        </is>
      </c>
      <c r="M10" s="23" t="inlineStr">
        <is>
          <t>PRICE_LIST gốc</t>
        </is>
      </c>
      <c r="N10" s="23" t="inlineStr">
        <is>
          <t>Đã xác nhận</t>
        </is>
      </c>
      <c r="O10" s="24" t="n"/>
    </row>
    <row r="11" ht="42.75" customHeight="1" s="81">
      <c r="A11" s="15" t="inlineStr">
        <is>
          <t>XE_SANG_TAI</t>
        </is>
      </c>
      <c r="B11" s="17" t="inlineStr">
        <is>
          <t>Xe sang tải (tạp)</t>
        </is>
      </c>
      <c r="C11" s="17" t="inlineStr">
        <is>
          <t>Phương tiện</t>
        </is>
      </c>
      <c r="D11" s="17" t="inlineStr">
        <is>
          <t>Vé vào</t>
        </is>
      </c>
      <c r="E11" s="21" t="n">
        <v>0</v>
      </c>
      <c r="F11" s="17" t="inlineStr">
        <is>
          <t>Lượt</t>
        </is>
      </c>
      <c r="G11" s="17" t="n"/>
      <c r="H11" s="17" t="n"/>
      <c r="I11" s="17" t="n">
        <v>0</v>
      </c>
      <c r="J11" s="17" t="b">
        <v>1</v>
      </c>
      <c r="K11" s="17" t="n">
        <v>7</v>
      </c>
      <c r="L11" s="17" t="inlineStr">
        <is>
          <t>Miễn phí, chỉ kiểm soát xe ra vào</t>
        </is>
      </c>
      <c r="M11" s="23" t="inlineStr">
        <is>
          <t>PRICE_LIST gốc</t>
        </is>
      </c>
      <c r="N11" s="23" t="inlineStr">
        <is>
          <t>Đã xác nhận</t>
        </is>
      </c>
      <c r="O11" s="24" t="n"/>
    </row>
    <row r="12" ht="42.75" customHeight="1" s="81">
      <c r="A12" s="15" t="inlineStr">
        <is>
          <t>LUU_CONTAINER</t>
        </is>
      </c>
      <c r="B12" s="17" t="inlineStr">
        <is>
          <t>Phí lưu container</t>
        </is>
      </c>
      <c r="C12" s="17" t="inlineStr">
        <is>
          <t>Container</t>
        </is>
      </c>
      <c r="D12" s="17" t="inlineStr">
        <is>
          <t>Lưu đêm</t>
        </is>
      </c>
      <c r="E12" s="21" t="n">
        <v>100000</v>
      </c>
      <c r="F12" s="17" t="inlineStr">
        <is>
          <t>Đêm</t>
        </is>
      </c>
      <c r="G12" s="17" t="inlineStr">
        <is>
          <t>22:00</t>
        </is>
      </c>
      <c r="H12" s="17" t="inlineStr">
        <is>
          <t>06:00</t>
        </is>
      </c>
      <c r="I12" s="17" t="n">
        <v>1</v>
      </c>
      <c r="J12" s="17" t="b">
        <v>1</v>
      </c>
      <c r="K12" s="17" t="n">
        <v>8</v>
      </c>
      <c r="L12" s="17" t="inlineStr">
        <is>
          <t>Phí lưu bằng (số đêm trừ một) nhân 100.000; kể cả không hạ cont</t>
        </is>
      </c>
      <c r="M12" s="23" t="inlineStr">
        <is>
          <t>PRICE_LIST gốc + chốt sau</t>
        </is>
      </c>
      <c r="N12" s="23" t="inlineStr">
        <is>
          <t>Đã xác nhận</t>
        </is>
      </c>
      <c r="O12" s="24" t="n"/>
    </row>
    <row r="13" ht="42.75" customHeight="1" s="81">
      <c r="A13" s="37" t="inlineStr">
        <is>
          <t>DIEN_CONT_GIO</t>
        </is>
      </c>
      <c r="B13" s="38" t="inlineStr">
        <is>
          <t>Cắm điện theo giờ</t>
        </is>
      </c>
      <c r="C13" s="38" t="inlineStr">
        <is>
          <t>Container</t>
        </is>
      </c>
      <c r="D13" s="38" t="inlineStr">
        <is>
          <t>Cắm điện</t>
        </is>
      </c>
      <c r="E13" s="41" t="n">
        <v>100000</v>
      </c>
      <c r="F13" s="38" t="inlineStr">
        <is>
          <t>Giờ</t>
        </is>
      </c>
      <c r="G13" s="38" t="n"/>
      <c r="H13" s="38" t="n"/>
      <c r="I13" s="38" t="n">
        <v>0</v>
      </c>
      <c r="J13" s="38" t="b">
        <v>1</v>
      </c>
      <c r="K13" s="38" t="n">
        <v>9</v>
      </c>
      <c r="L13" s="38" t="inlineStr">
        <is>
          <t>Làm tròn lên từng 15 phút; CCKB nhập giờ thực tế</t>
        </is>
      </c>
      <c r="M13" s="13" t="inlineStr">
        <is>
          <t>Bổ sung theo chốt mới</t>
        </is>
      </c>
      <c r="N13" s="13" t="inlineStr">
        <is>
          <t>Mã đề xuất cần duyệt</t>
        </is>
      </c>
      <c r="O13" s="24" t="n"/>
    </row>
    <row r="14" ht="42.75" customHeight="1" s="81">
      <c r="A14" s="37" t="inlineStr">
        <is>
          <t>DIEN_CONT_LIEN_TUC</t>
        </is>
      </c>
      <c r="B14" s="38" t="inlineStr">
        <is>
          <t>Cắm điện liên tục</t>
        </is>
      </c>
      <c r="C14" s="38" t="inlineStr">
        <is>
          <t>Container</t>
        </is>
      </c>
      <c r="D14" s="38" t="inlineStr">
        <is>
          <t>Cắm điện</t>
        </is>
      </c>
      <c r="E14" s="41" t="n">
        <v>100000</v>
      </c>
      <c r="F14" s="38" t="inlineStr">
        <is>
          <t>Giờ</t>
        </is>
      </c>
      <c r="G14" s="38" t="n"/>
      <c r="H14" s="38" t="n"/>
      <c r="I14" s="38" t="n">
        <v>0</v>
      </c>
      <c r="J14" s="38" t="b">
        <v>1</v>
      </c>
      <c r="K14" s="38" t="n">
        <v>10</v>
      </c>
      <c r="L14" s="38" t="inlineStr">
        <is>
          <t>Làm tròn lên từng 15 phút; CCKB nhập giờ thực tế</t>
        </is>
      </c>
      <c r="M14" s="13" t="inlineStr">
        <is>
          <t>Bổ sung theo chốt mới</t>
        </is>
      </c>
      <c r="N14" s="13" t="inlineStr">
        <is>
          <t>Mã đề xuất cần duyệt</t>
        </is>
      </c>
      <c r="O14" s="24" t="n"/>
    </row>
    <row r="15" ht="42.75" customHeight="1" s="81">
      <c r="A15" s="37" t="inlineStr">
        <is>
          <t>PHAT_MAT_VE</t>
        </is>
      </c>
      <c r="B15" s="38" t="inlineStr">
        <is>
          <t>Phạt mất liên 02 vé xe</t>
        </is>
      </c>
      <c r="C15" s="38" t="inlineStr">
        <is>
          <t>Vé xe</t>
        </is>
      </c>
      <c r="D15" s="38" t="inlineStr">
        <is>
          <t>Phạt</t>
        </is>
      </c>
      <c r="E15" s="41" t="n">
        <v>250000</v>
      </c>
      <c r="F15" s="38" t="inlineStr">
        <is>
          <t>Trường hợp</t>
        </is>
      </c>
      <c r="G15" s="38" t="n"/>
      <c r="H15" s="38" t="n"/>
      <c r="I15" s="38" t="n">
        <v>0</v>
      </c>
      <c r="J15" s="38" t="b">
        <v>1</v>
      </c>
      <c r="K15" s="38" t="n">
        <v>11</v>
      </c>
      <c r="L15" s="38" t="inlineStr">
        <is>
          <t>Mức tiền theo thông báo; người trực tiếp thu còn cần chốt</t>
        </is>
      </c>
      <c r="M15" s="13" t="inlineStr">
        <is>
          <t>Bổ sung từ thông báo</t>
        </is>
      </c>
      <c r="N15" s="13" t="inlineStr">
        <is>
          <t>Mã đề xuất cần duyệt</t>
        </is>
      </c>
      <c r="O15" s="24" t="n"/>
    </row>
    <row r="21" ht="15.75" customHeight="1" s="81"/>
    <row r="22" ht="15.75" customHeight="1" s="81"/>
    <row r="23" ht="15.75" customHeight="1" s="81"/>
    <row r="24" ht="15.75" customHeight="1" s="81"/>
    <row r="25" ht="15.75" customHeight="1" s="81"/>
    <row r="26" ht="15.75" customHeight="1" s="81"/>
    <row r="27" ht="15.75" customHeight="1" s="81"/>
    <row r="28" ht="15.75" customHeight="1" s="81"/>
    <row r="29" ht="15.75" customHeight="1" s="81"/>
    <row r="30" ht="15.75" customHeight="1" s="81"/>
    <row r="31" ht="15.75" customHeight="1" s="81"/>
    <row r="32" ht="15.75" customHeight="1" s="81"/>
    <row r="33" ht="15.75" customHeight="1" s="81"/>
    <row r="34" ht="15.75" customHeight="1" s="81"/>
    <row r="35" ht="15.75" customHeight="1" s="81"/>
    <row r="36" ht="15.75" customHeight="1" s="81"/>
    <row r="37" ht="15.75" customHeight="1" s="81"/>
    <row r="38" ht="15.75" customHeight="1" s="81"/>
    <row r="39" ht="15.75" customHeight="1" s="81"/>
    <row r="40" ht="15.75" customHeight="1" s="81"/>
    <row r="41" ht="15.75" customHeight="1" s="81"/>
    <row r="42" ht="15.75" customHeight="1" s="81"/>
    <row r="43" ht="15.75" customHeight="1" s="81"/>
    <row r="44" ht="15.75" customHeight="1" s="81"/>
    <row r="45" ht="15.75" customHeight="1" s="81"/>
    <row r="46" ht="15.75" customHeight="1" s="81"/>
    <row r="47" ht="15.75" customHeight="1" s="81"/>
    <row r="48" ht="15.75" customHeight="1" s="81"/>
    <row r="49" ht="15.75" customHeight="1" s="81"/>
    <row r="50" ht="15.75" customHeight="1" s="81"/>
    <row r="51" ht="15.75" customHeight="1" s="81"/>
    <row r="52" ht="15.75" customHeight="1" s="81"/>
    <row r="53" ht="15.75" customHeight="1" s="81"/>
    <row r="54" ht="15.75" customHeight="1" s="81"/>
    <row r="55" ht="15.75" customHeight="1" s="81"/>
    <row r="56" ht="15.75" customHeight="1" s="81"/>
    <row r="57" ht="15.75" customHeight="1" s="81"/>
    <row r="58" ht="15.75" customHeight="1" s="81"/>
    <row r="59" ht="15.75" customHeight="1" s="81"/>
    <row r="60" ht="15.75" customHeight="1" s="81"/>
    <row r="61" ht="15.75" customHeight="1" s="81"/>
    <row r="62" ht="15.75" customHeight="1" s="81"/>
    <row r="63" ht="15.75" customHeight="1" s="81"/>
    <row r="64" ht="15.75" customHeight="1" s="81"/>
    <row r="65" ht="15.75" customHeight="1" s="81"/>
    <row r="66" ht="15.75" customHeight="1" s="81"/>
    <row r="67" ht="15.75" customHeight="1" s="81"/>
    <row r="68" ht="15.75" customHeight="1" s="81"/>
    <row r="69" ht="15.75" customHeight="1" s="81"/>
    <row r="70" ht="15.75" customHeight="1" s="81"/>
    <row r="71" ht="15.75" customHeight="1" s="81"/>
    <row r="72" ht="15.75" customHeight="1" s="81"/>
    <row r="73" ht="15.75" customHeight="1" s="81"/>
    <row r="74" ht="15.75" customHeight="1" s="81"/>
    <row r="75" ht="15.75" customHeight="1" s="81"/>
    <row r="76" ht="15.75" customHeight="1" s="81"/>
    <row r="77" ht="15.75" customHeight="1" s="81"/>
    <row r="78" ht="15.75" customHeight="1" s="81"/>
    <row r="79" ht="15.75" customHeight="1" s="81"/>
    <row r="80" ht="15.75" customHeight="1" s="81"/>
    <row r="81" ht="15.75" customHeight="1" s="81"/>
    <row r="82" ht="15.75" customHeight="1" s="81"/>
    <row r="83" ht="15.75" customHeight="1" s="81"/>
    <row r="84" ht="15.75" customHeight="1" s="81"/>
    <row r="85" ht="15.75" customHeight="1" s="81"/>
    <row r="86" ht="15.75" customHeight="1" s="81"/>
    <row r="87" ht="15.75" customHeight="1" s="81"/>
    <row r="88" ht="15.75" customHeight="1" s="81"/>
    <row r="89" ht="15.75" customHeight="1" s="81"/>
    <row r="90" ht="15.75" customHeight="1" s="81"/>
    <row r="91" ht="15.75" customHeight="1" s="81"/>
    <row r="92" ht="15.75" customHeight="1" s="81"/>
    <row r="93" ht="15.75" customHeight="1" s="81"/>
    <row r="94" ht="15.75" customHeight="1" s="81"/>
    <row r="95" ht="15.75" customHeight="1" s="81"/>
    <row r="96" ht="15.75" customHeight="1" s="81"/>
    <row r="97" ht="15.75" customHeight="1" s="81"/>
    <row r="98" ht="15.75" customHeight="1" s="81"/>
    <row r="99" ht="15.75" customHeight="1" s="81"/>
    <row r="100" ht="15.75" customHeight="1" s="81"/>
    <row r="101" ht="15.75" customHeight="1" s="81"/>
    <row r="102" ht="15.75" customHeight="1" s="81"/>
    <row r="103" ht="15.75" customHeight="1" s="81"/>
    <row r="104" ht="15.75" customHeight="1" s="81"/>
    <row r="105" ht="15.75" customHeight="1" s="81"/>
    <row r="106" ht="15.75" customHeight="1" s="81"/>
    <row r="107" ht="15.75" customHeight="1" s="81"/>
    <row r="108" ht="15.75" customHeight="1" s="81"/>
    <row r="109" ht="15.75" customHeight="1" s="81"/>
    <row r="110" ht="15.75" customHeight="1" s="81"/>
    <row r="111" ht="15.75" customHeight="1" s="81"/>
    <row r="112" ht="15.75" customHeight="1" s="81"/>
    <row r="113" ht="15.75" customHeight="1" s="81"/>
    <row r="114" ht="15.75" customHeight="1" s="81"/>
    <row r="115" ht="15.75" customHeight="1" s="81"/>
    <row r="116" ht="15.75" customHeight="1" s="81"/>
    <row r="117" ht="15.75" customHeight="1" s="81"/>
    <row r="118" ht="15.75" customHeight="1" s="81"/>
    <row r="119" ht="15.75" customHeight="1" s="81"/>
    <row r="120" ht="15.75" customHeight="1" s="81"/>
    <row r="121" ht="15.75" customHeight="1" s="81"/>
    <row r="122" ht="15.75" customHeight="1" s="81"/>
    <row r="123" ht="15.75" customHeight="1" s="81"/>
    <row r="124" ht="15.75" customHeight="1" s="81"/>
    <row r="125" ht="15.75" customHeight="1" s="81"/>
    <row r="126" ht="15.75" customHeight="1" s="81"/>
    <row r="127" ht="15.75" customHeight="1" s="81"/>
    <row r="128" ht="15.75" customHeight="1" s="81"/>
    <row r="129" ht="15.75" customHeight="1" s="81"/>
    <row r="130" ht="15.75" customHeight="1" s="81"/>
    <row r="131" ht="15.75" customHeight="1" s="81"/>
    <row r="132" ht="15.75" customHeight="1" s="81"/>
    <row r="133" ht="15.75" customHeight="1" s="81"/>
    <row r="134" ht="15.75" customHeight="1" s="81"/>
    <row r="135" ht="15.75" customHeight="1" s="81"/>
    <row r="136" ht="15.75" customHeight="1" s="81"/>
    <row r="137" ht="15.75" customHeight="1" s="81"/>
    <row r="138" ht="15.75" customHeight="1" s="81"/>
    <row r="139" ht="15.75" customHeight="1" s="81"/>
    <row r="140" ht="15.75" customHeight="1" s="81"/>
    <row r="141" ht="15.75" customHeight="1" s="81"/>
    <row r="142" ht="15.75" customHeight="1" s="81"/>
    <row r="143" ht="15.75" customHeight="1" s="81"/>
    <row r="144" ht="15.75" customHeight="1" s="81"/>
    <row r="145" ht="15.75" customHeight="1" s="81"/>
    <row r="146" ht="15.75" customHeight="1" s="81"/>
    <row r="147" ht="15.75" customHeight="1" s="81"/>
    <row r="148" ht="15.75" customHeight="1" s="81"/>
    <row r="149" ht="15.75" customHeight="1" s="81"/>
    <row r="150" ht="15.75" customHeight="1" s="81"/>
    <row r="151" ht="15.75" customHeight="1" s="81"/>
    <row r="152" ht="15.75" customHeight="1" s="81"/>
    <row r="153" ht="15.75" customHeight="1" s="81"/>
    <row r="154" ht="15.75" customHeight="1" s="81"/>
    <row r="155" ht="15.75" customHeight="1" s="81"/>
    <row r="156" ht="15.75" customHeight="1" s="81"/>
    <row r="157" ht="15.75" customHeight="1" s="81"/>
    <row r="158" ht="15.75" customHeight="1" s="81"/>
    <row r="159" ht="15.75" customHeight="1" s="81"/>
    <row r="160" ht="15.75" customHeight="1" s="81"/>
    <row r="161" ht="15.75" customHeight="1" s="81"/>
    <row r="162" ht="15.75" customHeight="1" s="81"/>
    <row r="163" ht="15.75" customHeight="1" s="81"/>
    <row r="164" ht="15.75" customHeight="1" s="81"/>
    <row r="165" ht="15.75" customHeight="1" s="81"/>
    <row r="166" ht="15.75" customHeight="1" s="81"/>
    <row r="167" ht="15.75" customHeight="1" s="81"/>
    <row r="168" ht="15.75" customHeight="1" s="81"/>
    <row r="169" ht="15.75" customHeight="1" s="81"/>
    <row r="170" ht="15.75" customHeight="1" s="81"/>
    <row r="171" ht="15.75" customHeight="1" s="81"/>
    <row r="172" ht="15.75" customHeight="1" s="81"/>
    <row r="173" ht="15.75" customHeight="1" s="81"/>
    <row r="174" ht="15.75" customHeight="1" s="81"/>
    <row r="175" ht="15.75" customHeight="1" s="81"/>
    <row r="176" ht="15.75" customHeight="1" s="81"/>
    <row r="177" ht="15.75" customHeight="1" s="81"/>
    <row r="178" ht="15.75" customHeight="1" s="81"/>
    <row r="179" ht="15.75" customHeight="1" s="81"/>
    <row r="180" ht="15.75" customHeight="1" s="81"/>
    <row r="181" ht="15.75" customHeight="1" s="81"/>
    <row r="182" ht="15.75" customHeight="1" s="81"/>
    <row r="183" ht="15.75" customHeight="1" s="81"/>
    <row r="184" ht="15.75" customHeight="1" s="81"/>
    <row r="185" ht="15.75" customHeight="1" s="81"/>
    <row r="186" ht="15.75" customHeight="1" s="81"/>
    <row r="187" ht="15.75" customHeight="1" s="81"/>
    <row r="188" ht="15.75" customHeight="1" s="81"/>
    <row r="189" ht="15.75" customHeight="1" s="81"/>
    <row r="190" ht="15.75" customHeight="1" s="81"/>
    <row r="191" ht="15.75" customHeight="1" s="81"/>
    <row r="192" ht="15.75" customHeight="1" s="81"/>
    <row r="193" ht="15.75" customHeight="1" s="81"/>
    <row r="194" ht="15.75" customHeight="1" s="81"/>
    <row r="195" ht="15.75" customHeight="1" s="81"/>
    <row r="196" ht="15.75" customHeight="1" s="81"/>
    <row r="197" ht="15.75" customHeight="1" s="81"/>
    <row r="198" ht="15.75" customHeight="1" s="81"/>
    <row r="199" ht="15.75" customHeight="1" s="81"/>
    <row r="200" ht="15.75" customHeight="1" s="81"/>
    <row r="201" ht="15.75" customHeight="1" s="81"/>
    <row r="202" ht="15.75" customHeight="1" s="81"/>
    <row r="203" ht="15.75" customHeight="1" s="81"/>
    <row r="204" ht="15.75" customHeight="1" s="81"/>
    <row r="205" ht="15.75" customHeight="1" s="81"/>
    <row r="206" ht="15.75" customHeight="1" s="81"/>
    <row r="207" ht="15.75" customHeight="1" s="81"/>
    <row r="208" ht="15.75" customHeight="1" s="81"/>
    <row r="209" ht="15.75" customHeight="1" s="81"/>
    <row r="210" ht="15.75" customHeight="1" s="81"/>
    <row r="211" ht="15.75" customHeight="1" s="81"/>
    <row r="212" ht="15.75" customHeight="1" s="81"/>
    <row r="213" ht="15.75" customHeight="1" s="81"/>
    <row r="214" ht="15.75" customHeight="1" s="81"/>
    <row r="215" ht="15.75" customHeight="1" s="81"/>
    <row r="216" ht="15.75" customHeight="1" s="81"/>
    <row r="217" ht="15.75" customHeight="1" s="81"/>
    <row r="218" ht="15.75" customHeight="1" s="81"/>
    <row r="219" ht="15.75" customHeight="1" s="81"/>
    <row r="220" ht="15.75" customHeight="1" s="81"/>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autoFilter ref="$A$4:$O$15"/>
  <mergeCells count="2">
    <mergeCell ref="A1:O1"/>
    <mergeCell ref="A2:O2"/>
  </mergeCells>
  <pageMargins left="0.25" right="0.25" top="0.45" bottom="0.45" header="0" footer="0"/>
  <pageSetup orientation="landscape" paperSize="8" fitToHeight="0"/>
  <headerFooter>
    <oddHeader/>
    <oddFooter>&amp;CPWA Son Cang | Yeu cau nghiep vu | Trang &amp;P /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FF223873"/>
    <outlinePr summaryBelow="1" summaryRight="1"/>
    <pageSetUpPr fitToPage="1"/>
  </sheetPr>
  <dimension ref="A1:M43"/>
  <sheetViews>
    <sheetView showGridLines="0" workbookViewId="0">
      <pane xSplit="4" ySplit="4" topLeftCell="E5" activePane="bottomRight" state="frozen"/>
      <selection pane="topRight" activeCell="E1" sqref="E1"/>
      <selection pane="bottomLeft" activeCell="A5" sqref="A5"/>
      <selection pane="bottomRight" activeCell="E5" sqref="E5"/>
    </sheetView>
  </sheetViews>
  <sheetFormatPr baseColWidth="8" defaultColWidth="14.43" defaultRowHeight="15" customHeight="1"/>
  <cols>
    <col width="9" customWidth="1" style="81" min="1" max="1"/>
    <col width="20" customWidth="1" style="81" min="2" max="2"/>
    <col width="69" customWidth="1" style="81" min="3" max="3"/>
    <col width="34" customWidth="1" style="81" min="4" max="4"/>
    <col width="19" customWidth="1" style="81" min="5" max="11"/>
    <col width="58" customWidth="1" style="81" min="12" max="12"/>
    <col width="19" customWidth="1" style="81" min="13" max="13"/>
    <col width="8.710000000000001" customWidth="1" style="81" min="14" max="26"/>
  </cols>
  <sheetData>
    <row r="1" ht="36" customHeight="1" s="81">
      <c r="A1" s="82" t="inlineStr">
        <is>
          <t>MA TRẬN QUYỀN THEO 07 VAI TRÒ — CẦN XÁC NHẬN</t>
        </is>
      </c>
    </row>
    <row r="2" ht="33" customHeight="1" s="81">
      <c r="A2" s="83" t="inlineStr">
        <is>
          <t>Các cột quyền đang để trống vì đã chốt TRÁCH NHIỆM BỘ PHẬN nhưng chưa chốt từng quyền. Chọn Thực hiện / Xem / Phê duyệt / Không.</t>
        </is>
      </c>
    </row>
    <row r="4" ht="33" customHeight="1" s="81">
      <c r="A4" s="5" t="inlineStr">
        <is>
          <t>Mã</t>
        </is>
      </c>
      <c r="B4" s="5" t="inlineStr">
        <is>
          <t>Nhóm</t>
        </is>
      </c>
      <c r="C4" s="5" t="inlineStr">
        <is>
          <t>Chức năng / thao tác</t>
        </is>
      </c>
      <c r="D4" s="5" t="inlineStr">
        <is>
          <t>Bộ phận trách nhiệm đã chốt</t>
        </is>
      </c>
      <c r="E4" s="5" t="inlineStr">
        <is>
          <t>NV An ninh</t>
        </is>
      </c>
      <c r="F4" s="5" t="inlineStr">
        <is>
          <t>TBP An ninh</t>
        </is>
      </c>
      <c r="G4" s="5" t="inlineStr">
        <is>
          <t>NV CCKB</t>
        </is>
      </c>
      <c r="H4" s="5" t="inlineStr">
        <is>
          <t>TBP CCKB</t>
        </is>
      </c>
      <c r="I4" s="5" t="inlineStr">
        <is>
          <t>NV Điều phối</t>
        </is>
      </c>
      <c r="J4" s="5" t="inlineStr">
        <is>
          <t>TBP Điều phối</t>
        </is>
      </c>
      <c r="K4" s="5" t="inlineStr">
        <is>
          <t>Quản trị</t>
        </is>
      </c>
      <c r="L4" s="5" t="inlineStr">
        <is>
          <t>Ghi chú cần xác nhận (điền)</t>
        </is>
      </c>
      <c r="M4" s="5" t="inlineStr">
        <is>
          <t>Trạng thái</t>
        </is>
      </c>
    </row>
    <row r="5" ht="39" customHeight="1" s="81">
      <c r="A5" s="10" t="inlineStr">
        <is>
          <t>Q01</t>
        </is>
      </c>
      <c r="B5" s="10" t="inlineStr">
        <is>
          <t>Cổng vào</t>
        </is>
      </c>
      <c r="C5" s="10" t="inlineStr">
        <is>
          <t>Tạo lượt xe vào và giờ vào</t>
        </is>
      </c>
      <c r="D5" s="10" t="inlineStr">
        <is>
          <t>An ninh</t>
        </is>
      </c>
      <c r="E5" s="24" t="n"/>
      <c r="F5" s="24" t="n"/>
      <c r="G5" s="24" t="n"/>
      <c r="H5" s="24" t="n"/>
      <c r="I5" s="24" t="n"/>
      <c r="J5" s="24" t="n"/>
      <c r="K5" s="24" t="n"/>
      <c r="L5" s="24" t="n"/>
      <c r="M5" s="10" t="inlineStr">
        <is>
          <t>Chờ xác nhận</t>
        </is>
      </c>
    </row>
    <row r="6" ht="39" customHeight="1" s="81">
      <c r="A6" s="14" t="inlineStr">
        <is>
          <t>Q02</t>
        </is>
      </c>
      <c r="B6" s="14" t="inlineStr">
        <is>
          <t>Cổng vào</t>
        </is>
      </c>
      <c r="C6" s="14" t="inlineStr">
        <is>
          <t>Thu tiền vé vào, đính kèm ảnh chuyển khoản</t>
        </is>
      </c>
      <c r="D6" s="14" t="inlineStr">
        <is>
          <t>An ninh</t>
        </is>
      </c>
      <c r="E6" s="24" t="n"/>
      <c r="F6" s="24" t="n"/>
      <c r="G6" s="24" t="n"/>
      <c r="H6" s="24" t="n"/>
      <c r="I6" s="24" t="n"/>
      <c r="J6" s="24" t="n"/>
      <c r="K6" s="24" t="n"/>
      <c r="L6" s="24" t="n"/>
      <c r="M6" s="14" t="inlineStr">
        <is>
          <t>Chờ xác nhận</t>
        </is>
      </c>
    </row>
    <row r="7" ht="39" customHeight="1" s="81">
      <c r="A7" s="10" t="inlineStr">
        <is>
          <t>Q03</t>
        </is>
      </c>
      <c r="B7" s="10" t="inlineStr">
        <is>
          <t>Cổng vào</t>
        </is>
      </c>
      <c r="C7" s="10" t="inlineStr">
        <is>
          <t>Sửa biển số / loại xe / GIO_VAO</t>
        </is>
      </c>
      <c r="D7" s="10" t="inlineStr">
        <is>
          <t>Chờ phân quyền</t>
        </is>
      </c>
      <c r="E7" s="24" t="n"/>
      <c r="F7" s="24" t="n"/>
      <c r="G7" s="24" t="n"/>
      <c r="H7" s="24" t="n"/>
      <c r="I7" s="24" t="n"/>
      <c r="J7" s="24" t="n"/>
      <c r="K7" s="24" t="n"/>
      <c r="L7" s="24" t="n"/>
      <c r="M7" s="10" t="inlineStr">
        <is>
          <t>Chờ xác nhận</t>
        </is>
      </c>
    </row>
    <row r="8" ht="39" customHeight="1" s="81">
      <c r="A8" s="14" t="inlineStr">
        <is>
          <t>Q04</t>
        </is>
      </c>
      <c r="B8" s="14" t="inlineStr">
        <is>
          <t>Cổng vào</t>
        </is>
      </c>
      <c r="C8" s="14" t="inlineStr">
        <is>
          <t>Tạo/điều chỉnh số vé giấy</t>
        </is>
      </c>
      <c r="D8" s="14" t="inlineStr">
        <is>
          <t>An ninh</t>
        </is>
      </c>
      <c r="E8" s="24" t="n"/>
      <c r="F8" s="24" t="n"/>
      <c r="G8" s="24" t="n"/>
      <c r="H8" s="24" t="n"/>
      <c r="I8" s="24" t="n"/>
      <c r="J8" s="24" t="n"/>
      <c r="K8" s="24" t="n"/>
      <c r="L8" s="24" t="n"/>
      <c r="M8" s="14" t="inlineStr">
        <is>
          <t>Chờ xác nhận</t>
        </is>
      </c>
    </row>
    <row r="9" ht="39" customHeight="1" s="81">
      <c r="A9" s="10" t="inlineStr">
        <is>
          <t>Q05</t>
        </is>
      </c>
      <c r="B9" s="10" t="inlineStr">
        <is>
          <t>Container</t>
        </is>
      </c>
      <c r="C9" s="10" t="inlineStr">
        <is>
          <t>Tạo lượt container vào, ghi GIO_CONT_VAO</t>
        </is>
      </c>
      <c r="D9" s="10" t="inlineStr">
        <is>
          <t>An ninh</t>
        </is>
      </c>
      <c r="E9" s="24" t="n"/>
      <c r="F9" s="24" t="n"/>
      <c r="G9" s="24" t="n"/>
      <c r="H9" s="24" t="n"/>
      <c r="I9" s="24" t="n"/>
      <c r="J9" s="24" t="n"/>
      <c r="K9" s="24" t="n"/>
      <c r="L9" s="24" t="n"/>
      <c r="M9" s="10" t="inlineStr">
        <is>
          <t>Chờ xác nhận</t>
        </is>
      </c>
    </row>
    <row r="10" ht="39" customHeight="1" s="81">
      <c r="A10" s="14" t="inlineStr">
        <is>
          <t>Q06</t>
        </is>
      </c>
      <c r="B10" s="14" t="inlineStr">
        <is>
          <t>Container</t>
        </is>
      </c>
      <c r="C10" s="14" t="inlineStr">
        <is>
          <t>Thay đổi số container sau khi lưu</t>
        </is>
      </c>
      <c r="D10" s="14" t="inlineStr">
        <is>
          <t>Chờ phân quyền</t>
        </is>
      </c>
      <c r="E10" s="24" t="inlineStr">
        <is>
          <t>Thực hiện</t>
        </is>
      </c>
      <c r="F10" s="24" t="inlineStr">
        <is>
          <t>Thực hiện</t>
        </is>
      </c>
      <c r="G10" s="24" t="n"/>
      <c r="H10" s="24" t="n"/>
      <c r="I10" s="24" t="n"/>
      <c r="J10" s="24" t="n"/>
      <c r="K10" s="24" t="n"/>
      <c r="L10" s="24" t="inlineStr">
        <is>
          <t>Đã xác nhận cấp quyền cho An ninh sửa số cont và báo CCKB. Các ngoại lệ đã thanh toán/đã xuất vẫn cần chốt.</t>
        </is>
      </c>
      <c r="M10" s="14" t="inlineStr">
        <is>
          <t>Chờ xác nhận</t>
        </is>
      </c>
    </row>
    <row r="11" ht="39" customHeight="1" s="81">
      <c r="A11" s="10" t="inlineStr">
        <is>
          <t>Q07</t>
        </is>
      </c>
      <c r="B11" s="10" t="inlineStr">
        <is>
          <t>Container</t>
        </is>
      </c>
      <c r="C11" s="10" t="inlineStr">
        <is>
          <t>Xác nhận hạ/xếp container (quản lý vị trí)</t>
        </is>
      </c>
      <c r="D11" s="10" t="inlineStr">
        <is>
          <t>Chờ phân quyền</t>
        </is>
      </c>
      <c r="E11" s="24" t="n"/>
      <c r="F11" s="24" t="n"/>
      <c r="G11" s="24" t="n"/>
      <c r="H11" s="24" t="n"/>
      <c r="I11" s="24" t="n"/>
      <c r="J11" s="24" t="n"/>
      <c r="K11" s="24" t="n"/>
      <c r="L11" s="24" t="n"/>
      <c r="M11" s="10" t="inlineStr">
        <is>
          <t>Chờ xác nhận</t>
        </is>
      </c>
    </row>
    <row r="12" ht="39" customHeight="1" s="81">
      <c r="A12" s="14" t="inlineStr">
        <is>
          <t>Q08</t>
        </is>
      </c>
      <c r="B12" s="14" t="inlineStr">
        <is>
          <t>Điều phối</t>
        </is>
      </c>
      <c r="C12" s="14" t="inlineStr">
        <is>
          <t>Cập nhật HÀNG/RỖNG</t>
        </is>
      </c>
      <c r="D12" s="14" t="inlineStr">
        <is>
          <t>Điều phối</t>
        </is>
      </c>
      <c r="E12" s="24" t="n"/>
      <c r="F12" s="24" t="n"/>
      <c r="G12" s="24" t="n"/>
      <c r="H12" s="24" t="n"/>
      <c r="I12" s="24" t="n"/>
      <c r="J12" s="24" t="n"/>
      <c r="K12" s="24" t="n"/>
      <c r="L12" s="24" t="n"/>
      <c r="M12" s="14" t="inlineStr">
        <is>
          <t>Chờ xác nhận</t>
        </is>
      </c>
    </row>
    <row r="13" ht="39" customHeight="1" s="81">
      <c r="A13" s="10" t="inlineStr">
        <is>
          <t>Q09</t>
        </is>
      </c>
      <c r="B13" s="10" t="inlineStr">
        <is>
          <t>Điều phối</t>
        </is>
      </c>
      <c r="C13" s="10" t="inlineStr">
        <is>
          <t>Sửa HÀNG/RỖNG sau khi đã ra</t>
        </is>
      </c>
      <c r="D13" s="10" t="inlineStr">
        <is>
          <t>Chờ phân quyền</t>
        </is>
      </c>
      <c r="E13" s="24" t="n"/>
      <c r="F13" s="24" t="n"/>
      <c r="G13" s="24" t="n"/>
      <c r="H13" s="24" t="n"/>
      <c r="I13" s="24" t="n"/>
      <c r="J13" s="24" t="n"/>
      <c r="K13" s="24" t="n"/>
      <c r="L13" s="24" t="n"/>
      <c r="M13" s="10" t="inlineStr">
        <is>
          <t>Chờ xác nhận</t>
        </is>
      </c>
    </row>
    <row r="14" ht="39" customHeight="1" s="81">
      <c r="A14" s="14" t="inlineStr">
        <is>
          <t>Q10</t>
        </is>
      </c>
      <c r="B14" s="14" t="inlineStr">
        <is>
          <t>Cắm điện</t>
        </is>
      </c>
      <c r="C14" s="14" t="inlineStr">
        <is>
          <t>Tạo yêu cầu cắm/rút từ khách hàng</t>
        </is>
      </c>
      <c r="D14" s="14" t="inlineStr">
        <is>
          <t>CCKB</t>
        </is>
      </c>
      <c r="E14" s="24" t="n"/>
      <c r="F14" s="24" t="n"/>
      <c r="G14" s="24" t="n"/>
      <c r="H14" s="24" t="n"/>
      <c r="I14" s="24" t="n"/>
      <c r="J14" s="24" t="n"/>
      <c r="K14" s="24" t="n"/>
      <c r="L14" s="24" t="n"/>
      <c r="M14" s="14" t="inlineStr">
        <is>
          <t>Chờ xác nhận</t>
        </is>
      </c>
    </row>
    <row r="15" ht="39" customHeight="1" s="81">
      <c r="A15" s="10" t="inlineStr">
        <is>
          <t>Q11</t>
        </is>
      </c>
      <c r="B15" s="10" t="inlineStr">
        <is>
          <t>Cắm điện</t>
        </is>
      </c>
      <c r="C15" s="10" t="inlineStr">
        <is>
          <t>Thực hiện cắm/rút điện tại hiện trường</t>
        </is>
      </c>
      <c r="D15" s="10" t="inlineStr">
        <is>
          <t>An ninh</t>
        </is>
      </c>
      <c r="E15" s="24" t="n"/>
      <c r="F15" s="24" t="n"/>
      <c r="G15" s="24" t="n"/>
      <c r="H15" s="24" t="n"/>
      <c r="I15" s="24" t="n"/>
      <c r="J15" s="24" t="n"/>
      <c r="K15" s="24" t="n"/>
      <c r="L15" s="24" t="n"/>
      <c r="M15" s="10" t="inlineStr">
        <is>
          <t>Chờ xác nhận</t>
        </is>
      </c>
    </row>
    <row r="16" ht="39" customHeight="1" s="81">
      <c r="A16" s="14" t="inlineStr">
        <is>
          <t>Q12</t>
        </is>
      </c>
      <c r="B16" s="14" t="inlineStr">
        <is>
          <t>Cắm điện</t>
        </is>
      </c>
      <c r="C16" s="14" t="inlineStr">
        <is>
          <t>Nhập GIO_CAM_THUC_TE</t>
        </is>
      </c>
      <c r="D16" s="14" t="inlineStr">
        <is>
          <t>CCKB</t>
        </is>
      </c>
      <c r="E16" s="24" t="n"/>
      <c r="F16" s="24" t="n"/>
      <c r="G16" s="24" t="n"/>
      <c r="H16" s="24" t="n"/>
      <c r="I16" s="24" t="n"/>
      <c r="J16" s="24" t="n"/>
      <c r="K16" s="24" t="n"/>
      <c r="L16" s="24" t="n"/>
      <c r="M16" s="14" t="inlineStr">
        <is>
          <t>Chờ xác nhận</t>
        </is>
      </c>
    </row>
    <row r="17" ht="39" customHeight="1" s="81">
      <c r="A17" s="10" t="inlineStr">
        <is>
          <t>Q13</t>
        </is>
      </c>
      <c r="B17" s="10" t="inlineStr">
        <is>
          <t>Cắm điện</t>
        </is>
      </c>
      <c r="C17" s="10" t="inlineStr">
        <is>
          <t>Nhập GIO_RUT_THUC_TE</t>
        </is>
      </c>
      <c r="D17" s="10" t="inlineStr">
        <is>
          <t>CCKB</t>
        </is>
      </c>
      <c r="E17" s="24" t="n"/>
      <c r="F17" s="24" t="n"/>
      <c r="G17" s="24" t="n"/>
      <c r="H17" s="24" t="n"/>
      <c r="I17" s="24" t="n"/>
      <c r="J17" s="24" t="n"/>
      <c r="K17" s="24" t="n"/>
      <c r="L17" s="24" t="n"/>
      <c r="M17" s="10" t="inlineStr">
        <is>
          <t>Chờ xác nhận</t>
        </is>
      </c>
    </row>
    <row r="18" ht="39" customHeight="1" s="81">
      <c r="A18" s="14" t="inlineStr">
        <is>
          <t>Q14</t>
        </is>
      </c>
      <c r="B18" s="14" t="inlineStr">
        <is>
          <t>Cắm điện</t>
        </is>
      </c>
      <c r="C18" s="14" t="inlineStr">
        <is>
          <t>Sửa giờ cắm/rút trước khi thu</t>
        </is>
      </c>
      <c r="D18" s="14" t="inlineStr">
        <is>
          <t>CCKB</t>
        </is>
      </c>
      <c r="E18" s="24" t="n"/>
      <c r="F18" s="24" t="n"/>
      <c r="G18" s="24" t="n"/>
      <c r="H18" s="24" t="n"/>
      <c r="I18" s="24" t="n"/>
      <c r="J18" s="24" t="n"/>
      <c r="K18" s="24" t="n"/>
      <c r="L18" s="24" t="n"/>
      <c r="M18" s="14" t="inlineStr">
        <is>
          <t>Chờ xác nhận</t>
        </is>
      </c>
    </row>
    <row r="19" ht="39" customHeight="1" s="81">
      <c r="A19" s="10" t="inlineStr">
        <is>
          <t>Q15</t>
        </is>
      </c>
      <c r="B19" s="10" t="inlineStr">
        <is>
          <t>Cắm điện</t>
        </is>
      </c>
      <c r="C19" s="10" t="inlineStr">
        <is>
          <t>Đề nghị sửa giờ sau khi đã thu</t>
        </is>
      </c>
      <c r="D19" s="10" t="inlineStr">
        <is>
          <t>CCKB</t>
        </is>
      </c>
      <c r="E19" s="24" t="n"/>
      <c r="F19" s="24" t="n"/>
      <c r="G19" s="24" t="n"/>
      <c r="H19" s="24" t="n"/>
      <c r="I19" s="24" t="n"/>
      <c r="J19" s="24" t="n"/>
      <c r="K19" s="24" t="n"/>
      <c r="L19" s="24" t="n"/>
      <c r="M19" s="10" t="inlineStr">
        <is>
          <t>Chờ xác nhận</t>
        </is>
      </c>
    </row>
    <row r="20" ht="39" customHeight="1" s="81">
      <c r="A20" s="14" t="inlineStr">
        <is>
          <t>Q16</t>
        </is>
      </c>
      <c r="B20" s="14" t="inlineStr">
        <is>
          <t>Cắm điện</t>
        </is>
      </c>
      <c r="C20" s="14" t="inlineStr">
        <is>
          <t>Phê duyệt chênh lệch sau khi thu</t>
        </is>
      </c>
      <c r="D20" s="14" t="inlineStr">
        <is>
          <t>Chờ phân quyền</t>
        </is>
      </c>
      <c r="E20" s="24" t="n"/>
      <c r="F20" s="24" t="n"/>
      <c r="G20" s="24" t="n"/>
      <c r="H20" s="24" t="n"/>
      <c r="I20" s="24" t="n"/>
      <c r="J20" s="24" t="n"/>
      <c r="K20" s="24" t="n"/>
      <c r="L20" s="24" t="n"/>
      <c r="M20" s="14" t="inlineStr">
        <is>
          <t>Chờ xác nhận</t>
        </is>
      </c>
    </row>
    <row r="21" ht="39" customHeight="1" s="81">
      <c r="A21" s="10" t="inlineStr">
        <is>
          <t>Q17</t>
        </is>
      </c>
      <c r="B21" s="10" t="inlineStr">
        <is>
          <t>Cắm điện</t>
        </is>
      </c>
      <c r="C21" s="10" t="inlineStr">
        <is>
          <t>Quản lý danh mục giá điện và ngày hiệu lực</t>
        </is>
      </c>
      <c r="D21" s="10" t="inlineStr">
        <is>
          <t>Chờ phân quyền</t>
        </is>
      </c>
      <c r="E21" s="24" t="n"/>
      <c r="F21" s="24" t="n"/>
      <c r="G21" s="24" t="n"/>
      <c r="H21" s="24" t="n"/>
      <c r="I21" s="24" t="n"/>
      <c r="J21" s="24" t="n"/>
      <c r="K21" s="24" t="n"/>
      <c r="L21" s="24" t="n"/>
      <c r="M21" s="10" t="inlineStr">
        <is>
          <t>Chờ xác nhận</t>
        </is>
      </c>
    </row>
    <row r="22" ht="39" customHeight="1" s="81">
      <c r="A22" s="14" t="inlineStr">
        <is>
          <t>Q18</t>
        </is>
      </c>
      <c r="B22" s="14" t="inlineStr">
        <is>
          <t>Thanh toán</t>
        </is>
      </c>
      <c r="C22" s="14" t="inlineStr">
        <is>
          <t>Tính/thu phí lưu container</t>
        </is>
      </c>
      <c r="D22" s="14" t="inlineStr">
        <is>
          <t>CCKB</t>
        </is>
      </c>
      <c r="E22" s="24" t="n"/>
      <c r="F22" s="24" t="n"/>
      <c r="G22" s="24" t="n"/>
      <c r="H22" s="24" t="n"/>
      <c r="I22" s="24" t="n"/>
      <c r="J22" s="24" t="n"/>
      <c r="K22" s="24" t="n"/>
      <c r="L22" s="24" t="n"/>
      <c r="M22" s="14" t="inlineStr">
        <is>
          <t>Chờ xác nhận</t>
        </is>
      </c>
    </row>
    <row r="23" ht="39" customHeight="1" s="81">
      <c r="A23" s="10" t="inlineStr">
        <is>
          <t>Q19</t>
        </is>
      </c>
      <c r="B23" s="10" t="inlineStr">
        <is>
          <t>Thanh toán</t>
        </is>
      </c>
      <c r="C23" s="10" t="inlineStr">
        <is>
          <t>Tính/thu phí điện</t>
        </is>
      </c>
      <c r="D23" s="10" t="inlineStr">
        <is>
          <t>CCKB</t>
        </is>
      </c>
      <c r="E23" s="24" t="n"/>
      <c r="F23" s="24" t="n"/>
      <c r="G23" s="24" t="n"/>
      <c r="H23" s="24" t="n"/>
      <c r="I23" s="24" t="n"/>
      <c r="J23" s="24" t="n"/>
      <c r="K23" s="24" t="n"/>
      <c r="L23" s="24" t="n"/>
      <c r="M23" s="10" t="inlineStr">
        <is>
          <t>Chờ xác nhận</t>
        </is>
      </c>
    </row>
    <row r="24" ht="39" customHeight="1" s="81">
      <c r="A24" s="14" t="inlineStr">
        <is>
          <t>Q20</t>
        </is>
      </c>
      <c r="B24" s="14" t="inlineStr">
        <is>
          <t>Thanh toán</t>
        </is>
      </c>
      <c r="C24" s="14" t="inlineStr">
        <is>
          <t>Thu phạt mất vé</t>
        </is>
      </c>
      <c r="D24" s="14" t="inlineStr">
        <is>
          <t>Chờ phân quyền</t>
        </is>
      </c>
      <c r="E24" s="24" t="n"/>
      <c r="F24" s="24" t="n"/>
      <c r="G24" s="24" t="n"/>
      <c r="H24" s="24" t="n"/>
      <c r="I24" s="24" t="n"/>
      <c r="J24" s="24" t="n"/>
      <c r="K24" s="24" t="n"/>
      <c r="L24" s="24" t="n"/>
      <c r="M24" s="14" t="inlineStr">
        <is>
          <t>Chờ xác nhận</t>
        </is>
      </c>
    </row>
    <row r="25" ht="39" customHeight="1" s="81">
      <c r="A25" s="10" t="inlineStr">
        <is>
          <t>Q21</t>
        </is>
      </c>
      <c r="B25" s="10" t="inlineStr">
        <is>
          <t>Thanh toán</t>
        </is>
      </c>
      <c r="C25" s="10" t="inlineStr">
        <is>
          <t>Đối soát chuyển khoản/chứng từ</t>
        </is>
      </c>
      <c r="D25" s="10" t="inlineStr">
        <is>
          <t>Chờ phân quyền</t>
        </is>
      </c>
      <c r="E25" s="24" t="n"/>
      <c r="F25" s="24" t="n"/>
      <c r="G25" s="24" t="n"/>
      <c r="H25" s="24" t="n"/>
      <c r="I25" s="24" t="n"/>
      <c r="J25" s="24" t="n"/>
      <c r="K25" s="24" t="n"/>
      <c r="L25" s="24" t="n"/>
      <c r="M25" s="10" t="inlineStr">
        <is>
          <t>Chờ xác nhận</t>
        </is>
      </c>
    </row>
    <row r="26" ht="39" customHeight="1" s="81">
      <c r="A26" s="14" t="inlineStr">
        <is>
          <t>Q22</t>
        </is>
      </c>
      <c r="B26" s="14" t="inlineStr">
        <is>
          <t>Thanh toán</t>
        </is>
      </c>
      <c r="C26" s="14" t="inlineStr">
        <is>
          <t>Miễn/giảm/điều chỉnh tiền phải thu</t>
        </is>
      </c>
      <c r="D26" s="14" t="inlineStr">
        <is>
          <t>Chờ phân quyền</t>
        </is>
      </c>
      <c r="E26" s="24" t="n"/>
      <c r="F26" s="24" t="n"/>
      <c r="G26" s="24" t="n"/>
      <c r="H26" s="24" t="n"/>
      <c r="I26" s="24" t="n"/>
      <c r="J26" s="24" t="n"/>
      <c r="K26" s="24" t="n"/>
      <c r="L26" s="24" t="n"/>
      <c r="M26" s="14" t="inlineStr">
        <is>
          <t>Chờ xác nhận</t>
        </is>
      </c>
    </row>
    <row r="27" ht="39" customHeight="1" s="81">
      <c r="A27" s="10" t="inlineStr">
        <is>
          <t>Q23</t>
        </is>
      </c>
      <c r="B27" s="10" t="inlineStr">
        <is>
          <t>Thanh toán</t>
        </is>
      </c>
      <c r="C27" s="10" t="inlineStr">
        <is>
          <t>Hoàn tiền/hủy giao dịch đã thu</t>
        </is>
      </c>
      <c r="D27" s="10" t="inlineStr">
        <is>
          <t>Chờ phân quyền</t>
        </is>
      </c>
      <c r="E27" s="24" t="n"/>
      <c r="F27" s="24" t="n"/>
      <c r="G27" s="24" t="n"/>
      <c r="H27" s="24" t="n"/>
      <c r="I27" s="24" t="n"/>
      <c r="J27" s="24" t="n"/>
      <c r="K27" s="24" t="n"/>
      <c r="L27" s="24" t="n"/>
      <c r="M27" s="10" t="inlineStr">
        <is>
          <t>Chờ xác nhận</t>
        </is>
      </c>
    </row>
    <row r="28" ht="39" customHeight="1" s="81">
      <c r="A28" s="14" t="inlineStr">
        <is>
          <t>Q24</t>
        </is>
      </c>
      <c r="B28" s="14" t="inlineStr">
        <is>
          <t>Cổng ra</t>
        </is>
      </c>
      <c r="C28" s="14" t="inlineStr">
        <is>
          <t>Xác nhận đủ điều kiện tài chính</t>
        </is>
      </c>
      <c r="D28" s="14" t="inlineStr">
        <is>
          <t>CCKB</t>
        </is>
      </c>
      <c r="E28" s="24" t="n"/>
      <c r="F28" s="24" t="n"/>
      <c r="G28" s="24" t="n"/>
      <c r="H28" s="24" t="n"/>
      <c r="I28" s="24" t="n"/>
      <c r="J28" s="24" t="n"/>
      <c r="K28" s="24" t="n"/>
      <c r="L28" s="24" t="n"/>
      <c r="M28" s="14" t="inlineStr">
        <is>
          <t>Chờ xác nhận</t>
        </is>
      </c>
    </row>
    <row r="29" ht="39" customHeight="1" s="81">
      <c r="A29" s="10" t="inlineStr">
        <is>
          <t>Q25</t>
        </is>
      </c>
      <c r="B29" s="10" t="inlineStr">
        <is>
          <t>Cổng ra</t>
        </is>
      </c>
      <c r="C29" s="10" t="inlineStr">
        <is>
          <t>Xác nhận xe/container thực tế ra</t>
        </is>
      </c>
      <c r="D29" s="10" t="inlineStr">
        <is>
          <t>An ninh</t>
        </is>
      </c>
      <c r="E29" s="24" t="n"/>
      <c r="F29" s="24" t="n"/>
      <c r="G29" s="24" t="n"/>
      <c r="H29" s="24" t="n"/>
      <c r="I29" s="24" t="n"/>
      <c r="J29" s="24" t="n"/>
      <c r="K29" s="24" t="n"/>
      <c r="L29" s="24" t="n"/>
      <c r="M29" s="10" t="inlineStr">
        <is>
          <t>Chờ xác nhận</t>
        </is>
      </c>
    </row>
    <row r="30" ht="39" customHeight="1" s="81">
      <c r="A30" s="14" t="inlineStr">
        <is>
          <t>Q26</t>
        </is>
      </c>
      <c r="B30" s="14" t="inlineStr">
        <is>
          <t>Cổng ra</t>
        </is>
      </c>
      <c r="C30" s="14" t="inlineStr">
        <is>
          <t>Hủy trạng thái duyệt ra/khóa xuất ngoại lệ</t>
        </is>
      </c>
      <c r="D30" s="14" t="inlineStr">
        <is>
          <t>Chờ phân quyền</t>
        </is>
      </c>
      <c r="E30" s="24" t="n"/>
      <c r="F30" s="24" t="n"/>
      <c r="G30" s="24" t="n"/>
      <c r="H30" s="24" t="n"/>
      <c r="I30" s="24" t="n"/>
      <c r="J30" s="24" t="n"/>
      <c r="K30" s="24" t="n"/>
      <c r="L30" s="24" t="n"/>
      <c r="M30" s="14" t="inlineStr">
        <is>
          <t>Chờ xác nhận</t>
        </is>
      </c>
    </row>
    <row r="31" ht="39" customHeight="1" s="81">
      <c r="A31" s="10" t="inlineStr">
        <is>
          <t>Q27</t>
        </is>
      </c>
      <c r="B31" s="10" t="inlineStr">
        <is>
          <t>Quản trị</t>
        </is>
      </c>
      <c r="C31" s="10" t="inlineStr">
        <is>
          <t>Tạo/khóa tài khoản và cấp vai trò</t>
        </is>
      </c>
      <c r="D31" s="10" t="inlineStr">
        <is>
          <t>Quản trị</t>
        </is>
      </c>
      <c r="E31" s="24" t="n"/>
      <c r="F31" s="24" t="n"/>
      <c r="G31" s="24" t="n"/>
      <c r="H31" s="24" t="n"/>
      <c r="I31" s="24" t="n"/>
      <c r="J31" s="24" t="n"/>
      <c r="K31" s="24" t="n"/>
      <c r="L31" s="24" t="n"/>
      <c r="M31" s="10" t="inlineStr">
        <is>
          <t>Chờ xác nhận</t>
        </is>
      </c>
    </row>
    <row r="32" ht="39" customHeight="1" s="81">
      <c r="A32" s="14" t="inlineStr">
        <is>
          <t>Q28</t>
        </is>
      </c>
      <c r="B32" s="14" t="inlineStr">
        <is>
          <t>Quản trị</t>
        </is>
      </c>
      <c r="C32" s="14" t="inlineStr">
        <is>
          <t>Xem nhật ký chỉnh sửa/audit</t>
        </is>
      </c>
      <c r="D32" s="14" t="inlineStr">
        <is>
          <t>Chờ phân quyền</t>
        </is>
      </c>
      <c r="E32" s="24" t="n"/>
      <c r="F32" s="24" t="n"/>
      <c r="G32" s="24" t="n"/>
      <c r="H32" s="24" t="n"/>
      <c r="I32" s="24" t="n"/>
      <c r="J32" s="24" t="n"/>
      <c r="K32" s="24" t="n"/>
      <c r="L32" s="24" t="n"/>
      <c r="M32" s="14" t="inlineStr">
        <is>
          <t>Chờ xác nhận</t>
        </is>
      </c>
    </row>
    <row r="33" ht="39" customHeight="1" s="81">
      <c r="A33" s="10" t="inlineStr">
        <is>
          <t>Q29</t>
        </is>
      </c>
      <c r="B33" s="10" t="inlineStr">
        <is>
          <t>Báo cáo</t>
        </is>
      </c>
      <c r="C33" s="10" t="inlineStr">
        <is>
          <t>Xem doanh thu theo ca/bộ phận/người thu</t>
        </is>
      </c>
      <c r="D33" s="10" t="inlineStr">
        <is>
          <t>Chờ phân quyền</t>
        </is>
      </c>
      <c r="E33" s="24" t="n"/>
      <c r="F33" s="24" t="n"/>
      <c r="G33" s="24" t="n"/>
      <c r="H33" s="24" t="n"/>
      <c r="I33" s="24" t="n"/>
      <c r="J33" s="24" t="n"/>
      <c r="K33" s="24" t="n"/>
      <c r="L33" s="24" t="n"/>
      <c r="M33" s="10" t="inlineStr">
        <is>
          <t>Chờ xác nhận</t>
        </is>
      </c>
    </row>
    <row r="34" ht="39" customHeight="1" s="81">
      <c r="A34" s="14" t="inlineStr">
        <is>
          <t>Q30</t>
        </is>
      </c>
      <c r="B34" s="14" t="inlineStr">
        <is>
          <t>Báo cáo</t>
        </is>
      </c>
      <c r="C34" s="14" t="inlineStr">
        <is>
          <t>Xuất Excel/báo cáo phục vụ kiểm toán</t>
        </is>
      </c>
      <c r="D34" s="14" t="inlineStr">
        <is>
          <t>Chờ phân quyền</t>
        </is>
      </c>
      <c r="E34" s="24" t="n"/>
      <c r="F34" s="24" t="n"/>
      <c r="G34" s="24" t="n"/>
      <c r="H34" s="24" t="n"/>
      <c r="I34" s="24" t="n"/>
      <c r="J34" s="24" t="n"/>
      <c r="K34" s="24" t="n"/>
      <c r="L34" s="24" t="n"/>
      <c r="M34" s="14" t="inlineStr">
        <is>
          <t>Chờ xác nhận</t>
        </is>
      </c>
    </row>
    <row r="35" ht="61.5" customHeight="1" s="81">
      <c r="A35" s="10" t="inlineStr">
        <is>
          <t>Q31</t>
        </is>
      </c>
      <c r="B35" s="10" t="inlineStr">
        <is>
          <t>Cắm điện dự kiến</t>
        </is>
      </c>
      <c r="C35" s="10" t="inlineStr">
        <is>
          <t>Tạo yêu cầu cắm điện cho cont chưa vào (một hoặc nhiều số)</t>
        </is>
      </c>
      <c r="D35" s="10" t="inlineStr">
        <is>
          <t>CCKB</t>
        </is>
      </c>
      <c r="E35" s="24" t="n"/>
      <c r="F35" s="24" t="n"/>
      <c r="G35" s="24" t="n"/>
      <c r="H35" s="24" t="n"/>
      <c r="I35" s="24" t="n"/>
      <c r="J35" s="24" t="n"/>
      <c r="K35" s="24" t="n"/>
      <c r="L35" s="24" t="inlineStr">
        <is>
          <t>Đề xuất NV/TBP CCKB thực hiện; chưa chốt chi tiết vai trò.</t>
        </is>
      </c>
      <c r="M35" s="10" t="inlineStr">
        <is>
          <t>Chờ xác nhận</t>
        </is>
      </c>
    </row>
    <row r="36" ht="61.5" customHeight="1" s="81">
      <c r="A36" s="10" t="inlineStr">
        <is>
          <t>Q32</t>
        </is>
      </c>
      <c r="B36" s="10" t="inlineStr">
        <is>
          <t>Cắm điện dự kiến</t>
        </is>
      </c>
      <c r="C36" s="10" t="inlineStr">
        <is>
          <t>Sửa hoặc hủy yêu cầu điện dự kiến khi khách đổi số cont</t>
        </is>
      </c>
      <c r="D36" s="10" t="inlineStr">
        <is>
          <t>CCKB</t>
        </is>
      </c>
      <c r="E36" s="24" t="n"/>
      <c r="F36" s="24" t="n"/>
      <c r="G36" s="24" t="n"/>
      <c r="H36" s="24" t="n"/>
      <c r="I36" s="24" t="n"/>
      <c r="J36" s="24" t="n"/>
      <c r="K36" s="24" t="n"/>
      <c r="L36" s="24" t="inlineStr">
        <is>
          <t>Cần chốt quyền, lưu lịch sử và thông báo An ninh.</t>
        </is>
      </c>
      <c r="M36" s="10" t="inlineStr">
        <is>
          <t>Chờ xác nhận</t>
        </is>
      </c>
    </row>
    <row r="37" ht="61.5" customHeight="1" s="81">
      <c r="A37" s="10" t="inlineStr">
        <is>
          <t>Q33</t>
        </is>
      </c>
      <c r="B37" s="10" t="inlineStr">
        <is>
          <t>Cổng vào</t>
        </is>
      </c>
      <c r="C37" s="10" t="inlineStr">
        <is>
          <t>Xem cảnh báo danh sách cont có yêu cầu cắm điện dự kiến</t>
        </is>
      </c>
      <c r="D37" s="10" t="inlineStr">
        <is>
          <t>An ninh</t>
        </is>
      </c>
      <c r="E37" s="24" t="n"/>
      <c r="F37" s="24" t="n"/>
      <c r="G37" s="24" t="n"/>
      <c r="H37" s="24" t="n"/>
      <c r="I37" s="24" t="n"/>
      <c r="J37" s="24" t="n"/>
      <c r="K37" s="24" t="n"/>
      <c r="L37" s="24" t="inlineStr">
        <is>
          <t>Đã chốt An ninh cần nhìn thấy khi nhập container.</t>
        </is>
      </c>
      <c r="M37" s="10" t="inlineStr">
        <is>
          <t>Chờ xác nhận</t>
        </is>
      </c>
    </row>
    <row r="38" ht="61.5" customHeight="1" s="81">
      <c r="A38" s="10" t="inlineStr">
        <is>
          <t>Q34</t>
        </is>
      </c>
      <c r="B38" s="10" t="inlineStr">
        <is>
          <t>Cổng vào</t>
        </is>
      </c>
      <c r="C38" s="10" t="inlineStr">
        <is>
          <t>Xác nhận ghép số cont dự kiến với lượt cont vào thực tế</t>
        </is>
      </c>
      <c r="D38" s="10" t="inlineStr">
        <is>
          <t>An ninh + CCKB</t>
        </is>
      </c>
      <c r="E38" s="24" t="n"/>
      <c r="F38" s="24" t="n"/>
      <c r="G38" s="24" t="n"/>
      <c r="H38" s="24" t="n"/>
      <c r="I38" s="24" t="n"/>
      <c r="J38" s="24" t="n"/>
      <c r="K38" s="24" t="n"/>
      <c r="L38" s="24" t="inlineStr">
        <is>
          <t>Quy tắc ghép tự động/thủ công chưa chốt.</t>
        </is>
      </c>
      <c r="M38" s="10" t="inlineStr">
        <is>
          <t>Chờ xác nhận</t>
        </is>
      </c>
    </row>
    <row r="39" ht="61.5" customHeight="1" s="81">
      <c r="A39" s="10" t="inlineStr">
        <is>
          <t>Q35</t>
        </is>
      </c>
      <c r="B39" s="10" t="inlineStr">
        <is>
          <t>Container</t>
        </is>
      </c>
      <c r="C39" s="10" t="inlineStr">
        <is>
          <t>Sửa số cont đã nhập sai và ghi nhận đã báo CCKB</t>
        </is>
      </c>
      <c r="D39" s="10" t="inlineStr">
        <is>
          <t>An ninh</t>
        </is>
      </c>
      <c r="E39" s="24" t="n"/>
      <c r="F39" s="24" t="n"/>
      <c r="G39" s="24" t="n"/>
      <c r="H39" s="24" t="n"/>
      <c r="I39" s="24" t="n"/>
      <c r="J39" s="24" t="n"/>
      <c r="K39" s="24" t="n"/>
      <c r="L39" s="24" t="inlineStr">
        <is>
          <t>Đã chốt bộ phận; cần quy định khi đã thu tiền.</t>
        </is>
      </c>
      <c r="M39" s="10" t="inlineStr">
        <is>
          <t>Chờ xác nhận</t>
        </is>
      </c>
    </row>
    <row r="40" ht="61.5" customHeight="1" s="81">
      <c r="A40" s="10" t="inlineStr">
        <is>
          <t>Q36</t>
        </is>
      </c>
      <c r="B40" s="10" t="inlineStr">
        <is>
          <t>Container</t>
        </is>
      </c>
      <c r="C40" s="10" t="inlineStr">
        <is>
          <t>Tiếp nhận cảnh báo sửa số cont, kiểm tra và cập nhật yêu cầu dự kiến</t>
        </is>
      </c>
      <c r="D40" s="10" t="inlineStr">
        <is>
          <t>CCKB</t>
        </is>
      </c>
      <c r="E40" s="24" t="n"/>
      <c r="F40" s="24" t="n"/>
      <c r="G40" s="24" t="n"/>
      <c r="H40" s="24" t="n"/>
      <c r="I40" s="24" t="n"/>
      <c r="J40" s="24" t="n"/>
      <c r="K40" s="24" t="n"/>
      <c r="L40" s="24" t="inlineStr">
        <is>
          <t>Quy trình xác nhận và phương thức báo lại cần chốt.</t>
        </is>
      </c>
      <c r="M40" s="10" t="inlineStr">
        <is>
          <t>Chờ xác nhận</t>
        </is>
      </c>
    </row>
    <row r="41" ht="61.5" customHeight="1" s="81">
      <c r="A41" s="10" t="inlineStr">
        <is>
          <t>Q37</t>
        </is>
      </c>
      <c r="B41" s="10" t="inlineStr">
        <is>
          <t>Chứng cứ</t>
        </is>
      </c>
      <c r="C41" s="10" t="inlineStr">
        <is>
          <t>Đính kèm ảnh/video nhận diện sai số container</t>
        </is>
      </c>
      <c r="D41" s="10" t="inlineStr">
        <is>
          <t>An ninh / CCKB</t>
        </is>
      </c>
      <c r="E41" s="24" t="n"/>
      <c r="F41" s="24" t="n"/>
      <c r="G41" s="24" t="n"/>
      <c r="H41" s="24" t="n"/>
      <c r="I41" s="24" t="n"/>
      <c r="J41" s="24" t="n"/>
      <c r="K41" s="24" t="n"/>
      <c r="L41" s="24" t="inlineStr">
        <is>
          <t>Cần chốt bắt buộc hay không, kích thước và lưu trữ.</t>
        </is>
      </c>
      <c r="M41" s="10" t="inlineStr">
        <is>
          <t>Chờ xác nhận</t>
        </is>
      </c>
    </row>
    <row r="42" ht="61.5" customHeight="1" s="81">
      <c r="A42" s="10" t="inlineStr">
        <is>
          <t>Q38</t>
        </is>
      </c>
      <c r="B42" s="10" t="inlineStr">
        <is>
          <t>Ngoại lệ</t>
        </is>
      </c>
      <c r="C42" s="10" t="inlineStr">
        <is>
          <t>Duyệt sửa số cont sau thanh toán/đã ra và đối soát phí</t>
        </is>
      </c>
      <c r="D42" s="10" t="inlineStr">
        <is>
          <t>Chờ phân quyền</t>
        </is>
      </c>
      <c r="E42" s="24" t="n"/>
      <c r="F42" s="24" t="n"/>
      <c r="G42" s="24" t="n"/>
      <c r="H42" s="24" t="n"/>
      <c r="I42" s="24" t="n"/>
      <c r="J42" s="24" t="n"/>
      <c r="K42" s="24" t="n"/>
      <c r="L42" s="24" t="inlineStr">
        <is>
          <t>Không được tự động đổi lịch sử khoản thu đã chốt.</t>
        </is>
      </c>
      <c r="M42" s="10" t="inlineStr">
        <is>
          <t>Chờ xác nhận</t>
        </is>
      </c>
    </row>
    <row r="43" ht="61.5" customHeight="1" s="81">
      <c r="A43" s="10" t="inlineStr">
        <is>
          <t>Q39</t>
        </is>
      </c>
      <c r="B43" s="10" t="inlineStr">
        <is>
          <t>Đối soát</t>
        </is>
      </c>
      <c r="C43" s="10" t="inlineStr">
        <is>
          <t>Xem và xác nhận đã xử lý cảnh báo sai số cont/không ghép được yêu cầu dự kiến</t>
        </is>
      </c>
      <c r="D43" s="10" t="inlineStr">
        <is>
          <t>CCKB + An ninh</t>
        </is>
      </c>
      <c r="E43" s="24" t="n"/>
      <c r="F43" s="24" t="n"/>
      <c r="G43" s="24" t="n"/>
      <c r="H43" s="24" t="n"/>
      <c r="I43" s="24" t="n"/>
      <c r="J43" s="24" t="n"/>
      <c r="K43" s="24" t="n"/>
      <c r="L43" s="24" t="inlineStr">
        <is>
          <t>Cần trạng thái giao việc và phản hồi đóng thông báo.</t>
        </is>
      </c>
      <c r="M43" s="10" t="inlineStr">
        <is>
          <t>Chờ xác nhận</t>
        </is>
      </c>
    </row>
    <row r="44" ht="15.75" customHeight="1" s="81"/>
    <row r="45" ht="15.75" customHeight="1" s="81"/>
    <row r="46" ht="15.75" customHeight="1" s="81"/>
    <row r="47" ht="15.75" customHeight="1" s="81"/>
    <row r="48" ht="15.75" customHeight="1" s="81"/>
    <row r="49" ht="15.75" customHeight="1" s="81"/>
    <row r="50" ht="15.75" customHeight="1" s="81"/>
    <row r="51" ht="15.75" customHeight="1" s="81"/>
    <row r="52" ht="15.75" customHeight="1" s="81"/>
    <row r="53" ht="15.75" customHeight="1" s="81"/>
    <row r="54" ht="15.75" customHeight="1" s="81"/>
    <row r="55" ht="15.75" customHeight="1" s="81"/>
    <row r="56" ht="15.75" customHeight="1" s="81"/>
    <row r="57" ht="15.75" customHeight="1" s="81"/>
    <row r="58" ht="15.75" customHeight="1" s="81"/>
    <row r="59" ht="15.75" customHeight="1" s="81"/>
    <row r="60" ht="15.75" customHeight="1" s="81"/>
    <row r="61" ht="15.75" customHeight="1" s="81"/>
    <row r="62" ht="15.75" customHeight="1" s="81"/>
    <row r="63" ht="15.75" customHeight="1" s="81"/>
    <row r="64" ht="15.75" customHeight="1" s="81"/>
    <row r="65" ht="15.75" customHeight="1" s="81"/>
    <row r="66" ht="15.75" customHeight="1" s="81"/>
    <row r="67" ht="15.75" customHeight="1" s="81"/>
    <row r="68" ht="15.75" customHeight="1" s="81"/>
    <row r="69" ht="15.75" customHeight="1" s="81"/>
    <row r="70" ht="15.75" customHeight="1" s="81"/>
    <row r="71" ht="15.75" customHeight="1" s="81"/>
    <row r="72" ht="15.75" customHeight="1" s="81"/>
    <row r="73" ht="15.75" customHeight="1" s="81"/>
    <row r="74" ht="15.75" customHeight="1" s="81"/>
    <row r="75" ht="15.75" customHeight="1" s="81"/>
    <row r="76" ht="15.75" customHeight="1" s="81"/>
    <row r="77" ht="15.75" customHeight="1" s="81"/>
    <row r="78" ht="15.75" customHeight="1" s="81"/>
    <row r="79" ht="15.75" customHeight="1" s="81"/>
    <row r="80" ht="15.75" customHeight="1" s="81"/>
    <row r="81" ht="15.75" customHeight="1" s="81"/>
    <row r="82" ht="15.75" customHeight="1" s="81"/>
    <row r="83" ht="15.75" customHeight="1" s="81"/>
    <row r="84" ht="15.75" customHeight="1" s="81"/>
    <row r="85" ht="15.75" customHeight="1" s="81"/>
    <row r="86" ht="15.75" customHeight="1" s="81"/>
    <row r="87" ht="15.75" customHeight="1" s="81"/>
    <row r="88" ht="15.75" customHeight="1" s="81"/>
    <row r="89" ht="15.75" customHeight="1" s="81"/>
    <row r="90" ht="15.75" customHeight="1" s="81"/>
    <row r="91" ht="15.75" customHeight="1" s="81"/>
    <row r="92" ht="15.75" customHeight="1" s="81"/>
    <row r="93" ht="15.75" customHeight="1" s="81"/>
    <row r="94" ht="15.75" customHeight="1" s="81"/>
    <row r="95" ht="15.75" customHeight="1" s="81"/>
    <row r="96" ht="15.75" customHeight="1" s="81"/>
    <row r="97" ht="15.75" customHeight="1" s="81"/>
    <row r="98" ht="15.75" customHeight="1" s="81"/>
    <row r="99" ht="15.75" customHeight="1" s="81"/>
    <row r="100" ht="15.75" customHeight="1" s="81"/>
    <row r="101" ht="15.75" customHeight="1" s="81"/>
    <row r="102" ht="15.75" customHeight="1" s="81"/>
    <row r="103" ht="15.75" customHeight="1" s="81"/>
    <row r="104" ht="15.75" customHeight="1" s="81"/>
    <row r="105" ht="15.75" customHeight="1" s="81"/>
    <row r="106" ht="15.75" customHeight="1" s="81"/>
    <row r="107" ht="15.75" customHeight="1" s="81"/>
    <row r="108" ht="15.75" customHeight="1" s="81"/>
    <row r="109" ht="15.75" customHeight="1" s="81"/>
    <row r="110" ht="15.75" customHeight="1" s="81"/>
    <row r="111" ht="15.75" customHeight="1" s="81"/>
    <row r="112" ht="15.75" customHeight="1" s="81"/>
    <row r="113" ht="15.75" customHeight="1" s="81"/>
    <row r="114" ht="15.75" customHeight="1" s="81"/>
    <row r="115" ht="15.75" customHeight="1" s="81"/>
    <row r="116" ht="15.75" customHeight="1" s="81"/>
    <row r="117" ht="15.75" customHeight="1" s="81"/>
    <row r="118" ht="15.75" customHeight="1" s="81"/>
    <row r="119" ht="15.75" customHeight="1" s="81"/>
    <row r="120" ht="15.75" customHeight="1" s="81"/>
    <row r="121" ht="15.75" customHeight="1" s="81"/>
    <row r="122" ht="15.75" customHeight="1" s="81"/>
    <row r="123" ht="15.75" customHeight="1" s="81"/>
    <row r="124" ht="15.75" customHeight="1" s="81"/>
    <row r="125" ht="15.75" customHeight="1" s="81"/>
    <row r="126" ht="15.75" customHeight="1" s="81"/>
    <row r="127" ht="15.75" customHeight="1" s="81"/>
    <row r="128" ht="15.75" customHeight="1" s="81"/>
    <row r="129" ht="15.75" customHeight="1" s="81"/>
    <row r="130" ht="15.75" customHeight="1" s="81"/>
    <row r="131" ht="15.75" customHeight="1" s="81"/>
    <row r="132" ht="15.75" customHeight="1" s="81"/>
    <row r="133" ht="15.75" customHeight="1" s="81"/>
    <row r="134" ht="15.75" customHeight="1" s="81"/>
    <row r="135" ht="15.75" customHeight="1" s="81"/>
    <row r="136" ht="15.75" customHeight="1" s="81"/>
    <row r="137" ht="15.75" customHeight="1" s="81"/>
    <row r="138" ht="15.75" customHeight="1" s="81"/>
    <row r="139" ht="15.75" customHeight="1" s="81"/>
    <row r="140" ht="15.75" customHeight="1" s="81"/>
    <row r="141" ht="15.75" customHeight="1" s="81"/>
    <row r="142" ht="15.75" customHeight="1" s="81"/>
    <row r="143" ht="15.75" customHeight="1" s="81"/>
    <row r="144" ht="15.75" customHeight="1" s="81"/>
    <row r="145" ht="15.75" customHeight="1" s="81"/>
    <row r="146" ht="15.75" customHeight="1" s="81"/>
    <row r="147" ht="15.75" customHeight="1" s="81"/>
    <row r="148" ht="15.75" customHeight="1" s="81"/>
    <row r="149" ht="15.75" customHeight="1" s="81"/>
    <row r="150" ht="15.75" customHeight="1" s="81"/>
    <row r="151" ht="15.75" customHeight="1" s="81"/>
    <row r="152" ht="15.75" customHeight="1" s="81"/>
    <row r="153" ht="15.75" customHeight="1" s="81"/>
    <row r="154" ht="15.75" customHeight="1" s="81"/>
    <row r="155" ht="15.75" customHeight="1" s="81"/>
    <row r="156" ht="15.75" customHeight="1" s="81"/>
    <row r="157" ht="15.75" customHeight="1" s="81"/>
    <row r="158" ht="15.75" customHeight="1" s="81"/>
    <row r="159" ht="15.75" customHeight="1" s="81"/>
    <row r="160" ht="15.75" customHeight="1" s="81"/>
    <row r="161" ht="15.75" customHeight="1" s="81"/>
    <row r="162" ht="15.75" customHeight="1" s="81"/>
    <row r="163" ht="15.75" customHeight="1" s="81"/>
    <row r="164" ht="15.75" customHeight="1" s="81"/>
    <row r="165" ht="15.75" customHeight="1" s="81"/>
    <row r="166" ht="15.75" customHeight="1" s="81"/>
    <row r="167" ht="15.75" customHeight="1" s="81"/>
    <row r="168" ht="15.75" customHeight="1" s="81"/>
    <row r="169" ht="15.75" customHeight="1" s="81"/>
    <row r="170" ht="15.75" customHeight="1" s="81"/>
    <row r="171" ht="15.75" customHeight="1" s="81"/>
    <row r="172" ht="15.75" customHeight="1" s="81"/>
    <row r="173" ht="15.75" customHeight="1" s="81"/>
    <row r="174" ht="15.75" customHeight="1" s="81"/>
    <row r="175" ht="15.75" customHeight="1" s="81"/>
    <row r="176" ht="15.75" customHeight="1" s="81"/>
    <row r="177" ht="15.75" customHeight="1" s="81"/>
    <row r="178" ht="15.75" customHeight="1" s="81"/>
    <row r="179" ht="15.75" customHeight="1" s="81"/>
    <row r="180" ht="15.75" customHeight="1" s="81"/>
    <row r="181" ht="15.75" customHeight="1" s="81"/>
    <row r="182" ht="15.75" customHeight="1" s="81"/>
    <row r="183" ht="15.75" customHeight="1" s="81"/>
    <row r="184" ht="15.75" customHeight="1" s="81"/>
    <row r="185" ht="15.75" customHeight="1" s="81"/>
    <row r="186" ht="15.75" customHeight="1" s="81"/>
    <row r="187" ht="15.75" customHeight="1" s="81"/>
    <row r="188" ht="15.75" customHeight="1" s="81"/>
    <row r="189" ht="15.75" customHeight="1" s="81"/>
    <row r="190" ht="15.75" customHeight="1" s="81"/>
    <row r="191" ht="15.75" customHeight="1" s="81"/>
    <row r="192" ht="15.75" customHeight="1" s="81"/>
    <row r="193" ht="15.75" customHeight="1" s="81"/>
    <row r="194" ht="15.75" customHeight="1" s="81"/>
    <row r="195" ht="15.75" customHeight="1" s="81"/>
    <row r="196" ht="15.75" customHeight="1" s="81"/>
    <row r="197" ht="15.75" customHeight="1" s="81"/>
    <row r="198" ht="15.75" customHeight="1" s="81"/>
    <row r="199" ht="15.75" customHeight="1" s="81"/>
    <row r="200" ht="15.75" customHeight="1" s="81"/>
    <row r="201" ht="15.75" customHeight="1" s="81"/>
    <row r="202" ht="15.75" customHeight="1" s="81"/>
    <row r="203" ht="15.75" customHeight="1" s="81"/>
    <row r="204" ht="15.75" customHeight="1" s="81"/>
    <row r="205" ht="15.75" customHeight="1" s="81"/>
    <row r="206" ht="15.75" customHeight="1" s="81"/>
    <row r="207" ht="15.75" customHeight="1" s="81"/>
    <row r="208" ht="15.75" customHeight="1" s="81"/>
    <row r="209" ht="15.75" customHeight="1" s="81"/>
    <row r="210" ht="15.75" customHeight="1" s="81"/>
    <row r="211" ht="15.75" customHeight="1" s="81"/>
    <row r="212" ht="15.75" customHeight="1" s="81"/>
    <row r="213" ht="15.75" customHeight="1" s="81"/>
    <row r="214" ht="15.75" customHeight="1" s="81"/>
    <row r="215" ht="15.75" customHeight="1" s="81"/>
    <row r="216" ht="15.75" customHeight="1" s="81"/>
    <row r="217" ht="15.75" customHeight="1" s="81"/>
    <row r="218" ht="15.75" customHeight="1" s="81"/>
    <row r="219" ht="15.75" customHeight="1" s="81"/>
    <row r="220" ht="15.75" customHeight="1" s="81"/>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autoFilter ref="$A$4:$M$43"/>
  <mergeCells count="2">
    <mergeCell ref="A2:M2"/>
    <mergeCell ref="A1:M1"/>
  </mergeCells>
  <dataValidations count="2">
    <dataValidation sqref="E5:K43" showDropDown="0" showInputMessage="1" showErrorMessage="0" allowBlank="1" prompt="Chọn từ danh sách - Có thể chọn từ danh sách hoặc điền nội dung chi tiết ở cột bên cạnh." type="list">
      <formula1>"Thực hiện,Xem,Phê duyệt,Không,Theo quy trình"</formula1>
    </dataValidation>
    <dataValidation sqref="M5:M43" showDropDown="0" showInputMessage="1" showErrorMessage="0" allowBlank="1" prompt="Chọn từ danh sách - Có thể chọn từ danh sách hoặc điền nội dung chi tiết ở cột bên cạnh." type="list">
      <formula1>"Chờ xác nhận,Đã chốt,Không áp dụng"</formula1>
    </dataValidation>
  </dataValidations>
  <pageMargins left="0.25" right="0.25" top="0.45" bottom="0.45" header="0" footer="0"/>
  <pageSetup orientation="landscape" paperSize="8" fitToHeight="0"/>
  <headerFooter>
    <oddHeader/>
    <oddFooter>&amp;CPWA Son Cang | Yeu cau nghiep vu | Trang &amp;P / </oddFooter>
    <evenHeader/>
    <evenFooter/>
    <firstHeader/>
    <firstFooter/>
  </headerFooter>
</worksheet>
</file>

<file path=xl/worksheets/sheet6.xml><?xml version="1.0" encoding="utf-8"?>
<worksheet xmlns="http://schemas.openxmlformats.org/spreadsheetml/2006/main">
  <sheetPr>
    <tabColor rgb="FF223873"/>
    <outlinePr summaryBelow="1" summaryRight="1"/>
    <pageSetUpPr fitToPage="1"/>
  </sheetPr>
  <dimension ref="A1:I48"/>
  <sheetViews>
    <sheetView showGridLines="0"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9" customWidth="1" style="81" min="1" max="1"/>
    <col width="25" customWidth="1" style="81" min="2" max="2"/>
    <col width="80" customWidth="1" style="81" min="3" max="3"/>
    <col width="65" customWidth="1" style="81" min="4" max="4"/>
    <col width="81" customWidth="1" style="81" min="5" max="5"/>
    <col width="12" customWidth="1" style="81" min="6" max="6"/>
    <col width="71" customWidth="1" style="81" min="7" max="7"/>
    <col width="20" customWidth="1" style="81" min="8" max="8"/>
    <col width="65" customWidth="1" style="81" min="9" max="9"/>
    <col width="8.710000000000001" customWidth="1" style="81" min="10" max="26"/>
  </cols>
  <sheetData>
    <row r="1" ht="36" customHeight="1" s="81">
      <c r="A1" s="82" t="inlineStr">
        <is>
          <t>BỘ TÌNH HUỐNG ĐỂ XÁC NHẬN QUY TẮC VÀ NGHIỆM THU</t>
        </is>
      </c>
    </row>
    <row r="2" ht="33" customHeight="1" s="81">
      <c r="A2" s="83" t="inlineStr">
        <is>
          <t>Kịch bản chưa được chốt được ghi rõ là “Cần xác nhận”; ô màu vàng để bộ phận điền kết quả chuẩn trước khi kiểm thử.</t>
        </is>
      </c>
    </row>
    <row r="4" ht="33" customHeight="1" s="81">
      <c r="A4" s="5" t="inlineStr">
        <is>
          <t>Mã</t>
        </is>
      </c>
      <c r="B4" s="5" t="inlineStr">
        <is>
          <t>Phân hệ</t>
        </is>
      </c>
      <c r="C4" s="5" t="inlineStr">
        <is>
          <t>Tình huống nghiệp vụ</t>
        </is>
      </c>
      <c r="D4" s="5" t="inlineStr">
        <is>
          <t>Dữ liệu đầu vào minh họa</t>
        </is>
      </c>
      <c r="E4" s="5" t="inlineStr">
        <is>
          <t>Kỳ vọng hiện có / cần xác nhận</t>
        </is>
      </c>
      <c r="F4" s="5" t="inlineStr">
        <is>
          <t>Mức độ</t>
        </is>
      </c>
      <c r="G4" s="5" t="inlineStr">
        <is>
          <t>Kết quả chuẩn Sơn Cảng (điền)</t>
        </is>
      </c>
      <c r="H4" s="5" t="inlineStr">
        <is>
          <t>Tình trạng</t>
        </is>
      </c>
      <c r="I4" s="5" t="inlineStr">
        <is>
          <t>Ghi chú kiểm thử (điền)</t>
        </is>
      </c>
    </row>
    <row r="5" ht="46.5" customHeight="1" s="81">
      <c r="A5" s="10" t="inlineStr">
        <is>
          <t>TC01</t>
        </is>
      </c>
      <c r="B5" s="10" t="inlineStr">
        <is>
          <t>Vé</t>
        </is>
      </c>
      <c r="C5" s="10" t="inlineStr">
        <is>
          <t>Xe container lạnh có cont vào bãi</t>
        </is>
      </c>
      <c r="D5" s="10" t="inlineStr">
        <is>
          <t>Loại CONT_LANH, có SO_CONTAINER</t>
        </is>
      </c>
      <c r="E5" s="10" t="inlineStr">
        <is>
          <t>Vé vào 250.000đ; An ninh thu</t>
        </is>
      </c>
      <c r="F5" s="10" t="inlineStr">
        <is>
          <t>P1</t>
        </is>
      </c>
      <c r="G5" s="24" t="n"/>
      <c r="H5" s="24" t="inlineStr">
        <is>
          <t>Có quy tắc</t>
        </is>
      </c>
      <c r="I5" s="24" t="n"/>
    </row>
    <row r="6" ht="46.5" customHeight="1" s="81">
      <c r="A6" s="14" t="inlineStr">
        <is>
          <t>TC02</t>
        </is>
      </c>
      <c r="B6" s="14" t="inlineStr">
        <is>
          <t>Vé</t>
        </is>
      </c>
      <c r="C6" s="14" t="inlineStr">
        <is>
          <t>Đầu kéo vào không cont, ra không cont</t>
        </is>
      </c>
      <c r="D6" s="14" t="inlineStr">
        <is>
          <t>DAU_KEO</t>
        </is>
      </c>
      <c r="E6" s="14" t="inlineStr">
        <is>
          <t>Vé vào 0đ; không phí lưu cont</t>
        </is>
      </c>
      <c r="F6" s="14" t="inlineStr">
        <is>
          <t>P1</t>
        </is>
      </c>
      <c r="G6" s="24" t="n"/>
      <c r="H6" s="24" t="inlineStr">
        <is>
          <t>Có quy tắc</t>
        </is>
      </c>
      <c r="I6" s="24" t="n"/>
    </row>
    <row r="7" ht="46.5" customHeight="1" s="81">
      <c r="A7" s="10" t="inlineStr">
        <is>
          <t>TC03</t>
        </is>
      </c>
      <c r="B7" s="10" t="inlineStr">
        <is>
          <t>Vé</t>
        </is>
      </c>
      <c r="C7" s="10" t="inlineStr">
        <is>
          <t>Đầu kéo vào không cont, ra kéo cont lưu trong bãi</t>
        </is>
      </c>
      <c r="D7" s="10" t="inlineStr">
        <is>
          <t>DAU_KEO + SO_CONTAINER_RA</t>
        </is>
      </c>
      <c r="E7" s="10" t="inlineStr">
        <is>
          <t>ĐÃ CHỐT V01: không thu thêm 250.000đ ở lượt ra; container vẫn được tính phí lưu theo lượt.</t>
        </is>
      </c>
      <c r="F7" s="10" t="inlineStr">
        <is>
          <t>P0</t>
        </is>
      </c>
      <c r="G7" s="24" t="n"/>
      <c r="H7" s="24" t="inlineStr">
        <is>
          <t>Có quy tắc</t>
        </is>
      </c>
      <c r="I7" s="24" t="n"/>
    </row>
    <row r="8" ht="46.5" customHeight="1" s="81">
      <c r="A8" s="14" t="inlineStr">
        <is>
          <t>TC04</t>
        </is>
      </c>
      <c r="B8" s="14" t="inlineStr">
        <is>
          <t>Vé</t>
        </is>
      </c>
      <c r="C8" s="14" t="inlineStr">
        <is>
          <t>Xe bo ba bánh không có biển số</t>
        </is>
      </c>
      <c r="D8" s="14" t="inlineStr">
        <is>
          <t>XE_BO_3_BANH, BIEN_SO_XE rỗng</t>
        </is>
      </c>
      <c r="E8" s="14" t="inlineStr">
        <is>
          <t>Tạo mã lượt; tiền vé 40.000đ</t>
        </is>
      </c>
      <c r="F8" s="14" t="inlineStr">
        <is>
          <t>P1</t>
        </is>
      </c>
      <c r="G8" s="24" t="n"/>
      <c r="H8" s="24" t="inlineStr">
        <is>
          <t>Có quy tắc</t>
        </is>
      </c>
      <c r="I8" s="24" t="n"/>
    </row>
    <row r="9" ht="46.5" customHeight="1" s="81">
      <c r="A9" s="10" t="inlineStr">
        <is>
          <t>TC05</t>
        </is>
      </c>
      <c r="B9" s="10" t="inlineStr">
        <is>
          <t>Vé</t>
        </is>
      </c>
      <c r="C9" s="10" t="inlineStr">
        <is>
          <t>Xe bo 3 chân vào không cont</t>
        </is>
      </c>
      <c r="D9" s="10" t="inlineStr">
        <is>
          <t>XE_BO_3_CHAN</t>
        </is>
      </c>
      <c r="E9" s="10" t="inlineStr">
        <is>
          <t>Vé vào 200.000đ; không phí lưu cont</t>
        </is>
      </c>
      <c r="F9" s="10" t="inlineStr">
        <is>
          <t>P1</t>
        </is>
      </c>
      <c r="G9" s="24" t="n"/>
      <c r="H9" s="24" t="inlineStr">
        <is>
          <t>Có quy tắc</t>
        </is>
      </c>
      <c r="I9" s="24" t="n"/>
    </row>
    <row r="10" ht="46.5" customHeight="1" s="81">
      <c r="A10" s="14" t="inlineStr">
        <is>
          <t>TC06</t>
        </is>
      </c>
      <c r="B10" s="14" t="inlineStr">
        <is>
          <t>Vé</t>
        </is>
      </c>
      <c r="C10" s="14" t="inlineStr">
        <is>
          <t>Lái xe không xuất trình được liên 02</t>
        </is>
      </c>
      <c r="D10" s="14" t="inlineStr">
        <is>
          <t>Vé đã phát, liên 02 mất</t>
        </is>
      </c>
      <c r="E10" s="14" t="inlineStr">
        <is>
          <t>Mức phạt 250.000đ; người xác nhận/thu CHƯA CHỐT</t>
        </is>
      </c>
      <c r="F10" s="14" t="inlineStr">
        <is>
          <t>P0</t>
        </is>
      </c>
      <c r="G10" s="24" t="n"/>
      <c r="H10" s="24" t="inlineStr">
        <is>
          <t>Chờ duyệt</t>
        </is>
      </c>
      <c r="I10" s="24" t="n"/>
    </row>
    <row r="11" ht="46.5" customHeight="1" s="81">
      <c r="A11" s="10" t="inlineStr">
        <is>
          <t>TC07</t>
        </is>
      </c>
      <c r="B11" s="10" t="inlineStr">
        <is>
          <t>Lưu cont</t>
        </is>
      </c>
      <c r="C11" s="10" t="inlineStr">
        <is>
          <t>Cont ở trên xe, không hạ, ở qua 3 kỳ đêm</t>
        </is>
      </c>
      <c r="D11" s="10" t="inlineStr">
        <is>
          <t>10/10 20:00 → 13/10 08:00</t>
        </is>
      </c>
      <c r="E11" s="10" t="inlineStr">
        <is>
          <t>3 đêm; miễn 1; thu 200.000đ</t>
        </is>
      </c>
      <c r="F11" s="10" t="inlineStr">
        <is>
          <t>P1</t>
        </is>
      </c>
      <c r="G11" s="24" t="n"/>
      <c r="H11" s="24" t="inlineStr">
        <is>
          <t>Có quy tắc</t>
        </is>
      </c>
      <c r="I11" s="24" t="n"/>
    </row>
    <row r="12" ht="46.5" customHeight="1" s="81">
      <c r="A12" s="14" t="inlineStr">
        <is>
          <t>TC08</t>
        </is>
      </c>
      <c r="B12" s="14" t="inlineStr">
        <is>
          <t>Lưu cont</t>
        </is>
      </c>
      <c r="C12" s="14" t="inlineStr">
        <is>
          <t>Cont đã hạ, xe đầu vào ra một mình</t>
        </is>
      </c>
      <c r="D12" s="14" t="inlineStr">
        <is>
          <t>Xe A ra; cont còn trong bãi</t>
        </is>
      </c>
      <c r="E12" s="14" t="inlineStr">
        <is>
          <t>Cont vẫn tiếp tục tính phí đến GIO_CONT_RA</t>
        </is>
      </c>
      <c r="F12" s="14" t="inlineStr">
        <is>
          <t>P1</t>
        </is>
      </c>
      <c r="G12" s="24" t="n"/>
      <c r="H12" s="24" t="inlineStr">
        <is>
          <t>Có quy tắc</t>
        </is>
      </c>
      <c r="I12" s="24" t="n"/>
    </row>
    <row r="13" ht="46.5" customHeight="1" s="81">
      <c r="A13" s="10" t="inlineStr">
        <is>
          <t>TC09</t>
        </is>
      </c>
      <c r="B13" s="10" t="inlineStr">
        <is>
          <t>Lưu cont</t>
        </is>
      </c>
      <c r="C13" s="10" t="inlineStr">
        <is>
          <t>Xe B đến kéo cont đã do xe A đưa vào</t>
        </is>
      </c>
      <c r="D13" s="10" t="inlineStr">
        <is>
          <t>ID_VEHICLE_VAO khác ID_VEHICLE_RA</t>
        </is>
      </c>
      <c r="E13" s="10" t="inlineStr">
        <is>
          <t>Phí tính cho cùng lượt cont, không khởi tạo lại GIO_CONT_VAO</t>
        </is>
      </c>
      <c r="F13" s="10" t="inlineStr">
        <is>
          <t>P1</t>
        </is>
      </c>
      <c r="G13" s="24" t="n"/>
      <c r="H13" s="24" t="inlineStr">
        <is>
          <t>Có quy tắc</t>
        </is>
      </c>
      <c r="I13" s="24" t="n"/>
    </row>
    <row r="14" ht="46.5" customHeight="1" s="81">
      <c r="A14" s="14" t="inlineStr">
        <is>
          <t>TC10</t>
        </is>
      </c>
      <c r="B14" s="14" t="inlineStr">
        <is>
          <t>Lưu cont</t>
        </is>
      </c>
      <c r="C14" s="14" t="inlineStr">
        <is>
          <t>Cont vào và ra trong ngày, trước 22:00</t>
        </is>
      </c>
      <c r="D14" s="14" t="inlineStr">
        <is>
          <t>10/10 08:00 → 10/10 20:00</t>
        </is>
      </c>
      <c r="E14" s="14" t="inlineStr">
        <is>
          <t>ĐÃ CHỐT L05=B: SO_DEM_LUU hiển thị tối thiểu 1 (miễn phí); tiền lưu 0đ.</t>
        </is>
      </c>
      <c r="F14" s="14" t="inlineStr">
        <is>
          <t>P0</t>
        </is>
      </c>
      <c r="G14" s="24" t="n"/>
      <c r="H14" s="24" t="inlineStr">
        <is>
          <t>Có quy tắc</t>
        </is>
      </c>
      <c r="I14" s="24" t="n"/>
    </row>
    <row r="15" ht="46.5" customHeight="1" s="81">
      <c r="A15" s="10" t="inlineStr">
        <is>
          <t>TC11</t>
        </is>
      </c>
      <c r="B15" s="10" t="inlineStr">
        <is>
          <t>Lưu cont</t>
        </is>
      </c>
      <c r="C15" s="10" t="inlineStr">
        <is>
          <t>Ra đúng mốc 22:00</t>
        </is>
      </c>
      <c r="D15" s="10" t="inlineStr">
        <is>
          <t>10/10 20:00 → 10/10 22:00</t>
        </is>
      </c>
      <c r="E15" s="10" t="inlineStr">
        <is>
          <t>ĐÃ CHỐT L01=A: ra đúng 22:00 ghi nhận một kỳ đêm (miễn đêm đầu).</t>
        </is>
      </c>
      <c r="F15" s="10" t="inlineStr">
        <is>
          <t>P0</t>
        </is>
      </c>
      <c r="G15" s="24" t="n"/>
      <c r="H15" s="24" t="inlineStr">
        <is>
          <t>Có quy tắc</t>
        </is>
      </c>
      <c r="I15" s="24" t="n"/>
    </row>
    <row r="16" ht="46.5" customHeight="1" s="81">
      <c r="A16" s="14" t="inlineStr">
        <is>
          <t>TC12</t>
        </is>
      </c>
      <c r="B16" s="14" t="inlineStr">
        <is>
          <t>Lưu cont</t>
        </is>
      </c>
      <c r="C16" s="14" t="inlineStr">
        <is>
          <t>Ra đúng mốc 06:00</t>
        </is>
      </c>
      <c r="D16" s="14" t="inlineStr">
        <is>
          <t>10/10 23:00 → 11/10 06:00</t>
        </is>
      </c>
      <c r="E16" s="14" t="inlineStr">
        <is>
          <t>ĐÃ CHỐT L02=A: ra đúng 06:00 vẫn tính thuộc kỳ đêm vừa kết thúc.</t>
        </is>
      </c>
      <c r="F16" s="14" t="inlineStr">
        <is>
          <t>P0</t>
        </is>
      </c>
      <c r="G16" s="24" t="n"/>
      <c r="H16" s="24" t="inlineStr">
        <is>
          <t>Có quy tắc</t>
        </is>
      </c>
      <c r="I16" s="24" t="n"/>
    </row>
    <row r="17" ht="46.5" customHeight="1" s="81">
      <c r="A17" s="10" t="inlineStr">
        <is>
          <t>TC13</t>
        </is>
      </c>
      <c r="B17" s="10" t="inlineStr">
        <is>
          <t>Lưu cont</t>
        </is>
      </c>
      <c r="C17" s="10" t="inlineStr">
        <is>
          <t>CCKB duyệt thanh toán 21:55, cont ra 22:05</t>
        </is>
      </c>
      <c r="D17" s="10" t="inlineStr">
        <is>
          <t>Mốc 22:00 vừa bị vượt qua</t>
        </is>
      </c>
      <c r="E17" s="10" t="inlineStr">
        <is>
          <t>CẦN LÀM RÕ: L04=B khóa phí ở lúc CCKB duyệt, nhưng T09=A tính lại khi cont thực ra.</t>
        </is>
      </c>
      <c r="F17" s="10" t="inlineStr">
        <is>
          <t>P0</t>
        </is>
      </c>
      <c r="G17" s="24" t="n"/>
      <c r="H17" s="24" t="inlineStr">
        <is>
          <t>Chờ duyệt</t>
        </is>
      </c>
      <c r="I17" s="24" t="n"/>
    </row>
    <row r="18" ht="46.5" customHeight="1" s="81">
      <c r="A18" s="14" t="inlineStr">
        <is>
          <t>TC14</t>
        </is>
      </c>
      <c r="B18" s="14" t="inlineStr">
        <is>
          <t>Điện</t>
        </is>
      </c>
      <c r="C18" s="14" t="inlineStr">
        <is>
          <t>Cắm điện 4 giờ 53 phút</t>
        </is>
      </c>
      <c r="D18" s="14" t="inlineStr">
        <is>
          <t>08:30 → 13:23, đơn giá 100.000đ/h</t>
        </is>
      </c>
      <c r="E18" s="14" t="inlineStr">
        <is>
          <t>Làm tròn 5 giờ; phí 500.000đ</t>
        </is>
      </c>
      <c r="F18" s="14" t="inlineStr">
        <is>
          <t>P1</t>
        </is>
      </c>
      <c r="G18" s="24" t="n"/>
      <c r="H18" s="24" t="inlineStr">
        <is>
          <t>Có quy tắc</t>
        </is>
      </c>
      <c r="I18" s="24" t="n"/>
    </row>
    <row r="19" ht="46.5" customHeight="1" s="81">
      <c r="A19" s="10" t="inlineStr">
        <is>
          <t>TC15</t>
        </is>
      </c>
      <c r="B19" s="10" t="inlineStr">
        <is>
          <t>Điện</t>
        </is>
      </c>
      <c r="C19" s="10" t="inlineStr">
        <is>
          <t>Cắm điện 4 giờ 01 phút</t>
        </is>
      </c>
      <c r="D19" s="10" t="inlineStr">
        <is>
          <t>08:30 → 12:31</t>
        </is>
      </c>
      <c r="E19" s="10" t="inlineStr">
        <is>
          <t>Làm tròn 4 giờ 15 phút; 425.000đ</t>
        </is>
      </c>
      <c r="F19" s="10" t="inlineStr">
        <is>
          <t>P1</t>
        </is>
      </c>
      <c r="G19" s="24" t="n"/>
      <c r="H19" s="24" t="inlineStr">
        <is>
          <t>Có quy tắc</t>
        </is>
      </c>
      <c r="I19" s="24" t="n"/>
    </row>
    <row r="20" ht="46.5" customHeight="1" s="81">
      <c r="A20" s="14" t="inlineStr">
        <is>
          <t>TC16</t>
        </is>
      </c>
      <c r="B20" s="14" t="inlineStr">
        <is>
          <t>Điện</t>
        </is>
      </c>
      <c r="C20" s="14" t="inlineStr">
        <is>
          <t>Cắm 2 phiên riêng trong cùng lượt container</t>
        </is>
      </c>
      <c r="D20" s="14" t="inlineStr">
        <is>
          <t>Phiên 1 đã thu; phiên 2 chưa thu</t>
        </is>
      </c>
      <c r="E20" s="14" t="inlineStr">
        <is>
          <t>Không thu trùng phiên 1; chính sách làm tròn từng phiên cần chốt E11</t>
        </is>
      </c>
      <c r="F20" s="14" t="inlineStr">
        <is>
          <t>P0</t>
        </is>
      </c>
      <c r="G20" s="24" t="n"/>
      <c r="H20" s="24" t="inlineStr">
        <is>
          <t>Chờ duyệt</t>
        </is>
      </c>
      <c r="I20" s="24" t="n"/>
    </row>
    <row r="21" ht="46.5" customHeight="1" s="81">
      <c r="A21" s="10" t="inlineStr">
        <is>
          <t>TC17</t>
        </is>
      </c>
      <c r="B21" s="10" t="inlineStr">
        <is>
          <t>Điện</t>
        </is>
      </c>
      <c r="C21" s="10" t="inlineStr">
        <is>
          <t>An ninh báo giờ qua Zalo sau khi đã thực hiện</t>
        </is>
      </c>
      <c r="D21" s="10" t="inlineStr">
        <is>
          <t>CCKB nhập muộn GIO_CAM_THUC_TE</t>
        </is>
      </c>
      <c r="E21" s="10" t="inlineStr">
        <is>
          <t>Tiền tính theo giờ thực tế, không theo giờ nhập</t>
        </is>
      </c>
      <c r="F21" s="10" t="inlineStr">
        <is>
          <t>P1</t>
        </is>
      </c>
      <c r="G21" s="24" t="n"/>
      <c r="H21" s="24" t="inlineStr">
        <is>
          <t>Có quy tắc</t>
        </is>
      </c>
      <c r="I21" s="24" t="n"/>
    </row>
    <row r="22" ht="46.5" customHeight="1" s="81">
      <c r="A22" s="14" t="inlineStr">
        <is>
          <t>TC18</t>
        </is>
      </c>
      <c r="B22" s="14" t="inlineStr">
        <is>
          <t>Điện</t>
        </is>
      </c>
      <c r="C22" s="14" t="inlineStr">
        <is>
          <t>CCKB sửa giờ trước khi thu</t>
        </is>
      </c>
      <c r="D22" s="14" t="inlineStr">
        <is>
          <t>Sửa 08:30 thành 08:45</t>
        </is>
      </c>
      <c r="E22" s="14" t="inlineStr">
        <is>
          <t>Hệ thống tính lại phí; ghi nhật ký người/lý do</t>
        </is>
      </c>
      <c r="F22" s="14" t="inlineStr">
        <is>
          <t>P1</t>
        </is>
      </c>
      <c r="G22" s="24" t="n"/>
      <c r="H22" s="24" t="inlineStr">
        <is>
          <t>Có quy tắc</t>
        </is>
      </c>
      <c r="I22" s="24" t="n"/>
    </row>
    <row r="23" ht="46.5" customHeight="1" s="81">
      <c r="A23" s="10" t="inlineStr">
        <is>
          <t>TC19</t>
        </is>
      </c>
      <c r="B23" s="10" t="inlineStr">
        <is>
          <t>Điện</t>
        </is>
      </c>
      <c r="C23" s="10" t="inlineStr">
        <is>
          <t>CCKB sửa giờ sau khi đã thu</t>
        </is>
      </c>
      <c r="D23" s="10" t="inlineStr">
        <is>
          <t>Giờ mới gây chênh lệch phí</t>
        </is>
      </c>
      <c r="E23" s="10" t="inlineStr">
        <is>
          <t>E06 muốn cả NV đề nghị/TBP duyệt và TBP được sửa trực tiếp với audit; cần chốt quyền tình huống.</t>
        </is>
      </c>
      <c r="F23" s="10" t="inlineStr">
        <is>
          <t>P0</t>
        </is>
      </c>
      <c r="G23" s="24" t="n"/>
      <c r="H23" s="24" t="inlineStr">
        <is>
          <t>Chờ duyệt</t>
        </is>
      </c>
      <c r="I23" s="24" t="n"/>
    </row>
    <row r="24" ht="46.5" customHeight="1" s="81">
      <c r="A24" s="14" t="inlineStr">
        <is>
          <t>TC20</t>
        </is>
      </c>
      <c r="B24" s="14" t="inlineStr">
        <is>
          <t>Điện</t>
        </is>
      </c>
      <c r="C24" s="14" t="inlineStr">
        <is>
          <t>Phiên vẫn Đang cắm trên app nhưng cont yêu cầu xuất</t>
        </is>
      </c>
      <c r="D24" s="14" t="inlineStr">
        <is>
          <t>Thực tế rút rồi, CCKB chưa nhập</t>
        </is>
      </c>
      <c r="E24" s="14" t="inlineStr">
        <is>
          <t>E07: CCKB ưu tiên quyền xác nhận cho ra linh hoạt; khi PWA ghi Đang cắm phải có cảnh báo và báo nhóm.</t>
        </is>
      </c>
      <c r="F24" s="14" t="inlineStr">
        <is>
          <t>P0</t>
        </is>
      </c>
      <c r="G24" s="24" t="n"/>
      <c r="H24" s="24" t="inlineStr">
        <is>
          <t>Chờ duyệt</t>
        </is>
      </c>
      <c r="I24" s="24" t="n"/>
    </row>
    <row r="25" ht="46.5" customHeight="1" s="81">
      <c r="A25" s="10" t="inlineStr">
        <is>
          <t>TC21</t>
        </is>
      </c>
      <c r="B25" s="10" t="inlineStr">
        <is>
          <t>Thu tiền</t>
        </is>
      </c>
      <c r="C25" s="10" t="inlineStr">
        <is>
          <t>Điện đã thu khi rút, ra bãi thu lưu cont</t>
        </is>
      </c>
      <c r="D25" s="10" t="inlineStr">
        <is>
          <t>Phiên 1 Đã thu, lưu cont Chưa thu</t>
        </is>
      </c>
      <c r="E25" s="10" t="inlineStr">
        <is>
          <t>Chỉ thu phần chưa thanh toán</t>
        </is>
      </c>
      <c r="F25" s="10" t="inlineStr">
        <is>
          <t>P1</t>
        </is>
      </c>
      <c r="G25" s="24" t="n"/>
      <c r="H25" s="24" t="inlineStr">
        <is>
          <t>Có quy tắc</t>
        </is>
      </c>
      <c r="I25" s="24" t="n"/>
    </row>
    <row r="26" ht="46.5" customHeight="1" s="81">
      <c r="A26" s="14" t="inlineStr">
        <is>
          <t>TC22</t>
        </is>
      </c>
      <c r="B26" s="14" t="inlineStr">
        <is>
          <t>Thu tiền</t>
        </is>
      </c>
      <c r="C26" s="14" t="inlineStr">
        <is>
          <t>Khách chuyển khoản, chỉ có ảnh giao dịch</t>
        </is>
      </c>
      <c r="D26" s="14" t="inlineStr">
        <is>
          <t>Tiền chưa đối chiếu tài khoản</t>
        </is>
      </c>
      <c r="E26" s="14" t="inlineStr">
        <is>
          <t>T03 chọn kiểm tra tiền về, nhưng T08 cho CCKB duyệt thủ công dù chưa thu đủ; phải rõ nhãn Chưa thu/cảnh báo.</t>
        </is>
      </c>
      <c r="F26" s="14" t="inlineStr">
        <is>
          <t>P0</t>
        </is>
      </c>
      <c r="G26" s="24" t="n"/>
      <c r="H26" s="24" t="inlineStr">
        <is>
          <t>Chờ duyệt</t>
        </is>
      </c>
      <c r="I26" s="24" t="n"/>
    </row>
    <row r="27" ht="46.5" customHeight="1" s="81">
      <c r="A27" s="10" t="inlineStr">
        <is>
          <t>TC23</t>
        </is>
      </c>
      <c r="B27" s="10" t="inlineStr">
        <is>
          <t>Cổng ra</t>
        </is>
      </c>
      <c r="C27" s="10" t="inlineStr">
        <is>
          <t>CCKB duyệt tài chính nhưng An ninh chưa cho ra</t>
        </is>
      </c>
      <c r="D27" s="10" t="inlineStr">
        <is>
          <t>Thanh toán hợp lệ, chưa có GIO_RA</t>
        </is>
      </c>
      <c r="E27" s="10" t="inlineStr">
        <is>
          <t>Không tự đóng lượt xe/cont trước khi An ninh xác nhận</t>
        </is>
      </c>
      <c r="F27" s="10" t="inlineStr">
        <is>
          <t>P1</t>
        </is>
      </c>
      <c r="G27" s="24" t="n"/>
      <c r="H27" s="24" t="inlineStr">
        <is>
          <t>Có quy tắc</t>
        </is>
      </c>
      <c r="I27" s="24" t="n"/>
    </row>
    <row r="28" ht="46.5" customHeight="1" s="81">
      <c r="A28" s="14" t="inlineStr">
        <is>
          <t>TC24</t>
        </is>
      </c>
      <c r="B28" s="14" t="inlineStr">
        <is>
          <t>Dữ liệu</t>
        </is>
      </c>
      <c r="C28" s="14" t="inlineStr">
        <is>
          <t>Nhập lặp thao tác xác nhận xuất do mạng chập chờn</t>
        </is>
      </c>
      <c r="D28" s="14" t="inlineStr">
        <is>
          <t>Nhấn xác nhận 2 lần</t>
        </is>
      </c>
      <c r="E28" s="14" t="inlineStr">
        <is>
          <t>Một lượt chỉ ra một lần; không thu/đóng trùng</t>
        </is>
      </c>
      <c r="F28" s="14" t="inlineStr">
        <is>
          <t>P1</t>
        </is>
      </c>
      <c r="G28" s="24" t="n"/>
      <c r="H28" s="24" t="inlineStr">
        <is>
          <t>Có quy tắc</t>
        </is>
      </c>
      <c r="I28" s="24" t="n"/>
    </row>
    <row r="29" ht="46.5" customHeight="1" s="81">
      <c r="A29" s="10" t="inlineStr">
        <is>
          <t>TC25</t>
        </is>
      </c>
      <c r="B29" s="10" t="inlineStr">
        <is>
          <t>Dữ liệu</t>
        </is>
      </c>
      <c r="C29" s="10" t="inlineStr">
        <is>
          <t>Cont xuất nhưng xe chưa được chốt do đồng bộ</t>
        </is>
      </c>
      <c r="D29" s="10" t="inlineStr">
        <is>
          <t>Từng xuất hiện trong AppSheet V1</t>
        </is>
      </c>
      <c r="E29" s="10" t="inlineStr">
        <is>
          <t>PWA phải chốt dữ liệu xe/cont nhất quán</t>
        </is>
      </c>
      <c r="F29" s="10" t="inlineStr">
        <is>
          <t>P1</t>
        </is>
      </c>
      <c r="G29" s="24" t="n"/>
      <c r="H29" s="24" t="inlineStr">
        <is>
          <t>Có quy tắc</t>
        </is>
      </c>
      <c r="I29" s="24" t="n"/>
    </row>
    <row r="30" ht="46.5" customHeight="1" s="81">
      <c r="A30" s="14" t="inlineStr">
        <is>
          <t>TC26</t>
        </is>
      </c>
      <c r="B30" s="14" t="inlineStr">
        <is>
          <t>Đối soát</t>
        </is>
      </c>
      <c r="C30" s="14" t="inlineStr">
        <is>
          <t>Số tiền trong ghi chú cũ khác số phải thu</t>
        </is>
      </c>
      <c r="D30" s="14" t="inlineStr">
        <is>
          <t>CCLU8578039: 1.000.000đ vs 900k ghi chú</t>
        </is>
      </c>
      <c r="E30" s="14" t="inlineStr">
        <is>
          <t>M03: dữ liệu cũ tạm KHÔNG dùng để chốt công nợ/doanh thu nếu chưa đối soát; giữ dấu chưa xác minh.</t>
        </is>
      </c>
      <c r="F30" s="14" t="inlineStr">
        <is>
          <t>P0</t>
        </is>
      </c>
      <c r="G30" s="24" t="n"/>
      <c r="H30" s="24" t="inlineStr">
        <is>
          <t>Chờ duyệt</t>
        </is>
      </c>
      <c r="I30" s="24" t="n"/>
    </row>
    <row r="31" ht="46.5" customHeight="1" s="81">
      <c r="A31" s="10" t="inlineStr">
        <is>
          <t>TC27</t>
        </is>
      </c>
      <c r="B31" s="10" t="inlineStr">
        <is>
          <t>Mất mạng</t>
        </is>
      </c>
      <c r="C31" s="10" t="inlineStr">
        <is>
          <t>An ninh cho xe ra khi PWA offline</t>
        </is>
      </c>
      <c r="D31" s="10" t="inlineStr">
        <is>
          <t>Điện thoại không có internet</t>
        </is>
      </c>
      <c r="E31" s="10" t="inlineStr">
        <is>
          <t>ĐÃ CHỐT K03=A: offline cho phép ghi nhận chờ đồng bộ; không tự xác nhận ra cổng offline.</t>
        </is>
      </c>
      <c r="F31" s="10" t="inlineStr">
        <is>
          <t>P0</t>
        </is>
      </c>
      <c r="G31" s="24" t="n"/>
      <c r="H31" s="24" t="inlineStr">
        <is>
          <t>Có quy tắc</t>
        </is>
      </c>
      <c r="I31" s="24" t="n"/>
    </row>
    <row r="32" ht="70.5" customHeight="1" s="81">
      <c r="A32" s="10" t="inlineStr">
        <is>
          <t>TC28</t>
        </is>
      </c>
      <c r="B32" s="10" t="inlineStr">
        <is>
          <t>Yêu cầu điện dự kiến</t>
        </is>
      </c>
      <c r="C32" s="10" t="inlineStr">
        <is>
          <t>CCKB tiếp nhận trước yêu cầu cắm A, B, C; chưa xe nào vào</t>
        </is>
      </c>
      <c r="D32" s="10" t="inlineStr">
        <is>
          <t>CCKB tạo yêu cầu cho A/B/C</t>
        </is>
      </c>
      <c r="E32" s="10" t="inlineStr">
        <is>
          <t>Đã chốt: ghi danh sách dự kiến; không tạo lượt cont vào và không tính tiền điện/lưu trước khi có sự kiện thực tế.</t>
        </is>
      </c>
      <c r="F32" s="10" t="inlineStr">
        <is>
          <t>P0</t>
        </is>
      </c>
      <c r="G32" s="24" t="n"/>
      <c r="H32" s="24" t="inlineStr">
        <is>
          <t>Có quy tắc</t>
        </is>
      </c>
      <c r="I32" s="24" t="inlineStr">
        <is>
          <t>Bổ sung nghiệp vụ mới ngày 11/10/2026</t>
        </is>
      </c>
    </row>
    <row r="33" ht="70.5" customHeight="1" s="81">
      <c r="A33" s="10" t="inlineStr">
        <is>
          <t>TC29</t>
        </is>
      </c>
      <c r="B33" s="10" t="inlineStr">
        <is>
          <t>Yêu cầu điện dự kiến</t>
        </is>
      </c>
      <c r="C33" s="10" t="inlineStr">
        <is>
          <t>Chỉ container A trong danh sách A,B,C đi vào cổng</t>
        </is>
      </c>
      <c r="D33" s="10" t="inlineStr">
        <is>
          <t>A vào trước, B/C chưa tới</t>
        </is>
      </c>
      <c r="E33" s="10" t="inlineStr">
        <is>
          <t>Đã chốt: An ninh thấy cảnh báo yêu cầu dự kiến. Đề xuất: chỉ A ghép lượt thực tế, B/C vẫn chờ.</t>
        </is>
      </c>
      <c r="F33" s="10" t="inlineStr">
        <is>
          <t>P0</t>
        </is>
      </c>
      <c r="G33" s="24" t="n"/>
      <c r="H33" s="24" t="inlineStr">
        <is>
          <t>Chờ duyệt</t>
        </is>
      </c>
      <c r="I33" s="24" t="inlineStr">
        <is>
          <t>Bổ sung nghiệp vụ mới ngày 11/10/2026</t>
        </is>
      </c>
    </row>
    <row r="34" ht="70.5" customHeight="1" s="81">
      <c r="A34" s="10" t="inlineStr">
        <is>
          <t>TC30</t>
        </is>
      </c>
      <c r="B34" s="10" t="inlineStr">
        <is>
          <t>Yêu cầu điện dự kiến</t>
        </is>
      </c>
      <c r="C34" s="10" t="inlineStr">
        <is>
          <t>An ninh gõ trùng số container trong yêu cầu dự kiến</t>
        </is>
      </c>
      <c r="D34" s="10" t="inlineStr">
        <is>
          <t>CCKB dự kiến ABCU1234567, thực tế ABCU1234567</t>
        </is>
      </c>
      <c r="E34" s="10" t="inlineStr">
        <is>
          <t>Đã chốt: hiển thị yêu cầu dự kiến để đối chiếu. Cơ chế ghép tự động/chọn tay cần xác nhận PR04.</t>
        </is>
      </c>
      <c r="F34" s="10" t="inlineStr">
        <is>
          <t>P0</t>
        </is>
      </c>
      <c r="G34" s="24" t="n"/>
      <c r="H34" s="24" t="inlineStr">
        <is>
          <t>Chờ duyệt</t>
        </is>
      </c>
      <c r="I34" s="24" t="inlineStr">
        <is>
          <t>Bổ sung nghiệp vụ mới ngày 11/10/2026</t>
        </is>
      </c>
    </row>
    <row r="35" ht="70.5" customHeight="1" s="81">
      <c r="A35" s="10" t="inlineStr">
        <is>
          <t>TC31</t>
        </is>
      </c>
      <c r="B35" s="10" t="inlineStr">
        <is>
          <t>Đối chiếu số cont</t>
        </is>
      </c>
      <c r="C35" s="10" t="inlineStr">
        <is>
          <t>Số container khách báo trước sai 1 ký tự so với số thực tế</t>
        </is>
      </c>
      <c r="D35" s="10" t="inlineStr">
        <is>
          <t>ABCU1234567 vs ACBU1234567</t>
        </is>
      </c>
      <c r="E35" s="10" t="inlineStr">
        <is>
          <t>Đề xuất: cảnh báo mã gần giống, không tự ghép/đổi số khi khác; An ninh xác minh thực tế.</t>
        </is>
      </c>
      <c r="F35" s="10" t="inlineStr">
        <is>
          <t>P0</t>
        </is>
      </c>
      <c r="G35" s="24" t="n"/>
      <c r="H35" s="24" t="inlineStr">
        <is>
          <t>Chờ duyệt</t>
        </is>
      </c>
      <c r="I35" s="24" t="inlineStr">
        <is>
          <t>Bổ sung nghiệp vụ mới ngày 11/10/2026</t>
        </is>
      </c>
    </row>
    <row r="36" ht="70.5" customHeight="1" s="81">
      <c r="A36" s="10" t="inlineStr">
        <is>
          <t>TC32</t>
        </is>
      </c>
      <c r="B36" s="10" t="inlineStr">
        <is>
          <t>Sửa số cont</t>
        </is>
      </c>
      <c r="C36" s="10" t="inlineStr">
        <is>
          <t>An ninh thấy số đã nhập nhầm sau khi chụp ảnh hiện trường</t>
        </is>
      </c>
      <c r="D36" s="10" t="inlineStr">
        <is>
          <t>Số dự kiến/nhập khác ảnh cont thực tế</t>
        </is>
      </c>
      <c r="E36" s="10" t="inlineStr">
        <is>
          <t>Đã chốt: An ninh có thể sửa và báo lại CCKB; đề xuất giữ giá trị cũ/mới, người sửa, lý do và chứng cứ.</t>
        </is>
      </c>
      <c r="F36" s="10" t="inlineStr">
        <is>
          <t>P0</t>
        </is>
      </c>
      <c r="G36" s="24" t="n"/>
      <c r="H36" s="24" t="inlineStr">
        <is>
          <t>Có quy tắc</t>
        </is>
      </c>
      <c r="I36" s="24" t="inlineStr">
        <is>
          <t>Bổ sung nghiệp vụ mới ngày 11/10/2026</t>
        </is>
      </c>
    </row>
    <row r="37" ht="70.5" customHeight="1" s="81">
      <c r="A37" s="10" t="inlineStr">
        <is>
          <t>TC33</t>
        </is>
      </c>
      <c r="B37" s="10" t="inlineStr">
        <is>
          <t>Sửa số cont</t>
        </is>
      </c>
      <c r="C37" s="10" t="inlineStr">
        <is>
          <t>Khách ban đầu báo sai số cont, CCKB nhập sai yêu cầu dự kiến</t>
        </is>
      </c>
      <c r="D37" s="10" t="inlineStr">
        <is>
          <t>Khách nhắn A, thực tế B</t>
        </is>
      </c>
      <c r="E37" s="10" t="inlineStr">
        <is>
          <t>Đề xuất: CCKB cập nhật yêu cầu dự kiến theo số thực tế; không tạo trùng lượt cont.</t>
        </is>
      </c>
      <c r="F37" s="10" t="inlineStr">
        <is>
          <t>P0</t>
        </is>
      </c>
      <c r="G37" s="24" t="n"/>
      <c r="H37" s="24" t="inlineStr">
        <is>
          <t>Chờ duyệt</t>
        </is>
      </c>
      <c r="I37" s="24" t="inlineStr">
        <is>
          <t>Bổ sung nghiệp vụ mới ngày 11/10/2026</t>
        </is>
      </c>
    </row>
    <row r="38" ht="70.5" customHeight="1" s="81">
      <c r="A38" s="10" t="inlineStr">
        <is>
          <t>TC34</t>
        </is>
      </c>
      <c r="B38" s="10" t="inlineStr">
        <is>
          <t>Liên kết điện</t>
        </is>
      </c>
      <c r="C38" s="10" t="inlineStr">
        <is>
          <t>Sau khi đã nhập giờ cắm, An ninh phát hiện video chụp cont khác số đã liên kết</t>
        </is>
      </c>
      <c r="D38" s="10" t="inlineStr">
        <is>
          <t>Phiên điện nối nhầm cont A thay vì B</t>
        </is>
      </c>
      <c r="E38" s="10" t="inlineStr">
        <is>
          <t>Đề xuất: quy trình sửa liên kết phiên điện có kiểm soát; audit, thông báo CCKB và tính lại liên quan.</t>
        </is>
      </c>
      <c r="F38" s="10" t="inlineStr">
        <is>
          <t>P0</t>
        </is>
      </c>
      <c r="G38" s="24" t="n"/>
      <c r="H38" s="24" t="inlineStr">
        <is>
          <t>Chờ duyệt</t>
        </is>
      </c>
      <c r="I38" s="24" t="inlineStr">
        <is>
          <t>Bổ sung nghiệp vụ mới ngày 11/10/2026</t>
        </is>
      </c>
    </row>
    <row r="39" ht="70.5" customHeight="1" s="81">
      <c r="A39" s="10" t="inlineStr">
        <is>
          <t>TC35</t>
        </is>
      </c>
      <c r="B39" s="10" t="inlineStr">
        <is>
          <t>Sau khi thu tiền</t>
        </is>
      </c>
      <c r="C39" s="10" t="inlineStr">
        <is>
          <t>Sửa số cont sau khi phí điện/lưu đã thu hoặc CCKB đã duyệt cho ra</t>
        </is>
      </c>
      <c r="D39" s="10" t="inlineStr">
        <is>
          <t>Trạng thái tiền đã thu/đã duyệt</t>
        </is>
      </c>
      <c r="E39" s="10" t="inlineStr">
        <is>
          <t>Đề xuất: không thay ngầm giao dịch tài chính; cần tái kiểm tra và xác nhận ngoại lệ.</t>
        </is>
      </c>
      <c r="F39" s="10" t="inlineStr">
        <is>
          <t>P0</t>
        </is>
      </c>
      <c r="G39" s="24" t="n"/>
      <c r="H39" s="24" t="inlineStr">
        <is>
          <t>Chờ duyệt</t>
        </is>
      </c>
      <c r="I39" s="24" t="inlineStr">
        <is>
          <t>Bổ sung nghiệp vụ mới ngày 11/10/2026</t>
        </is>
      </c>
    </row>
    <row r="40" ht="70.5" customHeight="1" s="81">
      <c r="A40" s="10" t="inlineStr">
        <is>
          <t>TC36</t>
        </is>
      </c>
      <c r="B40" s="10" t="inlineStr">
        <is>
          <t>Dữ liệu trùng</t>
        </is>
      </c>
      <c r="C40" s="10" t="inlineStr">
        <is>
          <t>Có hai yêu cầu dự kiến cùng số cont nhưng khác khách hàng hoặc 2 cont cùng mã đang trong bãi</t>
        </is>
      </c>
      <c r="D40" s="10" t="inlineStr">
        <is>
          <t>ABCU1234567 lặp trong hai yêu cầu</t>
        </is>
      </c>
      <c r="E40" s="10" t="inlineStr">
        <is>
          <t>Đề xuất: cảnh báo trùng và yêu cầu phân định đúng lượt thực tế; không tự nhập/thu trùng.</t>
        </is>
      </c>
      <c r="F40" s="10" t="inlineStr">
        <is>
          <t>P0</t>
        </is>
      </c>
      <c r="G40" s="24" t="n"/>
      <c r="H40" s="24" t="inlineStr">
        <is>
          <t>Chờ duyệt</t>
        </is>
      </c>
      <c r="I40" s="24" t="inlineStr">
        <is>
          <t>Bổ sung nghiệp vụ mới ngày 11/10/2026</t>
        </is>
      </c>
    </row>
    <row r="41" ht="70.5" customHeight="1" s="81">
      <c r="A41" s="10" t="inlineStr">
        <is>
          <t>TC37</t>
        </is>
      </c>
      <c r="B41" s="10" t="inlineStr">
        <is>
          <t>Yêu cầu điện dự kiến</t>
        </is>
      </c>
      <c r="C41" s="10" t="inlineStr">
        <is>
          <t>Container đã được đăng ký dự kiến nhưng khách hủy/không đến</t>
        </is>
      </c>
      <c r="D41" s="10" t="inlineStr">
        <is>
          <t>Dự kiến A/B/C, hủy C</t>
        </is>
      </c>
      <c r="E41" s="10" t="inlineStr">
        <is>
          <t>Đề xuất: cho hủy dòng C, giữ lịch sử; không thay dữ liệu A/B và không tạo phí.</t>
        </is>
      </c>
      <c r="F41" s="10" t="inlineStr">
        <is>
          <t>P1</t>
        </is>
      </c>
      <c r="G41" s="24" t="n"/>
      <c r="H41" s="24" t="inlineStr">
        <is>
          <t>Chờ duyệt</t>
        </is>
      </c>
      <c r="I41" s="24" t="inlineStr">
        <is>
          <t>Bổ sung nghiệp vụ mới ngày 11/10/2026</t>
        </is>
      </c>
    </row>
    <row r="42" ht="70.5" customHeight="1" s="81">
      <c r="A42" s="10" t="inlineStr">
        <is>
          <t>TC38</t>
        </is>
      </c>
      <c r="B42" s="10" t="inlineStr">
        <is>
          <t>Tình huống mạng</t>
        </is>
      </c>
      <c r="C42" s="10" t="inlineStr">
        <is>
          <t>An ninh tra cứu yêu cầu dự kiến nhưng mất Internet tại cổng</t>
        </is>
      </c>
      <c r="D42" s="10" t="inlineStr">
        <is>
          <t>PWA offline, cần xác nhận cont</t>
        </is>
      </c>
      <c r="E42" s="10" t="inlineStr">
        <is>
          <t>Cần chốt: thông báo dữ liệu có thể chưa cập nhật; không tự ghép hay xác nhận tài chính/cho ra khi offline.</t>
        </is>
      </c>
      <c r="F42" s="10" t="inlineStr">
        <is>
          <t>P0</t>
        </is>
      </c>
      <c r="G42" s="24" t="n"/>
      <c r="H42" s="24" t="inlineStr">
        <is>
          <t>Chờ duyệt</t>
        </is>
      </c>
      <c r="I42" s="24" t="inlineStr">
        <is>
          <t>Bổ sung nghiệp vụ mới ngày 11/10/2026</t>
        </is>
      </c>
    </row>
    <row r="43" ht="72" customHeight="1" s="81">
      <c r="A43" s="10" t="inlineStr">
        <is>
          <t>TC39</t>
        </is>
      </c>
      <c r="B43" s="10" t="inlineStr">
        <is>
          <t>Thanh toán</t>
        </is>
      </c>
      <c r="C43" s="10" t="inlineStr">
        <is>
          <t>CCKB duyệt cho container ra dù chưa ghi nhận đủ tiền</t>
        </is>
      </c>
      <c r="D43" s="10" t="inlineStr">
        <is>
          <t>Container còn 200.000đ tiền điện; CCKB cho phép ra</t>
        </is>
      </c>
      <c r="E43" s="10" t="inlineStr">
        <is>
          <t>Cho thao tác duyệt thủ công với cảnh báo Chưa thu; quyền/lý do/nhật ký còn cần chốt OUT01</t>
        </is>
      </c>
      <c r="F43" s="10" t="inlineStr">
        <is>
          <t>P0</t>
        </is>
      </c>
      <c r="G43" s="24" t="n"/>
      <c r="H43" s="24" t="inlineStr">
        <is>
          <t>Chờ duyệt</t>
        </is>
      </c>
      <c r="I43" s="24" t="inlineStr">
        <is>
          <t>V1 T08, OUT01</t>
        </is>
      </c>
    </row>
    <row r="44" ht="72" customHeight="1" s="81">
      <c r="A44" s="10" t="inlineStr">
        <is>
          <t>TC40</t>
        </is>
      </c>
      <c r="B44" s="10" t="inlineStr">
        <is>
          <t>Vé</t>
        </is>
      </c>
      <c r="C44" s="10" t="inlineStr">
        <is>
          <t>Đầu kéo vào không cont rồi kéo cont khác ra</t>
        </is>
      </c>
      <c r="D44" s="10" t="inlineStr">
        <is>
          <t>DAU_KEO khi vào, có SO_CONTAINER_RA khi ra</t>
        </is>
      </c>
      <c r="E44" s="10" t="inlineStr">
        <is>
          <t>Theo V1 V01 không thu thêm 250.000đ tiền vé; thu phí container theo lượt riêng</t>
        </is>
      </c>
      <c r="F44" s="10" t="inlineStr">
        <is>
          <t>P0</t>
        </is>
      </c>
      <c r="G44" s="24" t="n"/>
      <c r="H44" s="24" t="inlineStr">
        <is>
          <t>Có quy tắc</t>
        </is>
      </c>
      <c r="I44" s="24" t="inlineStr">
        <is>
          <t>V1 V01</t>
        </is>
      </c>
    </row>
    <row r="45" ht="72" customHeight="1" s="81">
      <c r="A45" s="10" t="inlineStr">
        <is>
          <t>TC41</t>
        </is>
      </c>
      <c r="B45" s="10" t="inlineStr">
        <is>
          <t>Bảng giá</t>
        </is>
      </c>
      <c r="C45" s="10" t="inlineStr">
        <is>
          <t>Theo giờ có mốc dự kiến, cắm liên tục chưa có</t>
        </is>
      </c>
      <c r="D45" s="10" t="inlineStr">
        <is>
          <t>Loại yêu cầu A/B, chưa có giờ thực tế</t>
        </is>
      </c>
      <c r="E45" s="10" t="inlineStr">
        <is>
          <t>Cho CCKB lưu dự kiến nhưng tiền điện chỉ tính theo giờ cắm/rút thực tế; thời gian dự kiến có thể để trống</t>
        </is>
      </c>
      <c r="F45" s="10" t="inlineStr">
        <is>
          <t>P1</t>
        </is>
      </c>
      <c r="G45" s="24" t="n"/>
      <c r="H45" s="24" t="inlineStr">
        <is>
          <t>Có quy tắc</t>
        </is>
      </c>
      <c r="I45" s="24" t="inlineStr">
        <is>
          <t>V1 E03 + chính sách cắm điện</t>
        </is>
      </c>
    </row>
    <row r="46" ht="72" customHeight="1" s="81">
      <c r="A46" s="10" t="inlineStr">
        <is>
          <t>TC42</t>
        </is>
      </c>
      <c r="B46" s="10" t="inlineStr">
        <is>
          <t>Thu theo ca</t>
        </is>
      </c>
      <c r="C46" s="10" t="inlineStr">
        <is>
          <t>Ca An ninh 06:00–18:00, chốt doanh thu lúc 16:00</t>
        </is>
      </c>
      <c r="D46" s="10" t="inlineStr">
        <is>
          <t>Khác khung thời gian của ca</t>
        </is>
      </c>
      <c r="E46" s="10" t="inlineStr">
        <is>
          <t>Không được mặc định ca và kỳ chốt tiền trùng nhau; giờ chốt cần cấu hình/xác nhận T14</t>
        </is>
      </c>
      <c r="F46" s="10" t="inlineStr">
        <is>
          <t>P1</t>
        </is>
      </c>
      <c r="G46" s="24" t="n"/>
      <c r="H46" s="24" t="inlineStr">
        <is>
          <t>Chờ duyệt</t>
        </is>
      </c>
      <c r="I46" s="24" t="inlineStr">
        <is>
          <t>V1 T14</t>
        </is>
      </c>
    </row>
    <row r="47" ht="72" customHeight="1" s="81">
      <c r="A47" s="10" t="inlineStr">
        <is>
          <t>TC43</t>
        </is>
      </c>
      <c r="B47" s="10" t="inlineStr">
        <is>
          <t>Hóa đơn</t>
        </is>
      </c>
      <c r="C47" s="10" t="inlineStr">
        <is>
          <t>Khách có nhu cầu xuất hóa đơn tại thời điểm mua vé</t>
        </is>
      </c>
      <c r="D47" s="10" t="inlineStr">
        <is>
          <t>Họ tên/tên công ty, MST/CCCD, thường trú, điện thoại, email</t>
        </is>
      </c>
      <c r="E47" s="10" t="inlineStr">
        <is>
          <t>Có cờ Cần xuất hóa đơn và thông tin khách theo loại; trường bắt buộc &amp; giao Kế toán cần chốt INV01/INV02</t>
        </is>
      </c>
      <c r="F47" s="10" t="inlineStr">
        <is>
          <t>P0</t>
        </is>
      </c>
      <c r="G47" s="24" t="n"/>
      <c r="H47" s="24" t="inlineStr">
        <is>
          <t>Chờ duyệt</t>
        </is>
      </c>
      <c r="I47" s="24" t="inlineStr">
        <is>
          <t>V1 T12</t>
        </is>
      </c>
    </row>
    <row r="48" ht="72" customHeight="1" s="81">
      <c r="A48" s="10" t="inlineStr">
        <is>
          <t>TC44</t>
        </is>
      </c>
      <c r="B48" s="10" t="inlineStr">
        <is>
          <t>Sai số cont</t>
        </is>
      </c>
      <c r="C48" s="10" t="inlineStr">
        <is>
          <t>An ninh phát hiện số cont sai sau khi CCKB đã duyệt ra tay</t>
        </is>
      </c>
      <c r="D48" s="10" t="inlineStr">
        <is>
          <t>Sai một số; trước đó CCKB duyệt chưa thu đủ</t>
        </is>
      </c>
      <c r="E48" s="10" t="inlineStr">
        <is>
          <t>Giữ cảnh báo, thông báo CCKB đối chiếu khoản thu/trạng thái ra; phương thức chặn hoặc cho ra cần chốt SC08</t>
        </is>
      </c>
      <c r="F48" s="10" t="inlineStr">
        <is>
          <t>P0</t>
        </is>
      </c>
      <c r="G48" s="24" t="n"/>
      <c r="H48" s="24" t="inlineStr">
        <is>
          <t>Chờ duyệt</t>
        </is>
      </c>
      <c r="I48" s="24" t="inlineStr">
        <is>
          <t>V1 T08/D06 + SC08</t>
        </is>
      </c>
    </row>
    <row r="49" ht="15.75" customHeight="1" s="81"/>
    <row r="50" ht="15.75" customHeight="1" s="81"/>
    <row r="51" ht="15.75" customHeight="1" s="81"/>
    <row r="52" ht="15.75" customHeight="1" s="81"/>
    <row r="53" ht="15.75" customHeight="1" s="81"/>
    <row r="54" ht="15.75" customHeight="1" s="81"/>
    <row r="55" ht="15.75" customHeight="1" s="81"/>
    <row r="56" ht="15.75" customHeight="1" s="81"/>
    <row r="57" ht="15.75" customHeight="1" s="81"/>
    <row r="58" ht="15.75" customHeight="1" s="81"/>
    <row r="59" ht="15.75" customHeight="1" s="81"/>
    <row r="60" ht="15.75" customHeight="1" s="81"/>
    <row r="61" ht="15.75" customHeight="1" s="81"/>
    <row r="62" ht="15.75" customHeight="1" s="81"/>
    <row r="63" ht="15.75" customHeight="1" s="81"/>
    <row r="64" ht="15.75" customHeight="1" s="81"/>
    <row r="65" ht="15.75" customHeight="1" s="81"/>
    <row r="66" ht="15.75" customHeight="1" s="81"/>
    <row r="67" ht="15.75" customHeight="1" s="81"/>
    <row r="68" ht="15.75" customHeight="1" s="81"/>
    <row r="69" ht="15.75" customHeight="1" s="81"/>
    <row r="70" ht="15.75" customHeight="1" s="81"/>
    <row r="71" ht="15.75" customHeight="1" s="81"/>
    <row r="72" ht="15.75" customHeight="1" s="81"/>
    <row r="73" ht="15.75" customHeight="1" s="81"/>
    <row r="74" ht="15.75" customHeight="1" s="81"/>
    <row r="75" ht="15.75" customHeight="1" s="81"/>
    <row r="76" ht="15.75" customHeight="1" s="81"/>
    <row r="77" ht="15.75" customHeight="1" s="81"/>
    <row r="78" ht="15.75" customHeight="1" s="81"/>
    <row r="79" ht="15.75" customHeight="1" s="81"/>
    <row r="80" ht="15.75" customHeight="1" s="81"/>
    <row r="81" ht="15.75" customHeight="1" s="81"/>
    <row r="82" ht="15.75" customHeight="1" s="81"/>
    <row r="83" ht="15.75" customHeight="1" s="81"/>
    <row r="84" ht="15.75" customHeight="1" s="81"/>
    <row r="85" ht="15.75" customHeight="1" s="81"/>
    <row r="86" ht="15.75" customHeight="1" s="81"/>
    <row r="87" ht="15.75" customHeight="1" s="81"/>
    <row r="88" ht="15.75" customHeight="1" s="81"/>
    <row r="89" ht="15.75" customHeight="1" s="81"/>
    <row r="90" ht="15.75" customHeight="1" s="81"/>
    <row r="91" ht="15.75" customHeight="1" s="81"/>
    <row r="92" ht="15.75" customHeight="1" s="81"/>
    <row r="93" ht="15.75" customHeight="1" s="81"/>
    <row r="94" ht="15.75" customHeight="1" s="81"/>
    <row r="95" ht="15.75" customHeight="1" s="81"/>
    <row r="96" ht="15.75" customHeight="1" s="81"/>
    <row r="97" ht="15.75" customHeight="1" s="81"/>
    <row r="98" ht="15.75" customHeight="1" s="81"/>
    <row r="99" ht="15.75" customHeight="1" s="81"/>
    <row r="100" ht="15.75" customHeight="1" s="81"/>
    <row r="101" ht="15.75" customHeight="1" s="81"/>
    <row r="102" ht="15.75" customHeight="1" s="81"/>
    <row r="103" ht="15.75" customHeight="1" s="81"/>
    <row r="104" ht="15.75" customHeight="1" s="81"/>
    <row r="105" ht="15.75" customHeight="1" s="81"/>
    <row r="106" ht="15.75" customHeight="1" s="81"/>
    <row r="107" ht="15.75" customHeight="1" s="81"/>
    <row r="108" ht="15.75" customHeight="1" s="81"/>
    <row r="109" ht="15.75" customHeight="1" s="81"/>
    <row r="110" ht="15.75" customHeight="1" s="81"/>
    <row r="111" ht="15.75" customHeight="1" s="81"/>
    <row r="112" ht="15.75" customHeight="1" s="81"/>
    <row r="113" ht="15.75" customHeight="1" s="81"/>
    <row r="114" ht="15.75" customHeight="1" s="81"/>
    <row r="115" ht="15.75" customHeight="1" s="81"/>
    <row r="116" ht="15.75" customHeight="1" s="81"/>
    <row r="117" ht="15.75" customHeight="1" s="81"/>
    <row r="118" ht="15.75" customHeight="1" s="81"/>
    <row r="119" ht="15.75" customHeight="1" s="81"/>
    <row r="120" ht="15.75" customHeight="1" s="81"/>
    <row r="121" ht="15.75" customHeight="1" s="81"/>
    <row r="122" ht="15.75" customHeight="1" s="81"/>
    <row r="123" ht="15.75" customHeight="1" s="81"/>
    <row r="124" ht="15.75" customHeight="1" s="81"/>
    <row r="125" ht="15.75" customHeight="1" s="81"/>
    <row r="126" ht="15.75" customHeight="1" s="81"/>
    <row r="127" ht="15.75" customHeight="1" s="81"/>
    <row r="128" ht="15.75" customHeight="1" s="81"/>
    <row r="129" ht="15.75" customHeight="1" s="81"/>
    <row r="130" ht="15.75" customHeight="1" s="81"/>
    <row r="131" ht="15.75" customHeight="1" s="81"/>
    <row r="132" ht="15.75" customHeight="1" s="81"/>
    <row r="133" ht="15.75" customHeight="1" s="81"/>
    <row r="134" ht="15.75" customHeight="1" s="81"/>
    <row r="135" ht="15.75" customHeight="1" s="81"/>
    <row r="136" ht="15.75" customHeight="1" s="81"/>
    <row r="137" ht="15.75" customHeight="1" s="81"/>
    <row r="138" ht="15.75" customHeight="1" s="81"/>
    <row r="139" ht="15.75" customHeight="1" s="81"/>
    <row r="140" ht="15.75" customHeight="1" s="81"/>
    <row r="141" ht="15.75" customHeight="1" s="81"/>
    <row r="142" ht="15.75" customHeight="1" s="81"/>
    <row r="143" ht="15.75" customHeight="1" s="81"/>
    <row r="144" ht="15.75" customHeight="1" s="81"/>
    <row r="145" ht="15.75" customHeight="1" s="81"/>
    <row r="146" ht="15.75" customHeight="1" s="81"/>
    <row r="147" ht="15.75" customHeight="1" s="81"/>
    <row r="148" ht="15.75" customHeight="1" s="81"/>
    <row r="149" ht="15.75" customHeight="1" s="81"/>
    <row r="150" ht="15.75" customHeight="1" s="81"/>
    <row r="151" ht="15.75" customHeight="1" s="81"/>
    <row r="152" ht="15.75" customHeight="1" s="81"/>
    <row r="153" ht="15.75" customHeight="1" s="81"/>
    <row r="154" ht="15.75" customHeight="1" s="81"/>
    <row r="155" ht="15.75" customHeight="1" s="81"/>
    <row r="156" ht="15.75" customHeight="1" s="81"/>
    <row r="157" ht="15.75" customHeight="1" s="81"/>
    <row r="158" ht="15.75" customHeight="1" s="81"/>
    <row r="159" ht="15.75" customHeight="1" s="81"/>
    <row r="160" ht="15.75" customHeight="1" s="81"/>
    <row r="161" ht="15.75" customHeight="1" s="81"/>
    <row r="162" ht="15.75" customHeight="1" s="81"/>
    <row r="163" ht="15.75" customHeight="1" s="81"/>
    <row r="164" ht="15.75" customHeight="1" s="81"/>
    <row r="165" ht="15.75" customHeight="1" s="81"/>
    <row r="166" ht="15.75" customHeight="1" s="81"/>
    <row r="167" ht="15.75" customHeight="1" s="81"/>
    <row r="168" ht="15.75" customHeight="1" s="81"/>
    <row r="169" ht="15.75" customHeight="1" s="81"/>
    <row r="170" ht="15.75" customHeight="1" s="81"/>
    <row r="171" ht="15.75" customHeight="1" s="81"/>
    <row r="172" ht="15.75" customHeight="1" s="81"/>
    <row r="173" ht="15.75" customHeight="1" s="81"/>
    <row r="174" ht="15.75" customHeight="1" s="81"/>
    <row r="175" ht="15.75" customHeight="1" s="81"/>
    <row r="176" ht="15.75" customHeight="1" s="81"/>
    <row r="177" ht="15.75" customHeight="1" s="81"/>
    <row r="178" ht="15.75" customHeight="1" s="81"/>
    <row r="179" ht="15.75" customHeight="1" s="81"/>
    <row r="180" ht="15.75" customHeight="1" s="81"/>
    <row r="181" ht="15.75" customHeight="1" s="81"/>
    <row r="182" ht="15.75" customHeight="1" s="81"/>
    <row r="183" ht="15.75" customHeight="1" s="81"/>
    <row r="184" ht="15.75" customHeight="1" s="81"/>
    <row r="185" ht="15.75" customHeight="1" s="81"/>
    <row r="186" ht="15.75" customHeight="1" s="81"/>
    <row r="187" ht="15.75" customHeight="1" s="81"/>
    <row r="188" ht="15.75" customHeight="1" s="81"/>
    <row r="189" ht="15.75" customHeight="1" s="81"/>
    <row r="190" ht="15.75" customHeight="1" s="81"/>
    <row r="191" ht="15.75" customHeight="1" s="81"/>
    <row r="192" ht="15.75" customHeight="1" s="81"/>
    <row r="193" ht="15.75" customHeight="1" s="81"/>
    <row r="194" ht="15.75" customHeight="1" s="81"/>
    <row r="195" ht="15.75" customHeight="1" s="81"/>
    <row r="196" ht="15.75" customHeight="1" s="81"/>
    <row r="197" ht="15.75" customHeight="1" s="81"/>
    <row r="198" ht="15.75" customHeight="1" s="81"/>
    <row r="199" ht="15.75" customHeight="1" s="81"/>
    <row r="200" ht="15.75" customHeight="1" s="81"/>
    <row r="201" ht="15.75" customHeight="1" s="81"/>
    <row r="202" ht="15.75" customHeight="1" s="81"/>
    <row r="203" ht="15.75" customHeight="1" s="81"/>
    <row r="204" ht="15.75" customHeight="1" s="81"/>
    <row r="205" ht="15.75" customHeight="1" s="81"/>
    <row r="206" ht="15.75" customHeight="1" s="81"/>
    <row r="207" ht="15.75" customHeight="1" s="81"/>
    <row r="208" ht="15.75" customHeight="1" s="81"/>
    <row r="209" ht="15.75" customHeight="1" s="81"/>
    <row r="210" ht="15.75" customHeight="1" s="81"/>
    <row r="211" ht="15.75" customHeight="1" s="81"/>
    <row r="212" ht="15.75" customHeight="1" s="81"/>
    <row r="213" ht="15.75" customHeight="1" s="81"/>
    <row r="214" ht="15.75" customHeight="1" s="81"/>
    <row r="215" ht="15.75" customHeight="1" s="81"/>
    <row r="216" ht="15.75" customHeight="1" s="81"/>
    <row r="217" ht="15.75" customHeight="1" s="81"/>
    <row r="218" ht="15.75" customHeight="1" s="81"/>
    <row r="219" ht="15.75" customHeight="1" s="81"/>
    <row r="220" ht="15.75" customHeight="1" s="81"/>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autoFilter ref="$A$4:$I$48"/>
  <mergeCells count="2">
    <mergeCell ref="A1:I1"/>
    <mergeCell ref="A2:I2"/>
  </mergeCells>
  <dataValidations count="1">
    <dataValidation sqref="H5:H48" showDropDown="0" showInputMessage="1" showErrorMessage="0" allowBlank="1" prompt="Chọn từ danh sách - Có thể chọn từ danh sách hoặc điền nội dung chi tiết ở cột bên cạnh." type="list">
      <formula1>"Chờ duyệt,Có quy tắc,Đã duyệt,Đạt,Không đạt,Không áp dụng"</formula1>
    </dataValidation>
  </dataValidations>
  <pageMargins left="0.25" right="0.25" top="0.45" bottom="0.45" header="0" footer="0"/>
  <pageSetup orientation="landscape" paperSize="8" fitToHeight="0"/>
  <headerFooter>
    <oddHeader/>
    <oddFooter>&amp;CPWA Son Cang | Yeu cau nghiep vu | Trang &amp;P / </oddFooter>
    <evenHeader/>
    <evenFooter/>
    <firstHeader/>
    <firstFooter/>
  </headerFooter>
</worksheet>
</file>

<file path=xl/worksheets/sheet7.xml><?xml version="1.0" encoding="utf-8"?>
<worksheet xmlns="http://schemas.openxmlformats.org/spreadsheetml/2006/main">
  <sheetPr>
    <tabColor rgb="FF8091A2"/>
    <outlinePr summaryBelow="1" summaryRight="1"/>
    <pageSetUpPr fitToPage="1"/>
  </sheetPr>
  <dimension ref="A1:H61"/>
  <sheetViews>
    <sheetView showGridLines="0" workbookViewId="0">
      <pane xSplit="3" ySplit="4" topLeftCell="D5" activePane="bottomRight" state="frozen"/>
      <selection pane="topRight" activeCell="D1" sqref="D1"/>
      <selection pane="bottomLeft" activeCell="A5" sqref="A5"/>
      <selection pane="bottomRight" activeCell="D5" sqref="D5"/>
    </sheetView>
  </sheetViews>
  <sheetFormatPr baseColWidth="8" defaultColWidth="14.43" defaultRowHeight="15" customHeight="1"/>
  <cols>
    <col width="8" customWidth="1" style="81" min="1" max="1"/>
    <col width="21" customWidth="1" style="81" min="2" max="2"/>
    <col width="34" customWidth="1" style="81" min="3" max="3"/>
    <col width="44" customWidth="1" style="81" min="4" max="4"/>
    <col width="75" customWidth="1" style="81" min="5" max="5"/>
    <col width="16" customWidth="1" style="81" min="6" max="6"/>
    <col width="56" customWidth="1" style="81" min="7" max="7"/>
    <col width="67" customWidth="1" style="81" min="8" max="8"/>
    <col width="8.710000000000001" customWidth="1" style="81" min="9" max="26"/>
  </cols>
  <sheetData>
    <row r="1" ht="36" customHeight="1" s="81">
      <c r="A1" s="82" t="inlineStr">
        <is>
          <t>DANH MỤC CỘT DỮ LIỆU APPSHEET V1 — ĐỐI CHIẾU PWA</t>
        </is>
      </c>
    </row>
    <row r="2" ht="33" customHeight="1" s="81">
      <c r="A2" s="83" t="inlineStr">
        <is>
          <t>32 cột VEHICLE + 25 cột CONTAINER từ tệp gốc. Ánh xạ PWA là đề xuất kỹ thuật, không tự coi là đã phê duyệt.</t>
        </is>
      </c>
    </row>
    <row r="4" ht="33" customHeight="1" s="81">
      <c r="A4" s="5" t="inlineStr">
        <is>
          <t>STT</t>
        </is>
      </c>
      <c r="B4" s="5" t="inlineStr">
        <is>
          <t>Bảng V1</t>
        </is>
      </c>
      <c r="C4" s="5" t="inlineStr">
        <is>
          <t>Cột gốc V1</t>
        </is>
      </c>
      <c r="D4" s="5" t="inlineStr">
        <is>
          <t>Hướng lưu trên PWA (đề xuất)</t>
        </is>
      </c>
      <c r="E4" s="5" t="inlineStr">
        <is>
          <t>Cách chuyển dữ liệu</t>
        </is>
      </c>
      <c r="F4" s="5" t="inlineStr">
        <is>
          <t>Mức ưu tiên</t>
        </is>
      </c>
      <c r="G4" s="5" t="inlineStr">
        <is>
          <t>Quyết định ánh xạ (điền)</t>
        </is>
      </c>
      <c r="H4" s="5" t="inlineStr">
        <is>
          <t>Ghi chú chuyển đổi (điền)</t>
        </is>
      </c>
    </row>
    <row r="5" ht="42" customHeight="1" s="81">
      <c r="A5" s="10" t="n">
        <v>1</v>
      </c>
      <c r="B5" s="10" t="inlineStr">
        <is>
          <t>VEHICLE</t>
        </is>
      </c>
      <c r="C5" s="10" t="inlineStr">
        <is>
          <t>ID</t>
        </is>
      </c>
      <c r="D5" s="10" t="inlineStr">
        <is>
          <t>VEHICLE</t>
        </is>
      </c>
      <c r="E5" s="10" t="inlineStr">
        <is>
          <t>Giữ khóa nguồn/legacy ID; kiểm tra trùng.</t>
        </is>
      </c>
      <c r="F5" s="10" t="inlineStr">
        <is>
          <t>P0</t>
        </is>
      </c>
      <c r="G5" s="24" t="n"/>
      <c r="H5" s="24" t="n"/>
    </row>
    <row r="6" ht="42" customHeight="1" s="81">
      <c r="A6" s="14" t="n">
        <v>2</v>
      </c>
      <c r="B6" s="14" t="inlineStr">
        <is>
          <t>VEHICLE</t>
        </is>
      </c>
      <c r="C6" s="14" t="inlineStr">
        <is>
          <t>BIEN_SO_XE</t>
        </is>
      </c>
      <c r="D6" s="14" t="inlineStr">
        <is>
          <t>VEHICLE_VISITS</t>
        </is>
      </c>
      <c r="E6" s="14" t="inlineStr">
        <is>
          <t>Giữ thời điểm thực tế, nguồn người thao tác; tách trạng thái tài chính và ra cổng.</t>
        </is>
      </c>
      <c r="F6" s="14" t="inlineStr">
        <is>
          <t>P1</t>
        </is>
      </c>
      <c r="G6" s="24" t="n"/>
      <c r="H6" s="24" t="n"/>
    </row>
    <row r="7" ht="42" customHeight="1" s="81">
      <c r="A7" s="10" t="n">
        <v>3</v>
      </c>
      <c r="B7" s="10" t="inlineStr">
        <is>
          <t>VEHICLE</t>
        </is>
      </c>
      <c r="C7" s="10" t="inlineStr">
        <is>
          <t>LOAI_XE</t>
        </is>
      </c>
      <c r="D7" s="10" t="inlineStr">
        <is>
          <t>VEHICLE_VISITS</t>
        </is>
      </c>
      <c r="E7" s="10" t="inlineStr">
        <is>
          <t>Giữ thời điểm thực tế, nguồn người thao tác; tách trạng thái tài chính và ra cổng.</t>
        </is>
      </c>
      <c r="F7" s="10" t="inlineStr">
        <is>
          <t>P1</t>
        </is>
      </c>
      <c r="G7" s="24" t="n"/>
      <c r="H7" s="24" t="n"/>
    </row>
    <row r="8" ht="42" customHeight="1" s="81">
      <c r="A8" s="14" t="n">
        <v>4</v>
      </c>
      <c r="B8" s="14" t="inlineStr">
        <is>
          <t>VEHICLE</t>
        </is>
      </c>
      <c r="C8" s="14" t="inlineStr">
        <is>
          <t>SO_CONTAINER_VAO</t>
        </is>
      </c>
      <c r="D8" s="14" t="inlineStr">
        <is>
          <t>CONTAINER / CONTAINER_VISITS</t>
        </is>
      </c>
      <c r="E8" s="14" t="inlineStr">
        <is>
          <t>Lưu lượt container độc lập, liên kết lượt xe; kiểm tra lịch sử nhiều lượt.</t>
        </is>
      </c>
      <c r="F8" s="14" t="inlineStr">
        <is>
          <t>P1</t>
        </is>
      </c>
      <c r="G8" s="24" t="n"/>
      <c r="H8" s="24" t="n"/>
    </row>
    <row r="9" ht="42" customHeight="1" s="81">
      <c r="A9" s="10" t="n">
        <v>5</v>
      </c>
      <c r="B9" s="10" t="inlineStr">
        <is>
          <t>VEHICLE</t>
        </is>
      </c>
      <c r="C9" s="10" t="inlineStr">
        <is>
          <t>ID_CONTAINER_VAO</t>
        </is>
      </c>
      <c r="D9" s="10" t="inlineStr">
        <is>
          <t>Ghi chú nghiệp vụ / audit</t>
        </is>
      </c>
      <c r="E9" s="10" t="inlineStr">
        <is>
          <t>Cần xem ý nghĩa và ánh xạ theo hồ sơ nguồn.</t>
        </is>
      </c>
      <c r="F9" s="10" t="inlineStr">
        <is>
          <t>P1</t>
        </is>
      </c>
      <c r="G9" s="24" t="n"/>
      <c r="H9" s="24" t="n"/>
    </row>
    <row r="10" ht="42" customHeight="1" s="81">
      <c r="A10" s="14" t="n">
        <v>6</v>
      </c>
      <c r="B10" s="14" t="inlineStr">
        <is>
          <t>VEHICLE</t>
        </is>
      </c>
      <c r="C10" s="14" t="inlineStr">
        <is>
          <t>GIO_VAO</t>
        </is>
      </c>
      <c r="D10" s="14" t="inlineStr">
        <is>
          <t>VEHICLE_VISITS</t>
        </is>
      </c>
      <c r="E10" s="14" t="inlineStr">
        <is>
          <t>Giữ thời điểm thực tế, nguồn người thao tác; tách trạng thái tài chính và ra cổng.</t>
        </is>
      </c>
      <c r="F10" s="14" t="inlineStr">
        <is>
          <t>P0</t>
        </is>
      </c>
      <c r="G10" s="24" t="n"/>
      <c r="H10" s="24" t="n"/>
    </row>
    <row r="11" ht="42" customHeight="1" s="81">
      <c r="A11" s="10" t="n">
        <v>7</v>
      </c>
      <c r="B11" s="10" t="inlineStr">
        <is>
          <t>VEHICLE</t>
        </is>
      </c>
      <c r="C11" s="10" t="inlineStr">
        <is>
          <t>NGUOI_VAO</t>
        </is>
      </c>
      <c r="D11" s="10" t="inlineStr">
        <is>
          <t>VEHICLE_VISITS</t>
        </is>
      </c>
      <c r="E11" s="10" t="inlineStr">
        <is>
          <t>Giữ thời điểm thực tế, nguồn người thao tác; tách trạng thái tài chính và ra cổng.</t>
        </is>
      </c>
      <c r="F11" s="10" t="inlineStr">
        <is>
          <t>P1</t>
        </is>
      </c>
      <c r="G11" s="24" t="n"/>
      <c r="H11" s="24" t="n"/>
    </row>
    <row r="12" ht="42" customHeight="1" s="81">
      <c r="A12" s="14" t="n">
        <v>8</v>
      </c>
      <c r="B12" s="14" t="inlineStr">
        <is>
          <t>VEHICLE</t>
        </is>
      </c>
      <c r="C12" s="14" t="inlineStr">
        <is>
          <t>SO_CONTAINER_RA</t>
        </is>
      </c>
      <c r="D12" s="14" t="inlineStr">
        <is>
          <t>CONTAINER / CONTAINER_VISITS</t>
        </is>
      </c>
      <c r="E12" s="14" t="inlineStr">
        <is>
          <t>Lưu lượt container độc lập, liên kết lượt xe; kiểm tra lịch sử nhiều lượt.</t>
        </is>
      </c>
      <c r="F12" s="14" t="inlineStr">
        <is>
          <t>P1</t>
        </is>
      </c>
      <c r="G12" s="24" t="n"/>
      <c r="H12" s="24" t="n"/>
    </row>
    <row r="13" ht="42" customHeight="1" s="81">
      <c r="A13" s="10" t="n">
        <v>9</v>
      </c>
      <c r="B13" s="10" t="inlineStr">
        <is>
          <t>VEHICLE</t>
        </is>
      </c>
      <c r="C13" s="10" t="inlineStr">
        <is>
          <t>ID_CONTAINER_RA</t>
        </is>
      </c>
      <c r="D13" s="10" t="inlineStr">
        <is>
          <t>Ghi chú nghiệp vụ / audit</t>
        </is>
      </c>
      <c r="E13" s="10" t="inlineStr">
        <is>
          <t>Cần xem ý nghĩa và ánh xạ theo hồ sơ nguồn.</t>
        </is>
      </c>
      <c r="F13" s="10" t="inlineStr">
        <is>
          <t>P1</t>
        </is>
      </c>
      <c r="G13" s="24" t="n"/>
      <c r="H13" s="24" t="n"/>
    </row>
    <row r="14" ht="42" customHeight="1" s="81">
      <c r="A14" s="14" t="n">
        <v>10</v>
      </c>
      <c r="B14" s="14" t="inlineStr">
        <is>
          <t>VEHICLE</t>
        </is>
      </c>
      <c r="C14" s="14" t="inlineStr">
        <is>
          <t>GIO_RA</t>
        </is>
      </c>
      <c r="D14" s="14" t="inlineStr">
        <is>
          <t>VEHICLE_VISITS</t>
        </is>
      </c>
      <c r="E14" s="14" t="inlineStr">
        <is>
          <t>Giữ thời điểm thực tế, nguồn người thao tác; tách trạng thái tài chính và ra cổng.</t>
        </is>
      </c>
      <c r="F14" s="14" t="inlineStr">
        <is>
          <t>P0</t>
        </is>
      </c>
      <c r="G14" s="24" t="n"/>
      <c r="H14" s="24" t="n"/>
    </row>
    <row r="15" ht="42" customHeight="1" s="81">
      <c r="A15" s="10" t="n">
        <v>11</v>
      </c>
      <c r="B15" s="10" t="inlineStr">
        <is>
          <t>VEHICLE</t>
        </is>
      </c>
      <c r="C15" s="10" t="inlineStr">
        <is>
          <t>NGUOI_RA</t>
        </is>
      </c>
      <c r="D15" s="10" t="inlineStr">
        <is>
          <t>VEHICLE_VISITS</t>
        </is>
      </c>
      <c r="E15" s="10" t="inlineStr">
        <is>
          <t>Giữ thời điểm thực tế, nguồn người thao tác; tách trạng thái tài chính và ra cổng.</t>
        </is>
      </c>
      <c r="F15" s="10" t="inlineStr">
        <is>
          <t>P1</t>
        </is>
      </c>
      <c r="G15" s="24" t="n"/>
      <c r="H15" s="24" t="n"/>
    </row>
    <row r="16" ht="42" customHeight="1" s="81">
      <c r="A16" s="14" t="n">
        <v>12</v>
      </c>
      <c r="B16" s="14" t="inlineStr">
        <is>
          <t>VEHICLE</t>
        </is>
      </c>
      <c r="C16" s="14" t="inlineStr">
        <is>
          <t>TIEN_VE_GOC</t>
        </is>
      </c>
      <c r="D16" s="14" t="inlineStr">
        <is>
          <t>CHARGES / PAYMENTS / AUDIT_LOG</t>
        </is>
      </c>
      <c r="E16" s="14" t="inlineStr">
        <is>
          <t>Tách số tiền phải thu và tiền thực nhận, giữ bằng chứng và lịch sử.</t>
        </is>
      </c>
      <c r="F16" s="14" t="inlineStr">
        <is>
          <t>P1</t>
        </is>
      </c>
      <c r="G16" s="24" t="n"/>
      <c r="H16" s="24" t="n"/>
    </row>
    <row r="17" ht="42" customHeight="1" s="81">
      <c r="A17" s="10" t="n">
        <v>13</v>
      </c>
      <c r="B17" s="10" t="inlineStr">
        <is>
          <t>VEHICLE</t>
        </is>
      </c>
      <c r="C17" s="10" t="inlineStr">
        <is>
          <t>TIEN_VE_DIEU_CHINH</t>
        </is>
      </c>
      <c r="D17" s="10" t="inlineStr">
        <is>
          <t>CHARGES / PAYMENTS / AUDIT_LOG</t>
        </is>
      </c>
      <c r="E17" s="10" t="inlineStr">
        <is>
          <t>Tách số tiền phải thu và tiền thực nhận, giữ bằng chứng và lịch sử.</t>
        </is>
      </c>
      <c r="F17" s="10" t="inlineStr">
        <is>
          <t>P1</t>
        </is>
      </c>
      <c r="G17" s="24" t="n"/>
      <c r="H17" s="24" t="n"/>
    </row>
    <row r="18" ht="42" customHeight="1" s="81">
      <c r="A18" s="14" t="n">
        <v>14</v>
      </c>
      <c r="B18" s="14" t="inlineStr">
        <is>
          <t>VEHICLE</t>
        </is>
      </c>
      <c r="C18" s="14" t="inlineStr">
        <is>
          <t>TIEN_VE_PHAI_THU</t>
        </is>
      </c>
      <c r="D18" s="14" t="inlineStr">
        <is>
          <t>CHARGES / PAYMENTS / AUDIT_LOG</t>
        </is>
      </c>
      <c r="E18" s="14" t="inlineStr">
        <is>
          <t>Tách số tiền phải thu và tiền thực nhận, giữ bằng chứng và lịch sử.</t>
        </is>
      </c>
      <c r="F18" s="14" t="inlineStr">
        <is>
          <t>P0</t>
        </is>
      </c>
      <c r="G18" s="24" t="n"/>
      <c r="H18" s="24" t="n"/>
    </row>
    <row r="19" ht="42" customHeight="1" s="81">
      <c r="A19" s="10" t="n">
        <v>15</v>
      </c>
      <c r="B19" s="10" t="inlineStr">
        <is>
          <t>VEHICLE</t>
        </is>
      </c>
      <c r="C19" s="10" t="inlineStr">
        <is>
          <t>LY_DO_DIEU_CHINH_VE</t>
        </is>
      </c>
      <c r="D19" s="10" t="inlineStr">
        <is>
          <t>CHARGES / PAYMENTS / AUDIT_LOG</t>
        </is>
      </c>
      <c r="E19" s="10" t="inlineStr">
        <is>
          <t>Tách số tiền phải thu và tiền thực nhận, giữ bằng chứng và lịch sử.</t>
        </is>
      </c>
      <c r="F19" s="10" t="inlineStr">
        <is>
          <t>P1</t>
        </is>
      </c>
      <c r="G19" s="24" t="n"/>
      <c r="H19" s="24" t="n"/>
    </row>
    <row r="20" ht="42" customHeight="1" s="81">
      <c r="A20" s="14" t="n">
        <v>16</v>
      </c>
      <c r="B20" s="14" t="inlineStr">
        <is>
          <t>VEHICLE</t>
        </is>
      </c>
      <c r="C20" s="14" t="inlineStr">
        <is>
          <t>NGUOI_DIEU_CHINH_VE</t>
        </is>
      </c>
      <c r="D20" s="14" t="inlineStr">
        <is>
          <t>CHARGES / PAYMENTS / AUDIT_LOG</t>
        </is>
      </c>
      <c r="E20" s="14" t="inlineStr">
        <is>
          <t>Tách số tiền phải thu và tiền thực nhận, giữ bằng chứng và lịch sử.</t>
        </is>
      </c>
      <c r="F20" s="14" t="inlineStr">
        <is>
          <t>P1</t>
        </is>
      </c>
      <c r="G20" s="24" t="n"/>
      <c r="H20" s="24" t="n"/>
    </row>
    <row r="21" ht="42" customHeight="1" s="81">
      <c r="A21" s="10" t="n">
        <v>17</v>
      </c>
      <c r="B21" s="10" t="inlineStr">
        <is>
          <t>VEHICLE</t>
        </is>
      </c>
      <c r="C21" s="10" t="inlineStr">
        <is>
          <t>GIO_DIEU_CHINH_VE</t>
        </is>
      </c>
      <c r="D21" s="10" t="inlineStr">
        <is>
          <t>VEHICLE_VISITS</t>
        </is>
      </c>
      <c r="E21" s="10" t="inlineStr">
        <is>
          <t>Giữ thời điểm thực tế, nguồn người thao tác; tách trạng thái tài chính và ra cổng.</t>
        </is>
      </c>
      <c r="F21" s="10" t="inlineStr">
        <is>
          <t>P1</t>
        </is>
      </c>
      <c r="G21" s="24" t="n"/>
      <c r="H21" s="24" t="n"/>
    </row>
    <row r="22" ht="42" customHeight="1" s="81">
      <c r="A22" s="14" t="n">
        <v>18</v>
      </c>
      <c r="B22" s="14" t="inlineStr">
        <is>
          <t>VEHICLE</t>
        </is>
      </c>
      <c r="C22" s="14" t="inlineStr">
        <is>
          <t>TRANG_THAI_THU_VE</t>
        </is>
      </c>
      <c r="D22" s="14" t="inlineStr">
        <is>
          <t>CHARGES / PAYMENTS / AUDIT_LOG</t>
        </is>
      </c>
      <c r="E22" s="14" t="inlineStr">
        <is>
          <t>Tách số tiền phải thu và tiền thực nhận, giữ bằng chứng và lịch sử.</t>
        </is>
      </c>
      <c r="F22" s="14" t="inlineStr">
        <is>
          <t>P1</t>
        </is>
      </c>
      <c r="G22" s="24" t="n"/>
      <c r="H22" s="24" t="n"/>
    </row>
    <row r="23" ht="42" customHeight="1" s="81">
      <c r="A23" s="10" t="n">
        <v>19</v>
      </c>
      <c r="B23" s="10" t="inlineStr">
        <is>
          <t>VEHICLE</t>
        </is>
      </c>
      <c r="C23" s="10" t="inlineStr">
        <is>
          <t>HINH_THUC_THU_VE</t>
        </is>
      </c>
      <c r="D23" s="10" t="inlineStr">
        <is>
          <t>CHARGES / PAYMENTS / AUDIT_LOG</t>
        </is>
      </c>
      <c r="E23" s="10" t="inlineStr">
        <is>
          <t>Tách số tiền phải thu và tiền thực nhận, giữ bằng chứng và lịch sử.</t>
        </is>
      </c>
      <c r="F23" s="10" t="inlineStr">
        <is>
          <t>P1</t>
        </is>
      </c>
      <c r="G23" s="24" t="n"/>
      <c r="H23" s="24" t="n"/>
    </row>
    <row r="24" ht="42" customHeight="1" s="81">
      <c r="A24" s="14" t="n">
        <v>20</v>
      </c>
      <c r="B24" s="14" t="inlineStr">
        <is>
          <t>VEHICLE</t>
        </is>
      </c>
      <c r="C24" s="14" t="inlineStr">
        <is>
          <t>ANH_THU_VE</t>
        </is>
      </c>
      <c r="D24" s="14" t="inlineStr">
        <is>
          <t>CHARGES / PAYMENTS / AUDIT_LOG</t>
        </is>
      </c>
      <c r="E24" s="14" t="inlineStr">
        <is>
          <t>Tách số tiền phải thu và tiền thực nhận, giữ bằng chứng và lịch sử.</t>
        </is>
      </c>
      <c r="F24" s="14" t="inlineStr">
        <is>
          <t>P1</t>
        </is>
      </c>
      <c r="G24" s="24" t="n"/>
      <c r="H24" s="24" t="n"/>
    </row>
    <row r="25" ht="42" customHeight="1" s="81">
      <c r="A25" s="10" t="n">
        <v>21</v>
      </c>
      <c r="B25" s="10" t="inlineStr">
        <is>
          <t>VEHICLE</t>
        </is>
      </c>
      <c r="C25" s="10" t="inlineStr">
        <is>
          <t>GHI_CHU_THU_VE</t>
        </is>
      </c>
      <c r="D25" s="10" t="inlineStr">
        <is>
          <t>CHARGES / PAYMENTS / AUDIT_LOG</t>
        </is>
      </c>
      <c r="E25" s="10" t="inlineStr">
        <is>
          <t>Tách số tiền phải thu và tiền thực nhận, giữ bằng chứng và lịch sử.</t>
        </is>
      </c>
      <c r="F25" s="10" t="inlineStr">
        <is>
          <t>P1</t>
        </is>
      </c>
      <c r="G25" s="24" t="n"/>
      <c r="H25" s="24" t="n"/>
    </row>
    <row r="26" ht="42" customHeight="1" s="81">
      <c r="A26" s="14" t="n">
        <v>22</v>
      </c>
      <c r="B26" s="14" t="inlineStr">
        <is>
          <t>VEHICLE</t>
        </is>
      </c>
      <c r="C26" s="14" t="inlineStr">
        <is>
          <t>GIO_THU_VE</t>
        </is>
      </c>
      <c r="D26" s="14" t="inlineStr">
        <is>
          <t>VEHICLE_VISITS</t>
        </is>
      </c>
      <c r="E26" s="14" t="inlineStr">
        <is>
          <t>Giữ thời điểm thực tế, nguồn người thao tác; tách trạng thái tài chính và ra cổng.</t>
        </is>
      </c>
      <c r="F26" s="14" t="inlineStr">
        <is>
          <t>P1</t>
        </is>
      </c>
      <c r="G26" s="24" t="n"/>
      <c r="H26" s="24" t="n"/>
    </row>
    <row r="27" ht="42" customHeight="1" s="81">
      <c r="A27" s="10" t="n">
        <v>23</v>
      </c>
      <c r="B27" s="10" t="inlineStr">
        <is>
          <t>VEHICLE</t>
        </is>
      </c>
      <c r="C27" s="10" t="inlineStr">
        <is>
          <t>NGUOI_THU_VE</t>
        </is>
      </c>
      <c r="D27" s="10" t="inlineStr">
        <is>
          <t>CHARGES / PAYMENTS / AUDIT_LOG</t>
        </is>
      </c>
      <c r="E27" s="10" t="inlineStr">
        <is>
          <t>Tách số tiền phải thu và tiền thực nhận, giữ bằng chứng và lịch sử.</t>
        </is>
      </c>
      <c r="F27" s="10" t="inlineStr">
        <is>
          <t>P1</t>
        </is>
      </c>
      <c r="G27" s="24" t="n"/>
      <c r="H27" s="24" t="n"/>
    </row>
    <row r="28" ht="42" customHeight="1" s="81">
      <c r="A28" s="14" t="n">
        <v>24</v>
      </c>
      <c r="B28" s="14" t="inlineStr">
        <is>
          <t>VEHICLE</t>
        </is>
      </c>
      <c r="C28" s="14" t="inlineStr">
        <is>
          <t>TRANG_THAI_XE</t>
        </is>
      </c>
      <c r="D28" s="14" t="inlineStr">
        <is>
          <t>VEHICLE_VISITS</t>
        </is>
      </c>
      <c r="E28" s="14" t="inlineStr">
        <is>
          <t>Giữ thời điểm thực tế, nguồn người thao tác; tách trạng thái tài chính và ra cổng.</t>
        </is>
      </c>
      <c r="F28" s="14" t="inlineStr">
        <is>
          <t>P1</t>
        </is>
      </c>
      <c r="G28" s="24" t="n"/>
      <c r="H28" s="24" t="n"/>
    </row>
    <row r="29" ht="42" customHeight="1" s="81">
      <c r="A29" s="10" t="n">
        <v>25</v>
      </c>
      <c r="B29" s="10" t="inlineStr">
        <is>
          <t>VEHICLE</t>
        </is>
      </c>
      <c r="C29" s="10" t="inlineStr">
        <is>
          <t>GHI_CHU</t>
        </is>
      </c>
      <c r="D29" s="10" t="inlineStr">
        <is>
          <t>Ghi chú nghiệp vụ / audit</t>
        </is>
      </c>
      <c r="E29" s="10" t="inlineStr">
        <is>
          <t>Cần xem ý nghĩa và ánh xạ theo hồ sơ nguồn.</t>
        </is>
      </c>
      <c r="F29" s="10" t="inlineStr">
        <is>
          <t>P1</t>
        </is>
      </c>
      <c r="G29" s="24" t="n"/>
      <c r="H29" s="24" t="n"/>
    </row>
    <row r="30" ht="42" customHeight="1" s="81">
      <c r="A30" s="14" t="n">
        <v>26</v>
      </c>
      <c r="B30" s="14" t="inlineStr">
        <is>
          <t>VEHICLE</t>
        </is>
      </c>
      <c r="C30" s="14" t="inlineStr">
        <is>
          <t>XAC_NHAN_THU_LUU_RA</t>
        </is>
      </c>
      <c r="D30" s="14" t="inlineStr">
        <is>
          <t>PAYMENTS / GATE_CLEARANCES</t>
        </is>
      </c>
      <c r="E30" s="14" t="inlineStr">
        <is>
          <t>Đối soát với thu lưu tại CONTAINER để không ghi trùng.</t>
        </is>
      </c>
      <c r="F30" s="14" t="inlineStr">
        <is>
          <t>P1</t>
        </is>
      </c>
      <c r="G30" s="24" t="n"/>
      <c r="H30" s="24" t="n"/>
    </row>
    <row r="31" ht="42" customHeight="1" s="81">
      <c r="A31" s="10" t="n">
        <v>27</v>
      </c>
      <c r="B31" s="10" t="inlineStr">
        <is>
          <t>VEHICLE</t>
        </is>
      </c>
      <c r="C31" s="10" t="inlineStr">
        <is>
          <t>HINH_THUC_THU_LUU_RA</t>
        </is>
      </c>
      <c r="D31" s="10" t="inlineStr">
        <is>
          <t>CHARGES / PAYMENTS / AUDIT_LOG</t>
        </is>
      </c>
      <c r="E31" s="10" t="inlineStr">
        <is>
          <t>Tách phí lưu và giao dịch thu; rà dữ liệu ghi chú trước khi nhập.</t>
        </is>
      </c>
      <c r="F31" s="10" t="inlineStr">
        <is>
          <t>P1</t>
        </is>
      </c>
      <c r="G31" s="24" t="n"/>
      <c r="H31" s="24" t="n"/>
    </row>
    <row r="32" ht="42" customHeight="1" s="81">
      <c r="A32" s="14" t="n">
        <v>28</v>
      </c>
      <c r="B32" s="14" t="inlineStr">
        <is>
          <t>VEHICLE</t>
        </is>
      </c>
      <c r="C32" s="14" t="inlineStr">
        <is>
          <t>ANH_THU_LUU_RA</t>
        </is>
      </c>
      <c r="D32" s="14" t="inlineStr">
        <is>
          <t>CHARGES / PAYMENTS / AUDIT_LOG</t>
        </is>
      </c>
      <c r="E32" s="14" t="inlineStr">
        <is>
          <t>Tách phí lưu và giao dịch thu; rà dữ liệu ghi chú trước khi nhập.</t>
        </is>
      </c>
      <c r="F32" s="14" t="inlineStr">
        <is>
          <t>P1</t>
        </is>
      </c>
      <c r="G32" s="24" t="n"/>
      <c r="H32" s="24" t="n"/>
    </row>
    <row r="33" ht="42" customHeight="1" s="81">
      <c r="A33" s="10" t="n">
        <v>29</v>
      </c>
      <c r="B33" s="10" t="inlineStr">
        <is>
          <t>VEHICLE</t>
        </is>
      </c>
      <c r="C33" s="10" t="inlineStr">
        <is>
          <t>GHI_CHU_THU_LUU_RA</t>
        </is>
      </c>
      <c r="D33" s="10" t="inlineStr">
        <is>
          <t>CHARGES / PAYMENTS / AUDIT_LOG</t>
        </is>
      </c>
      <c r="E33" s="10" t="inlineStr">
        <is>
          <t>Tách phí lưu và giao dịch thu; rà dữ liệu ghi chú trước khi nhập.</t>
        </is>
      </c>
      <c r="F33" s="10" t="inlineStr">
        <is>
          <t>P1</t>
        </is>
      </c>
      <c r="G33" s="24" t="n"/>
      <c r="H33" s="24" t="n"/>
    </row>
    <row r="34" ht="42" customHeight="1" s="81">
      <c r="A34" s="14" t="n">
        <v>30</v>
      </c>
      <c r="B34" s="14" t="inlineStr">
        <is>
          <t>VEHICLE</t>
        </is>
      </c>
      <c r="C34" s="14" t="inlineStr">
        <is>
          <t>XAC_NHAN_THU_VE</t>
        </is>
      </c>
      <c r="D34" s="14" t="inlineStr">
        <is>
          <t>CHARGES / PAYMENTS / AUDIT_LOG</t>
        </is>
      </c>
      <c r="E34" s="14" t="inlineStr">
        <is>
          <t>Tách số tiền phải thu và tiền thực nhận, giữ bằng chứng và lịch sử.</t>
        </is>
      </c>
      <c r="F34" s="14" t="inlineStr">
        <is>
          <t>P1</t>
        </is>
      </c>
      <c r="G34" s="24" t="n"/>
      <c r="H34" s="24" t="n"/>
    </row>
    <row r="35" ht="42" customHeight="1" s="81">
      <c r="A35" s="10" t="n">
        <v>31</v>
      </c>
      <c r="B35" s="10" t="inlineStr">
        <is>
          <t>VEHICLE</t>
        </is>
      </c>
      <c r="C35" s="10" t="inlineStr">
        <is>
          <t>PHUONG_AN_XE_RA</t>
        </is>
      </c>
      <c r="D35" s="10" t="inlineStr">
        <is>
          <t>VEHICLE_VISITS</t>
        </is>
      </c>
      <c r="E35" s="10" t="inlineStr">
        <is>
          <t>Giữ thời điểm thực tế, nguồn người thao tác; tách trạng thái tài chính và ra cổng.</t>
        </is>
      </c>
      <c r="F35" s="10" t="inlineStr">
        <is>
          <t>P1</t>
        </is>
      </c>
      <c r="G35" s="24" t="n"/>
      <c r="H35" s="24" t="n"/>
    </row>
    <row r="36" ht="42" customHeight="1" s="81">
      <c r="A36" s="14" t="n">
        <v>32</v>
      </c>
      <c r="B36" s="14" t="inlineStr">
        <is>
          <t>VEHICLE</t>
        </is>
      </c>
      <c r="C36" s="14" t="inlineStr">
        <is>
          <t>XAC_NHAN_RA_KHONG_CONT</t>
        </is>
      </c>
      <c r="D36" s="14" t="inlineStr">
        <is>
          <t>VEHICLE_VISITS</t>
        </is>
      </c>
      <c r="E36" s="14" t="inlineStr">
        <is>
          <t>Giữ thời điểm thực tế, nguồn người thao tác; tách trạng thái tài chính và ra cổng.</t>
        </is>
      </c>
      <c r="F36" s="14" t="inlineStr">
        <is>
          <t>P1</t>
        </is>
      </c>
      <c r="G36" s="24" t="n"/>
      <c r="H36" s="24" t="n"/>
    </row>
    <row r="37" ht="42" customHeight="1" s="81">
      <c r="A37" s="10" t="n">
        <v>33</v>
      </c>
      <c r="B37" s="10" t="inlineStr">
        <is>
          <t>CONTAINER</t>
        </is>
      </c>
      <c r="C37" s="10" t="inlineStr">
        <is>
          <t>ID</t>
        </is>
      </c>
      <c r="D37" s="10" t="inlineStr">
        <is>
          <t>CONTAINER</t>
        </is>
      </c>
      <c r="E37" s="10" t="inlineStr">
        <is>
          <t>Giữ khóa nguồn/legacy ID; kiểm tra trùng.</t>
        </is>
      </c>
      <c r="F37" s="10" t="inlineStr">
        <is>
          <t>P0</t>
        </is>
      </c>
      <c r="G37" s="24" t="n"/>
      <c r="H37" s="24" t="n"/>
    </row>
    <row r="38" ht="42" customHeight="1" s="81">
      <c r="A38" s="14" t="n">
        <v>34</v>
      </c>
      <c r="B38" s="14" t="inlineStr">
        <is>
          <t>CONTAINER</t>
        </is>
      </c>
      <c r="C38" s="14" t="inlineStr">
        <is>
          <t>SO_CONTAINER</t>
        </is>
      </c>
      <c r="D38" s="14" t="inlineStr">
        <is>
          <t>CONTAINER / CONTAINER_VISITS</t>
        </is>
      </c>
      <c r="E38" s="14" t="inlineStr">
        <is>
          <t>Lưu lượt container độc lập, liên kết lượt xe; kiểm tra lịch sử nhiều lượt.</t>
        </is>
      </c>
      <c r="F38" s="14" t="inlineStr">
        <is>
          <t>P0</t>
        </is>
      </c>
      <c r="G38" s="24" t="n"/>
      <c r="H38" s="24" t="n"/>
    </row>
    <row r="39" ht="42" customHeight="1" s="81">
      <c r="A39" s="10" t="n">
        <v>35</v>
      </c>
      <c r="B39" s="10" t="inlineStr">
        <is>
          <t>CONTAINER</t>
        </is>
      </c>
      <c r="C39" s="10" t="inlineStr">
        <is>
          <t>ID_VEHICLE_VAO</t>
        </is>
      </c>
      <c r="D39" s="10" t="inlineStr">
        <is>
          <t>CONTAINER / CONTAINER_VISITS</t>
        </is>
      </c>
      <c r="E39" s="10" t="inlineStr">
        <is>
          <t>Lưu lượt container độc lập, liên kết lượt xe; kiểm tra lịch sử nhiều lượt.</t>
        </is>
      </c>
      <c r="F39" s="10" t="inlineStr">
        <is>
          <t>P0</t>
        </is>
      </c>
      <c r="G39" s="24" t="n"/>
      <c r="H39" s="24" t="n"/>
    </row>
    <row r="40" ht="42" customHeight="1" s="81">
      <c r="A40" s="14" t="n">
        <v>36</v>
      </c>
      <c r="B40" s="14" t="inlineStr">
        <is>
          <t>CONTAINER</t>
        </is>
      </c>
      <c r="C40" s="14" t="inlineStr">
        <is>
          <t>GIO_CONT_VAO</t>
        </is>
      </c>
      <c r="D40" s="14" t="inlineStr">
        <is>
          <t>CONTAINER / CONTAINER_VISITS</t>
        </is>
      </c>
      <c r="E40" s="14" t="inlineStr">
        <is>
          <t>Lưu lượt container độc lập, liên kết lượt xe; kiểm tra lịch sử nhiều lượt.</t>
        </is>
      </c>
      <c r="F40" s="14" t="inlineStr">
        <is>
          <t>P0</t>
        </is>
      </c>
      <c r="G40" s="24" t="n"/>
      <c r="H40" s="24" t="n"/>
    </row>
    <row r="41" ht="42" customHeight="1" s="81">
      <c r="A41" s="10" t="n">
        <v>37</v>
      </c>
      <c r="B41" s="10" t="inlineStr">
        <is>
          <t>CONTAINER</t>
        </is>
      </c>
      <c r="C41" s="10" t="inlineStr">
        <is>
          <t>NGUOI_CONT_VAO</t>
        </is>
      </c>
      <c r="D41" s="10" t="inlineStr">
        <is>
          <t>CONTAINER / CONTAINER_VISITS</t>
        </is>
      </c>
      <c r="E41" s="10" t="inlineStr">
        <is>
          <t>Lưu lượt container độc lập, liên kết lượt xe; kiểm tra lịch sử nhiều lượt.</t>
        </is>
      </c>
      <c r="F41" s="10" t="inlineStr">
        <is>
          <t>P1</t>
        </is>
      </c>
      <c r="G41" s="24" t="n"/>
      <c r="H41" s="24" t="n"/>
    </row>
    <row r="42" ht="42" customHeight="1" s="81">
      <c r="A42" s="14" t="n">
        <v>38</v>
      </c>
      <c r="B42" s="14" t="inlineStr">
        <is>
          <t>CONTAINER</t>
        </is>
      </c>
      <c r="C42" s="14" t="inlineStr">
        <is>
          <t>ID_VEHICLE_RA</t>
        </is>
      </c>
      <c r="D42" s="14" t="inlineStr">
        <is>
          <t>CONTAINER / CONTAINER_VISITS</t>
        </is>
      </c>
      <c r="E42" s="14" t="inlineStr">
        <is>
          <t>Lưu lượt container độc lập, liên kết lượt xe; kiểm tra lịch sử nhiều lượt.</t>
        </is>
      </c>
      <c r="F42" s="14" t="inlineStr">
        <is>
          <t>P0</t>
        </is>
      </c>
      <c r="G42" s="24" t="n"/>
      <c r="H42" s="24" t="n"/>
    </row>
    <row r="43" ht="42" customHeight="1" s="81">
      <c r="A43" s="10" t="n">
        <v>39</v>
      </c>
      <c r="B43" s="10" t="inlineStr">
        <is>
          <t>CONTAINER</t>
        </is>
      </c>
      <c r="C43" s="10" t="inlineStr">
        <is>
          <t>GIO_CONT_RA</t>
        </is>
      </c>
      <c r="D43" s="10" t="inlineStr">
        <is>
          <t>CONTAINER / CONTAINER_VISITS</t>
        </is>
      </c>
      <c r="E43" s="10" t="inlineStr">
        <is>
          <t>Lưu lượt container độc lập, liên kết lượt xe; kiểm tra lịch sử nhiều lượt.</t>
        </is>
      </c>
      <c r="F43" s="10" t="inlineStr">
        <is>
          <t>P0</t>
        </is>
      </c>
      <c r="G43" s="24" t="n"/>
      <c r="H43" s="24" t="n"/>
    </row>
    <row r="44" ht="42" customHeight="1" s="81">
      <c r="A44" s="14" t="n">
        <v>40</v>
      </c>
      <c r="B44" s="14" t="inlineStr">
        <is>
          <t>CONTAINER</t>
        </is>
      </c>
      <c r="C44" s="14" t="inlineStr">
        <is>
          <t>NGUOI_CONT_RA</t>
        </is>
      </c>
      <c r="D44" s="14" t="inlineStr">
        <is>
          <t>CONTAINER / CONTAINER_VISITS</t>
        </is>
      </c>
      <c r="E44" s="14" t="inlineStr">
        <is>
          <t>Lưu lượt container độc lập, liên kết lượt xe; kiểm tra lịch sử nhiều lượt.</t>
        </is>
      </c>
      <c r="F44" s="14" t="inlineStr">
        <is>
          <t>P1</t>
        </is>
      </c>
      <c r="G44" s="24" t="n"/>
      <c r="H44" s="24" t="n"/>
    </row>
    <row r="45" ht="42" customHeight="1" s="81">
      <c r="A45" s="10" t="n">
        <v>41</v>
      </c>
      <c r="B45" s="10" t="inlineStr">
        <is>
          <t>CONTAINER</t>
        </is>
      </c>
      <c r="C45" s="10" t="inlineStr">
        <is>
          <t>SO_DEM_LUU</t>
        </is>
      </c>
      <c r="D45" s="10" t="inlineStr">
        <is>
          <t>CONTAINER_VISITS / CHARGES</t>
        </is>
      </c>
      <c r="E45" s="10" t="inlineStr">
        <is>
          <t>Lưu snapshot đơn giá và kết quả đã chốt; tính lại tạm tính có kiểm soát.</t>
        </is>
      </c>
      <c r="F45" s="10" t="inlineStr">
        <is>
          <t>P1</t>
        </is>
      </c>
      <c r="G45" s="24" t="n"/>
      <c r="H45" s="24" t="n"/>
    </row>
    <row r="46" ht="42" customHeight="1" s="81">
      <c r="A46" s="14" t="n">
        <v>42</v>
      </c>
      <c r="B46" s="14" t="inlineStr">
        <is>
          <t>CONTAINER</t>
        </is>
      </c>
      <c r="C46" s="14" t="inlineStr">
        <is>
          <t>DON_GIA_LUU_DEM</t>
        </is>
      </c>
      <c r="D46" s="14" t="inlineStr">
        <is>
          <t>CONTAINER_VISITS / CHARGES</t>
        </is>
      </c>
      <c r="E46" s="14" t="inlineStr">
        <is>
          <t>Lưu snapshot đơn giá và kết quả đã chốt; tính lại tạm tính có kiểm soát.</t>
        </is>
      </c>
      <c r="F46" s="14" t="inlineStr">
        <is>
          <t>P1</t>
        </is>
      </c>
      <c r="G46" s="24" t="n"/>
      <c r="H46" s="24" t="n"/>
    </row>
    <row r="47" ht="42" customHeight="1" s="81">
      <c r="A47" s="10" t="n">
        <v>43</v>
      </c>
      <c r="B47" s="10" t="inlineStr">
        <is>
          <t>CONTAINER</t>
        </is>
      </c>
      <c r="C47" s="10" t="inlineStr">
        <is>
          <t>TIEN_LUU_GOC</t>
        </is>
      </c>
      <c r="D47" s="10" t="inlineStr">
        <is>
          <t>CHARGES / PAYMENTS / AUDIT_LOG</t>
        </is>
      </c>
      <c r="E47" s="10" t="inlineStr">
        <is>
          <t>Tách phí lưu và giao dịch thu; rà dữ liệu ghi chú trước khi nhập.</t>
        </is>
      </c>
      <c r="F47" s="10" t="inlineStr">
        <is>
          <t>P1</t>
        </is>
      </c>
      <c r="G47" s="24" t="n"/>
      <c r="H47" s="24" t="n"/>
    </row>
    <row r="48" ht="42" customHeight="1" s="81">
      <c r="A48" s="14" t="n">
        <v>44</v>
      </c>
      <c r="B48" s="14" t="inlineStr">
        <is>
          <t>CONTAINER</t>
        </is>
      </c>
      <c r="C48" s="14" t="inlineStr">
        <is>
          <t>TIEN_LUU_DIEU_CHINH</t>
        </is>
      </c>
      <c r="D48" s="14" t="inlineStr">
        <is>
          <t>CHARGES / PAYMENTS / AUDIT_LOG</t>
        </is>
      </c>
      <c r="E48" s="14" t="inlineStr">
        <is>
          <t>Tách phí lưu và giao dịch thu; rà dữ liệu ghi chú trước khi nhập.</t>
        </is>
      </c>
      <c r="F48" s="14" t="inlineStr">
        <is>
          <t>P1</t>
        </is>
      </c>
      <c r="G48" s="24" t="n"/>
      <c r="H48" s="24" t="n"/>
    </row>
    <row r="49" ht="42" customHeight="1" s="81">
      <c r="A49" s="10" t="n">
        <v>45</v>
      </c>
      <c r="B49" s="10" t="inlineStr">
        <is>
          <t>CONTAINER</t>
        </is>
      </c>
      <c r="C49" s="10" t="inlineStr">
        <is>
          <t>TIEN_LUU_PHAI_THU</t>
        </is>
      </c>
      <c r="D49" s="10" t="inlineStr">
        <is>
          <t>CHARGES / PAYMENTS / AUDIT_LOG</t>
        </is>
      </c>
      <c r="E49" s="10" t="inlineStr">
        <is>
          <t>Tách phí lưu và giao dịch thu; rà dữ liệu ghi chú trước khi nhập.</t>
        </is>
      </c>
      <c r="F49" s="10" t="inlineStr">
        <is>
          <t>P0</t>
        </is>
      </c>
      <c r="G49" s="24" t="n"/>
      <c r="H49" s="24" t="n"/>
    </row>
    <row r="50" ht="42" customHeight="1" s="81">
      <c r="A50" s="14" t="n">
        <v>46</v>
      </c>
      <c r="B50" s="14" t="inlineStr">
        <is>
          <t>CONTAINER</t>
        </is>
      </c>
      <c r="C50" s="14" t="inlineStr">
        <is>
          <t>LY_DO_DIEU_CHINH_LUU</t>
        </is>
      </c>
      <c r="D50" s="14" t="inlineStr">
        <is>
          <t>CHARGES / PAYMENTS / AUDIT_LOG</t>
        </is>
      </c>
      <c r="E50" s="14" t="inlineStr">
        <is>
          <t>Tách phí lưu và giao dịch thu; rà dữ liệu ghi chú trước khi nhập.</t>
        </is>
      </c>
      <c r="F50" s="14" t="inlineStr">
        <is>
          <t>P1</t>
        </is>
      </c>
      <c r="G50" s="24" t="n"/>
      <c r="H50" s="24" t="n"/>
    </row>
    <row r="51" ht="42" customHeight="1" s="81">
      <c r="A51" s="10" t="n">
        <v>47</v>
      </c>
      <c r="B51" s="10" t="inlineStr">
        <is>
          <t>CONTAINER</t>
        </is>
      </c>
      <c r="C51" s="10" t="inlineStr">
        <is>
          <t>NGUOI_DIEU_CHINH_LUU</t>
        </is>
      </c>
      <c r="D51" s="10" t="inlineStr">
        <is>
          <t>CHARGES / PAYMENTS / AUDIT_LOG</t>
        </is>
      </c>
      <c r="E51" s="10" t="inlineStr">
        <is>
          <t>Tách phí lưu và giao dịch thu; rà dữ liệu ghi chú trước khi nhập.</t>
        </is>
      </c>
      <c r="F51" s="10" t="inlineStr">
        <is>
          <t>P1</t>
        </is>
      </c>
      <c r="G51" s="24" t="n"/>
      <c r="H51" s="24" t="n"/>
    </row>
    <row r="52" ht="42" customHeight="1" s="81">
      <c r="A52" s="14" t="n">
        <v>48</v>
      </c>
      <c r="B52" s="14" t="inlineStr">
        <is>
          <t>CONTAINER</t>
        </is>
      </c>
      <c r="C52" s="14" t="inlineStr">
        <is>
          <t>GIO_DIEU_CHINH_LUU</t>
        </is>
      </c>
      <c r="D52" s="14" t="inlineStr">
        <is>
          <t>VEHICLE_VISITS</t>
        </is>
      </c>
      <c r="E52" s="14" t="inlineStr">
        <is>
          <t>Giữ thời điểm thực tế, nguồn người thao tác; tách trạng thái tài chính và ra cổng.</t>
        </is>
      </c>
      <c r="F52" s="14" t="inlineStr">
        <is>
          <t>P1</t>
        </is>
      </c>
      <c r="G52" s="24" t="n"/>
      <c r="H52" s="24" t="n"/>
    </row>
    <row r="53" ht="42" customHeight="1" s="81">
      <c r="A53" s="10" t="n">
        <v>49</v>
      </c>
      <c r="B53" s="10" t="inlineStr">
        <is>
          <t>CONTAINER</t>
        </is>
      </c>
      <c r="C53" s="10" t="inlineStr">
        <is>
          <t>TRANG_THAI_THU_LUU</t>
        </is>
      </c>
      <c r="D53" s="10" t="inlineStr">
        <is>
          <t>CHARGES / PAYMENTS / AUDIT_LOG</t>
        </is>
      </c>
      <c r="E53" s="10" t="inlineStr">
        <is>
          <t>Tách phí lưu và giao dịch thu; rà dữ liệu ghi chú trước khi nhập.</t>
        </is>
      </c>
      <c r="F53" s="10" t="inlineStr">
        <is>
          <t>P1</t>
        </is>
      </c>
      <c r="G53" s="24" t="n"/>
      <c r="H53" s="24" t="n"/>
    </row>
    <row r="54" ht="42" customHeight="1" s="81">
      <c r="A54" s="14" t="n">
        <v>50</v>
      </c>
      <c r="B54" s="14" t="inlineStr">
        <is>
          <t>CONTAINER</t>
        </is>
      </c>
      <c r="C54" s="14" t="inlineStr">
        <is>
          <t>HINH_THUC_THU_LUU</t>
        </is>
      </c>
      <c r="D54" s="14" t="inlineStr">
        <is>
          <t>CHARGES / PAYMENTS / AUDIT_LOG</t>
        </is>
      </c>
      <c r="E54" s="14" t="inlineStr">
        <is>
          <t>Tách phí lưu và giao dịch thu; rà dữ liệu ghi chú trước khi nhập.</t>
        </is>
      </c>
      <c r="F54" s="14" t="inlineStr">
        <is>
          <t>P1</t>
        </is>
      </c>
      <c r="G54" s="24" t="n"/>
      <c r="H54" s="24" t="n"/>
    </row>
    <row r="55" ht="42" customHeight="1" s="81">
      <c r="A55" s="10" t="n">
        <v>51</v>
      </c>
      <c r="B55" s="10" t="inlineStr">
        <is>
          <t>CONTAINER</t>
        </is>
      </c>
      <c r="C55" s="10" t="inlineStr">
        <is>
          <t>ANH_THU_LUU</t>
        </is>
      </c>
      <c r="D55" s="10" t="inlineStr">
        <is>
          <t>CHARGES / PAYMENTS / AUDIT_LOG</t>
        </is>
      </c>
      <c r="E55" s="10" t="inlineStr">
        <is>
          <t>Tách phí lưu và giao dịch thu; rà dữ liệu ghi chú trước khi nhập.</t>
        </is>
      </c>
      <c r="F55" s="10" t="inlineStr">
        <is>
          <t>P1</t>
        </is>
      </c>
      <c r="G55" s="24" t="n"/>
      <c r="H55" s="24" t="n"/>
    </row>
    <row r="56" ht="42" customHeight="1" s="81">
      <c r="A56" s="14" t="n">
        <v>52</v>
      </c>
      <c r="B56" s="14" t="inlineStr">
        <is>
          <t>CONTAINER</t>
        </is>
      </c>
      <c r="C56" s="14" t="inlineStr">
        <is>
          <t>GHI_CHU_THU_LUU</t>
        </is>
      </c>
      <c r="D56" s="14" t="inlineStr">
        <is>
          <t>CHARGES / PAYMENTS / AUDIT_LOG</t>
        </is>
      </c>
      <c r="E56" s="14" t="inlineStr">
        <is>
          <t>Tách phí lưu và giao dịch thu; rà dữ liệu ghi chú trước khi nhập.</t>
        </is>
      </c>
      <c r="F56" s="14" t="inlineStr">
        <is>
          <t>P1</t>
        </is>
      </c>
      <c r="G56" s="24" t="n"/>
      <c r="H56" s="24" t="n"/>
    </row>
    <row r="57" ht="42" customHeight="1" s="81">
      <c r="A57" s="10" t="n">
        <v>53</v>
      </c>
      <c r="B57" s="10" t="inlineStr">
        <is>
          <t>CONTAINER</t>
        </is>
      </c>
      <c r="C57" s="10" t="inlineStr">
        <is>
          <t>GIO_THU_LUU</t>
        </is>
      </c>
      <c r="D57" s="10" t="inlineStr">
        <is>
          <t>VEHICLE_VISITS</t>
        </is>
      </c>
      <c r="E57" s="10" t="inlineStr">
        <is>
          <t>Giữ thời điểm thực tế, nguồn người thao tác; tách trạng thái tài chính và ra cổng.</t>
        </is>
      </c>
      <c r="F57" s="10" t="inlineStr">
        <is>
          <t>P1</t>
        </is>
      </c>
      <c r="G57" s="24" t="n"/>
      <c r="H57" s="24" t="n"/>
    </row>
    <row r="58" ht="42" customHeight="1" s="81">
      <c r="A58" s="14" t="n">
        <v>54</v>
      </c>
      <c r="B58" s="14" t="inlineStr">
        <is>
          <t>CONTAINER</t>
        </is>
      </c>
      <c r="C58" s="14" t="inlineStr">
        <is>
          <t>NGUOI_THU_LUU</t>
        </is>
      </c>
      <c r="D58" s="14" t="inlineStr">
        <is>
          <t>CHARGES / PAYMENTS / AUDIT_LOG</t>
        </is>
      </c>
      <c r="E58" s="14" t="inlineStr">
        <is>
          <t>Tách phí lưu và giao dịch thu; rà dữ liệu ghi chú trước khi nhập.</t>
        </is>
      </c>
      <c r="F58" s="14" t="inlineStr">
        <is>
          <t>P1</t>
        </is>
      </c>
      <c r="G58" s="24" t="n"/>
      <c r="H58" s="24" t="n"/>
    </row>
    <row r="59" ht="42" customHeight="1" s="81">
      <c r="A59" s="10" t="n">
        <v>55</v>
      </c>
      <c r="B59" s="10" t="inlineStr">
        <is>
          <t>CONTAINER</t>
        </is>
      </c>
      <c r="C59" s="10" t="inlineStr">
        <is>
          <t>TRANG_THAI_CONTAINER</t>
        </is>
      </c>
      <c r="D59" s="10" t="inlineStr">
        <is>
          <t>CONTAINER / CONTAINER_VISITS</t>
        </is>
      </c>
      <c r="E59" s="10" t="inlineStr">
        <is>
          <t>Lưu lượt container độc lập, liên kết lượt xe; kiểm tra lịch sử nhiều lượt.</t>
        </is>
      </c>
      <c r="F59" s="10" t="inlineStr">
        <is>
          <t>P1</t>
        </is>
      </c>
      <c r="G59" s="24" t="n"/>
      <c r="H59" s="24" t="n"/>
    </row>
    <row r="60" ht="42" customHeight="1" s="81">
      <c r="A60" s="14" t="n">
        <v>56</v>
      </c>
      <c r="B60" s="14" t="inlineStr">
        <is>
          <t>CONTAINER</t>
        </is>
      </c>
      <c r="C60" s="14" t="inlineStr">
        <is>
          <t>GHI_CHU</t>
        </is>
      </c>
      <c r="D60" s="14" t="inlineStr">
        <is>
          <t>Ghi chú nghiệp vụ / audit</t>
        </is>
      </c>
      <c r="E60" s="14" t="inlineStr">
        <is>
          <t>Cần xem ý nghĩa và ánh xạ theo hồ sơ nguồn.</t>
        </is>
      </c>
      <c r="F60" s="14" t="inlineStr">
        <is>
          <t>P1</t>
        </is>
      </c>
      <c r="G60" s="24" t="n"/>
      <c r="H60" s="24" t="n"/>
    </row>
    <row r="61" ht="42" customHeight="1" s="81">
      <c r="A61" s="10" t="n">
        <v>57</v>
      </c>
      <c r="B61" s="10" t="inlineStr">
        <is>
          <t>CONTAINER</t>
        </is>
      </c>
      <c r="C61" s="10" t="inlineStr">
        <is>
          <t>TINH_TRANG_HANG_CONT</t>
        </is>
      </c>
      <c r="D61" s="10" t="inlineStr">
        <is>
          <t>CONTAINER / CONTAINER_VISITS</t>
        </is>
      </c>
      <c r="E61" s="10" t="inlineStr">
        <is>
          <t>Lưu lượt container độc lập, liên kết lượt xe; kiểm tra lịch sử nhiều lượt.</t>
        </is>
      </c>
      <c r="F61" s="10" t="inlineStr">
        <is>
          <t>P1</t>
        </is>
      </c>
      <c r="G61" s="24" t="n"/>
      <c r="H61" s="24" t="n"/>
    </row>
    <row r="62" ht="15.75" customHeight="1" s="81"/>
    <row r="63" ht="15.75" customHeight="1" s="81"/>
    <row r="64" ht="15.75" customHeight="1" s="81"/>
    <row r="65" ht="15.75" customHeight="1" s="81"/>
    <row r="66" ht="15.75" customHeight="1" s="81"/>
    <row r="67" ht="15.75" customHeight="1" s="81"/>
    <row r="68" ht="15.75" customHeight="1" s="81"/>
    <row r="69" ht="15.75" customHeight="1" s="81"/>
    <row r="70" ht="15.75" customHeight="1" s="81"/>
    <row r="71" ht="15.75" customHeight="1" s="81"/>
    <row r="72" ht="15.75" customHeight="1" s="81"/>
    <row r="73" ht="15.75" customHeight="1" s="81"/>
    <row r="74" ht="15.75" customHeight="1" s="81"/>
    <row r="75" ht="15.75" customHeight="1" s="81"/>
    <row r="76" ht="15.75" customHeight="1" s="81"/>
    <row r="77" ht="15.75" customHeight="1" s="81"/>
    <row r="78" ht="15.75" customHeight="1" s="81"/>
    <row r="79" ht="15.75" customHeight="1" s="81"/>
    <row r="80" ht="15.75" customHeight="1" s="81"/>
    <row r="81" ht="15.75" customHeight="1" s="81"/>
    <row r="82" ht="15.75" customHeight="1" s="81"/>
    <row r="83" ht="15.75" customHeight="1" s="81"/>
    <row r="84" ht="15.75" customHeight="1" s="81"/>
    <row r="85" ht="15.75" customHeight="1" s="81"/>
    <row r="86" ht="15.75" customHeight="1" s="81"/>
    <row r="87" ht="15.75" customHeight="1" s="81"/>
    <row r="88" ht="15.75" customHeight="1" s="81"/>
    <row r="89" ht="15.75" customHeight="1" s="81"/>
    <row r="90" ht="15.75" customHeight="1" s="81"/>
    <row r="91" ht="15.75" customHeight="1" s="81"/>
    <row r="92" ht="15.75" customHeight="1" s="81"/>
    <row r="93" ht="15.75" customHeight="1" s="81"/>
    <row r="94" ht="15.75" customHeight="1" s="81"/>
    <row r="95" ht="15.75" customHeight="1" s="81"/>
    <row r="96" ht="15.75" customHeight="1" s="81"/>
    <row r="97" ht="15.75" customHeight="1" s="81"/>
    <row r="98" ht="15.75" customHeight="1" s="81"/>
    <row r="99" ht="15.75" customHeight="1" s="81"/>
    <row r="100" ht="15.75" customHeight="1" s="81"/>
    <row r="101" ht="15.75" customHeight="1" s="81"/>
    <row r="102" ht="15.75" customHeight="1" s="81"/>
    <row r="103" ht="15.75" customHeight="1" s="81"/>
    <row r="104" ht="15.75" customHeight="1" s="81"/>
    <row r="105" ht="15.75" customHeight="1" s="81"/>
    <row r="106" ht="15.75" customHeight="1" s="81"/>
    <row r="107" ht="15.75" customHeight="1" s="81"/>
    <row r="108" ht="15.75" customHeight="1" s="81"/>
    <row r="109" ht="15.75" customHeight="1" s="81"/>
    <row r="110" ht="15.75" customHeight="1" s="81"/>
    <row r="111" ht="15.75" customHeight="1" s="81"/>
    <row r="112" ht="15.75" customHeight="1" s="81"/>
    <row r="113" ht="15.75" customHeight="1" s="81"/>
    <row r="114" ht="15.75" customHeight="1" s="81"/>
    <row r="115" ht="15.75" customHeight="1" s="81"/>
    <row r="116" ht="15.75" customHeight="1" s="81"/>
    <row r="117" ht="15.75" customHeight="1" s="81"/>
    <row r="118" ht="15.75" customHeight="1" s="81"/>
    <row r="119" ht="15.75" customHeight="1" s="81"/>
    <row r="120" ht="15.75" customHeight="1" s="81"/>
    <row r="121" ht="15.75" customHeight="1" s="81"/>
    <row r="122" ht="15.75" customHeight="1" s="81"/>
    <row r="123" ht="15.75" customHeight="1" s="81"/>
    <row r="124" ht="15.75" customHeight="1" s="81"/>
    <row r="125" ht="15.75" customHeight="1" s="81"/>
    <row r="126" ht="15.75" customHeight="1" s="81"/>
    <row r="127" ht="15.75" customHeight="1" s="81"/>
    <row r="128" ht="15.75" customHeight="1" s="81"/>
    <row r="129" ht="15.75" customHeight="1" s="81"/>
    <row r="130" ht="15.75" customHeight="1" s="81"/>
    <row r="131" ht="15.75" customHeight="1" s="81"/>
    <row r="132" ht="15.75" customHeight="1" s="81"/>
    <row r="133" ht="15.75" customHeight="1" s="81"/>
    <row r="134" ht="15.75" customHeight="1" s="81"/>
    <row r="135" ht="15.75" customHeight="1" s="81"/>
    <row r="136" ht="15.75" customHeight="1" s="81"/>
    <row r="137" ht="15.75" customHeight="1" s="81"/>
    <row r="138" ht="15.75" customHeight="1" s="81"/>
    <row r="139" ht="15.75" customHeight="1" s="81"/>
    <row r="140" ht="15.75" customHeight="1" s="81"/>
    <row r="141" ht="15.75" customHeight="1" s="81"/>
    <row r="142" ht="15.75" customHeight="1" s="81"/>
    <row r="143" ht="15.75" customHeight="1" s="81"/>
    <row r="144" ht="15.75" customHeight="1" s="81"/>
    <row r="145" ht="15.75" customHeight="1" s="81"/>
    <row r="146" ht="15.75" customHeight="1" s="81"/>
    <row r="147" ht="15.75" customHeight="1" s="81"/>
    <row r="148" ht="15.75" customHeight="1" s="81"/>
    <row r="149" ht="15.75" customHeight="1" s="81"/>
    <row r="150" ht="15.75" customHeight="1" s="81"/>
    <row r="151" ht="15.75" customHeight="1" s="81"/>
    <row r="152" ht="15.75" customHeight="1" s="81"/>
    <row r="153" ht="15.75" customHeight="1" s="81"/>
    <row r="154" ht="15.75" customHeight="1" s="81"/>
    <row r="155" ht="15.75" customHeight="1" s="81"/>
    <row r="156" ht="15.75" customHeight="1" s="81"/>
    <row r="157" ht="15.75" customHeight="1" s="81"/>
    <row r="158" ht="15.75" customHeight="1" s="81"/>
    <row r="159" ht="15.75" customHeight="1" s="81"/>
    <row r="160" ht="15.75" customHeight="1" s="81"/>
    <row r="161" ht="15.75" customHeight="1" s="81"/>
    <row r="162" ht="15.75" customHeight="1" s="81"/>
    <row r="163" ht="15.75" customHeight="1" s="81"/>
    <row r="164" ht="15.75" customHeight="1" s="81"/>
    <row r="165" ht="15.75" customHeight="1" s="81"/>
    <row r="166" ht="15.75" customHeight="1" s="81"/>
    <row r="167" ht="15.75" customHeight="1" s="81"/>
    <row r="168" ht="15.75" customHeight="1" s="81"/>
    <row r="169" ht="15.75" customHeight="1" s="81"/>
    <row r="170" ht="15.75" customHeight="1" s="81"/>
    <row r="171" ht="15.75" customHeight="1" s="81"/>
    <row r="172" ht="15.75" customHeight="1" s="81"/>
    <row r="173" ht="15.75" customHeight="1" s="81"/>
    <row r="174" ht="15.75" customHeight="1" s="81"/>
    <row r="175" ht="15.75" customHeight="1" s="81"/>
    <row r="176" ht="15.75" customHeight="1" s="81"/>
    <row r="177" ht="15.75" customHeight="1" s="81"/>
    <row r="178" ht="15.75" customHeight="1" s="81"/>
    <row r="179" ht="15.75" customHeight="1" s="81"/>
    <row r="180" ht="15.75" customHeight="1" s="81"/>
    <row r="181" ht="15.75" customHeight="1" s="81"/>
    <row r="182" ht="15.75" customHeight="1" s="81"/>
    <row r="183" ht="15.75" customHeight="1" s="81"/>
    <row r="184" ht="15.75" customHeight="1" s="81"/>
    <row r="185" ht="15.75" customHeight="1" s="81"/>
    <row r="186" ht="15.75" customHeight="1" s="81"/>
    <row r="187" ht="15.75" customHeight="1" s="81"/>
    <row r="188" ht="15.75" customHeight="1" s="81"/>
    <row r="189" ht="15.75" customHeight="1" s="81"/>
    <row r="190" ht="15.75" customHeight="1" s="81"/>
    <row r="191" ht="15.75" customHeight="1" s="81"/>
    <row r="192" ht="15.75" customHeight="1" s="81"/>
    <row r="193" ht="15.75" customHeight="1" s="81"/>
    <row r="194" ht="15.75" customHeight="1" s="81"/>
    <row r="195" ht="15.75" customHeight="1" s="81"/>
    <row r="196" ht="15.75" customHeight="1" s="81"/>
    <row r="197" ht="15.75" customHeight="1" s="81"/>
    <row r="198" ht="15.75" customHeight="1" s="81"/>
    <row r="199" ht="15.75" customHeight="1" s="81"/>
    <row r="200" ht="15.75" customHeight="1" s="81"/>
    <row r="201" ht="15.75" customHeight="1" s="81"/>
    <row r="202" ht="15.75" customHeight="1" s="81"/>
    <row r="203" ht="15.75" customHeight="1" s="81"/>
    <row r="204" ht="15.75" customHeight="1" s="81"/>
    <row r="205" ht="15.75" customHeight="1" s="81"/>
    <row r="206" ht="15.75" customHeight="1" s="81"/>
    <row r="207" ht="15.75" customHeight="1" s="81"/>
    <row r="208" ht="15.75" customHeight="1" s="81"/>
    <row r="209" ht="15.75" customHeight="1" s="81"/>
    <row r="210" ht="15.75" customHeight="1" s="81"/>
    <row r="211" ht="15.75" customHeight="1" s="81"/>
    <row r="212" ht="15.75" customHeight="1" s="81"/>
    <row r="213" ht="15.75" customHeight="1" s="81"/>
    <row r="214" ht="15.75" customHeight="1" s="81"/>
    <row r="215" ht="15.75" customHeight="1" s="81"/>
    <row r="216" ht="15.75" customHeight="1" s="81"/>
    <row r="217" ht="15.75" customHeight="1" s="81"/>
    <row r="218" ht="15.75" customHeight="1" s="81"/>
    <row r="219" ht="15.75" customHeight="1" s="81"/>
    <row r="220" ht="15.75" customHeight="1" s="81"/>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autoFilter ref="$A$4:$H$61"/>
  <mergeCells count="2">
    <mergeCell ref="A2:H2"/>
    <mergeCell ref="A1:H1"/>
  </mergeCells>
  <pageMargins left="0.25" right="0.25" top="0.45" bottom="0.45" header="0" footer="0"/>
  <pageSetup orientation="landscape" paperSize="8" fitToHeight="0"/>
  <headerFooter>
    <oddHeader/>
    <oddFooter>&amp;CPWA Son Cang | Yeu cau nghiep vu | Trang &amp;P / </oddFooter>
    <evenHeader/>
    <evenFooter/>
    <firstHeader/>
    <firstFooter/>
  </headerFooter>
</worksheet>
</file>

<file path=xl/worksheets/sheet8.xml><?xml version="1.0" encoding="utf-8"?>
<worksheet xmlns="http://schemas.openxmlformats.org/spreadsheetml/2006/main">
  <sheetPr>
    <tabColor rgb="FF8091A2"/>
    <outlinePr summaryBelow="1" summaryRight="1"/>
    <pageSetUpPr fitToPage="1"/>
  </sheetPr>
  <dimension ref="A1:I10"/>
  <sheetViews>
    <sheetView showGridLines="0" workbookViewId="0">
      <pane xSplit="2" ySplit="4" topLeftCell="C5" activePane="bottomRight" state="frozen"/>
      <selection pane="topRight" activeCell="C1" sqref="C1"/>
      <selection pane="bottomLeft" activeCell="A5" sqref="A5"/>
      <selection pane="bottomRight" activeCell="C5" sqref="C5"/>
    </sheetView>
  </sheetViews>
  <sheetFormatPr baseColWidth="8" defaultColWidth="14.43" defaultRowHeight="15" customHeight="1"/>
  <cols>
    <col width="9" customWidth="1" style="81" min="1" max="1"/>
    <col width="42" customWidth="1" style="81" min="2" max="2"/>
    <col width="29" customWidth="1" style="81" min="3" max="3"/>
    <col width="31" customWidth="1" style="81" min="4" max="4"/>
    <col width="20" customWidth="1" style="81" min="5" max="5"/>
    <col width="38" customWidth="1" style="81" min="6" max="6"/>
    <col width="35" customWidth="1" style="81" min="7" max="7"/>
    <col width="24" customWidth="1" style="81" min="8" max="8"/>
    <col width="65" customWidth="1" style="81" min="9" max="9"/>
    <col width="8.710000000000001" customWidth="1" style="81" min="10" max="26"/>
  </cols>
  <sheetData>
    <row r="1" ht="36" customHeight="1" s="81">
      <c r="A1" s="82" t="inlineStr">
        <is>
          <t>DANH SÁCH USERS APPSHEET — PHỤC VỤ ÁNH XẠ PHÂN QUYỀN</t>
        </is>
      </c>
    </row>
    <row r="2" ht="33" customHeight="1" s="81">
      <c r="A2" s="83" t="inlineStr">
        <is>
          <t>Giữ nguyên EMAIL / HO_TEN / VAI_TRO / HOAT_DONG người dùng đã cung cấp. Cột mới để Sơn Cảng nhập, không tự cấp thêm quyền.</t>
        </is>
      </c>
    </row>
    <row r="4" ht="33" customHeight="1" s="81">
      <c r="A4" s="5" t="inlineStr">
        <is>
          <t>STT</t>
        </is>
      </c>
      <c r="B4" s="5" t="inlineStr">
        <is>
          <t>EMAIL V1</t>
        </is>
      </c>
      <c r="C4" s="5" t="inlineStr">
        <is>
          <t>HỌ TÊN V1</t>
        </is>
      </c>
      <c r="D4" s="5" t="inlineStr">
        <is>
          <t>VAI_TRÒ V1</t>
        </is>
      </c>
      <c r="E4" s="5" t="inlineStr">
        <is>
          <t>HOẠT ĐỘNG V1</t>
        </is>
      </c>
      <c r="F4" s="5" t="inlineStr">
        <is>
          <t>Bộ phận PWA (điền)</t>
        </is>
      </c>
      <c r="G4" s="5" t="inlineStr">
        <is>
          <t>Vai trò PWA (điền)</t>
        </is>
      </c>
      <c r="H4" s="5" t="inlineStr">
        <is>
          <t>Hoạt động mới (điền)</t>
        </is>
      </c>
      <c r="I4" s="5" t="inlineStr">
        <is>
          <t>Ghi chú xác nhận (điền)</t>
        </is>
      </c>
    </row>
    <row r="5" ht="36.75" customHeight="1" s="81">
      <c r="A5" s="10" t="n">
        <v>1</v>
      </c>
      <c r="B5" s="10" t="inlineStr">
        <is>
          <t>thanhngx12@gmail.com</t>
        </is>
      </c>
      <c r="C5" s="10" t="inlineStr">
        <is>
          <t>Nguyễn Xuân Thành</t>
        </is>
      </c>
      <c r="D5" s="10" t="inlineStr">
        <is>
          <t>Quản trị</t>
        </is>
      </c>
      <c r="E5" s="10" t="b">
        <v>1</v>
      </c>
      <c r="F5" s="24" t="n"/>
      <c r="G5" s="24" t="n"/>
      <c r="H5" s="24" t="n"/>
      <c r="I5" s="24" t="n"/>
    </row>
    <row r="6" ht="36.75" customHeight="1" s="81">
      <c r="A6" s="14" t="n">
        <v>2</v>
      </c>
      <c r="B6" s="14" t="inlineStr">
        <is>
          <t>anninh.talunglogistics@gmail.com</t>
        </is>
      </c>
      <c r="C6" s="14" t="inlineStr">
        <is>
          <t>Nhân viên An ninh 01</t>
        </is>
      </c>
      <c r="D6" s="14" t="inlineStr">
        <is>
          <t>Nhân viên An ninh</t>
        </is>
      </c>
      <c r="E6" s="14" t="b">
        <v>1</v>
      </c>
      <c r="F6" s="24" t="n"/>
      <c r="G6" s="24" t="n"/>
      <c r="H6" s="24" t="n"/>
      <c r="I6" s="24" t="n"/>
    </row>
    <row r="7" ht="36.75" customHeight="1" s="81">
      <c r="A7" s="10" t="n">
        <v>3</v>
      </c>
      <c r="B7" s="10" t="inlineStr">
        <is>
          <t>thaild@talunglogistics.com</t>
        </is>
      </c>
      <c r="C7" s="10" t="inlineStr">
        <is>
          <t>Trưởng bộ phận An ninh</t>
        </is>
      </c>
      <c r="D7" s="10" t="inlineStr">
        <is>
          <t>Trưởng bộ phận An ninh</t>
        </is>
      </c>
      <c r="E7" s="10" t="b">
        <v>1</v>
      </c>
      <c r="F7" s="24" t="n"/>
      <c r="G7" s="24" t="n"/>
      <c r="H7" s="24" t="n"/>
      <c r="I7" s="24" t="n"/>
    </row>
    <row r="8" ht="36.75" customHeight="1" s="81">
      <c r="A8" s="14" t="n">
        <v>4</v>
      </c>
      <c r="B8" s="14" t="inlineStr">
        <is>
          <t>vietnq.talunglogistics@gmail.com</t>
        </is>
      </c>
      <c r="C8" s="14" t="inlineStr">
        <is>
          <t>Nhân viên An ninh 02</t>
        </is>
      </c>
      <c r="D8" s="14" t="inlineStr">
        <is>
          <t>Nhân viên An ninh</t>
        </is>
      </c>
      <c r="E8" s="14" t="b">
        <v>1</v>
      </c>
      <c r="F8" s="24" t="n"/>
      <c r="G8" s="24" t="n"/>
      <c r="H8" s="24" t="n"/>
      <c r="I8" s="24" t="n"/>
    </row>
    <row r="9" ht="36.75" customHeight="1" s="81">
      <c r="A9" s="10" t="n">
        <v>5</v>
      </c>
      <c r="B9" s="10" t="inlineStr">
        <is>
          <t>dieuphoi.talunglogistics@gmail.com</t>
        </is>
      </c>
      <c r="C9" s="10" t="inlineStr">
        <is>
          <t>Điều phối</t>
        </is>
      </c>
      <c r="D9" s="10" t="inlineStr">
        <is>
          <t>Điều phối</t>
        </is>
      </c>
      <c r="E9" s="10" t="b">
        <v>1</v>
      </c>
      <c r="F9" s="24" t="n"/>
      <c r="G9" s="24" t="n"/>
      <c r="H9" s="24" t="n"/>
      <c r="I9" s="24" t="n"/>
    </row>
    <row r="10" ht="36.75" customHeight="1" s="81">
      <c r="A10" s="14" t="n">
        <v>6</v>
      </c>
      <c r="B10" s="14" t="inlineStr">
        <is>
          <t>gate.talunglogistics@gmail.com</t>
        </is>
      </c>
      <c r="C10" s="14" t="inlineStr">
        <is>
          <t>Điều phối</t>
        </is>
      </c>
      <c r="D10" s="14" t="inlineStr">
        <is>
          <t>Điều phối</t>
        </is>
      </c>
      <c r="E10" s="14" t="b">
        <v>1</v>
      </c>
      <c r="F10" s="24" t="n"/>
      <c r="G10" s="24" t="n"/>
      <c r="H10" s="24" t="n"/>
      <c r="I10" s="24" t="n"/>
    </row>
    <row r="21" ht="15.75" customHeight="1" s="81"/>
    <row r="22" ht="15.75" customHeight="1" s="81"/>
    <row r="23" ht="15.75" customHeight="1" s="81"/>
    <row r="24" ht="15.75" customHeight="1" s="81"/>
    <row r="25" ht="15.75" customHeight="1" s="81"/>
    <row r="26" ht="15.75" customHeight="1" s="81"/>
    <row r="27" ht="15.75" customHeight="1" s="81"/>
    <row r="28" ht="15.75" customHeight="1" s="81"/>
    <row r="29" ht="15.75" customHeight="1" s="81"/>
    <row r="30" ht="15.75" customHeight="1" s="81"/>
    <row r="31" ht="15.75" customHeight="1" s="81"/>
    <row r="32" ht="15.75" customHeight="1" s="81"/>
    <row r="33" ht="15.75" customHeight="1" s="81"/>
    <row r="34" ht="15.75" customHeight="1" s="81"/>
    <row r="35" ht="15.75" customHeight="1" s="81"/>
    <row r="36" ht="15.75" customHeight="1" s="81"/>
    <row r="37" ht="15.75" customHeight="1" s="81"/>
    <row r="38" ht="15.75" customHeight="1" s="81"/>
    <row r="39" ht="15.75" customHeight="1" s="81"/>
    <row r="40" ht="15.75" customHeight="1" s="81"/>
    <row r="41" ht="15.75" customHeight="1" s="81"/>
    <row r="42" ht="15.75" customHeight="1" s="81"/>
    <row r="43" ht="15.75" customHeight="1" s="81"/>
    <row r="44" ht="15.75" customHeight="1" s="81"/>
    <row r="45" ht="15.75" customHeight="1" s="81"/>
    <row r="46" ht="15.75" customHeight="1" s="81"/>
    <row r="47" ht="15.75" customHeight="1" s="81"/>
    <row r="48" ht="15.75" customHeight="1" s="81"/>
    <row r="49" ht="15.75" customHeight="1" s="81"/>
    <row r="50" ht="15.75" customHeight="1" s="81"/>
    <row r="51" ht="15.75" customHeight="1" s="81"/>
    <row r="52" ht="15.75" customHeight="1" s="81"/>
    <row r="53" ht="15.75" customHeight="1" s="81"/>
    <row r="54" ht="15.75" customHeight="1" s="81"/>
    <row r="55" ht="15.75" customHeight="1" s="81"/>
    <row r="56" ht="15.75" customHeight="1" s="81"/>
    <row r="57" ht="15.75" customHeight="1" s="81"/>
    <row r="58" ht="15.75" customHeight="1" s="81"/>
    <row r="59" ht="15.75" customHeight="1" s="81"/>
    <row r="60" ht="15.75" customHeight="1" s="81"/>
    <row r="61" ht="15.75" customHeight="1" s="81"/>
    <row r="62" ht="15.75" customHeight="1" s="81"/>
    <row r="63" ht="15.75" customHeight="1" s="81"/>
    <row r="64" ht="15.75" customHeight="1" s="81"/>
    <row r="65" ht="15.75" customHeight="1" s="81"/>
    <row r="66" ht="15.75" customHeight="1" s="81"/>
    <row r="67" ht="15.75" customHeight="1" s="81"/>
    <row r="68" ht="15.75" customHeight="1" s="81"/>
    <row r="69" ht="15.75" customHeight="1" s="81"/>
    <row r="70" ht="15.75" customHeight="1" s="81"/>
    <row r="71" ht="15.75" customHeight="1" s="81"/>
    <row r="72" ht="15.75" customHeight="1" s="81"/>
    <row r="73" ht="15.75" customHeight="1" s="81"/>
    <row r="74" ht="15.75" customHeight="1" s="81"/>
    <row r="75" ht="15.75" customHeight="1" s="81"/>
    <row r="76" ht="15.75" customHeight="1" s="81"/>
    <row r="77" ht="15.75" customHeight="1" s="81"/>
    <row r="78" ht="15.75" customHeight="1" s="81"/>
    <row r="79" ht="15.75" customHeight="1" s="81"/>
    <row r="80" ht="15.75" customHeight="1" s="81"/>
    <row r="81" ht="15.75" customHeight="1" s="81"/>
    <row r="82" ht="15.75" customHeight="1" s="81"/>
    <row r="83" ht="15.75" customHeight="1" s="81"/>
    <row r="84" ht="15.75" customHeight="1" s="81"/>
    <row r="85" ht="15.75" customHeight="1" s="81"/>
    <row r="86" ht="15.75" customHeight="1" s="81"/>
    <row r="87" ht="15.75" customHeight="1" s="81"/>
    <row r="88" ht="15.75" customHeight="1" s="81"/>
    <row r="89" ht="15.75" customHeight="1" s="81"/>
    <row r="90" ht="15.75" customHeight="1" s="81"/>
    <row r="91" ht="15.75" customHeight="1" s="81"/>
    <row r="92" ht="15.75" customHeight="1" s="81"/>
    <row r="93" ht="15.75" customHeight="1" s="81"/>
    <row r="94" ht="15.75" customHeight="1" s="81"/>
    <row r="95" ht="15.75" customHeight="1" s="81"/>
    <row r="96" ht="15.75" customHeight="1" s="81"/>
    <row r="97" ht="15.75" customHeight="1" s="81"/>
    <row r="98" ht="15.75" customHeight="1" s="81"/>
    <row r="99" ht="15.75" customHeight="1" s="81"/>
    <row r="100" ht="15.75" customHeight="1" s="81"/>
    <row r="101" ht="15.75" customHeight="1" s="81"/>
    <row r="102" ht="15.75" customHeight="1" s="81"/>
    <row r="103" ht="15.75" customHeight="1" s="81"/>
    <row r="104" ht="15.75" customHeight="1" s="81"/>
    <row r="105" ht="15.75" customHeight="1" s="81"/>
    <row r="106" ht="15.75" customHeight="1" s="81"/>
    <row r="107" ht="15.75" customHeight="1" s="81"/>
    <row r="108" ht="15.75" customHeight="1" s="81"/>
    <row r="109" ht="15.75" customHeight="1" s="81"/>
    <row r="110" ht="15.75" customHeight="1" s="81"/>
    <row r="111" ht="15.75" customHeight="1" s="81"/>
    <row r="112" ht="15.75" customHeight="1" s="81"/>
    <row r="113" ht="15.75" customHeight="1" s="81"/>
    <row r="114" ht="15.75" customHeight="1" s="81"/>
    <row r="115" ht="15.75" customHeight="1" s="81"/>
    <row r="116" ht="15.75" customHeight="1" s="81"/>
    <row r="117" ht="15.75" customHeight="1" s="81"/>
    <row r="118" ht="15.75" customHeight="1" s="81"/>
    <row r="119" ht="15.75" customHeight="1" s="81"/>
    <row r="120" ht="15.75" customHeight="1" s="81"/>
    <row r="121" ht="15.75" customHeight="1" s="81"/>
    <row r="122" ht="15.75" customHeight="1" s="81"/>
    <row r="123" ht="15.75" customHeight="1" s="81"/>
    <row r="124" ht="15.75" customHeight="1" s="81"/>
    <row r="125" ht="15.75" customHeight="1" s="81"/>
    <row r="126" ht="15.75" customHeight="1" s="81"/>
    <row r="127" ht="15.75" customHeight="1" s="81"/>
    <row r="128" ht="15.75" customHeight="1" s="81"/>
    <row r="129" ht="15.75" customHeight="1" s="81"/>
    <row r="130" ht="15.75" customHeight="1" s="81"/>
    <row r="131" ht="15.75" customHeight="1" s="81"/>
    <row r="132" ht="15.75" customHeight="1" s="81"/>
    <row r="133" ht="15.75" customHeight="1" s="81"/>
    <row r="134" ht="15.75" customHeight="1" s="81"/>
    <row r="135" ht="15.75" customHeight="1" s="81"/>
    <row r="136" ht="15.75" customHeight="1" s="81"/>
    <row r="137" ht="15.75" customHeight="1" s="81"/>
    <row r="138" ht="15.75" customHeight="1" s="81"/>
    <row r="139" ht="15.75" customHeight="1" s="81"/>
    <row r="140" ht="15.75" customHeight="1" s="81"/>
    <row r="141" ht="15.75" customHeight="1" s="81"/>
    <row r="142" ht="15.75" customHeight="1" s="81"/>
    <row r="143" ht="15.75" customHeight="1" s="81"/>
    <row r="144" ht="15.75" customHeight="1" s="81"/>
    <row r="145" ht="15.75" customHeight="1" s="81"/>
    <row r="146" ht="15.75" customHeight="1" s="81"/>
    <row r="147" ht="15.75" customHeight="1" s="81"/>
    <row r="148" ht="15.75" customHeight="1" s="81"/>
    <row r="149" ht="15.75" customHeight="1" s="81"/>
    <row r="150" ht="15.75" customHeight="1" s="81"/>
    <row r="151" ht="15.75" customHeight="1" s="81"/>
    <row r="152" ht="15.75" customHeight="1" s="81"/>
    <row r="153" ht="15.75" customHeight="1" s="81"/>
    <row r="154" ht="15.75" customHeight="1" s="81"/>
    <row r="155" ht="15.75" customHeight="1" s="81"/>
    <row r="156" ht="15.75" customHeight="1" s="81"/>
    <row r="157" ht="15.75" customHeight="1" s="81"/>
    <row r="158" ht="15.75" customHeight="1" s="81"/>
    <row r="159" ht="15.75" customHeight="1" s="81"/>
    <row r="160" ht="15.75" customHeight="1" s="81"/>
    <row r="161" ht="15.75" customHeight="1" s="81"/>
    <row r="162" ht="15.75" customHeight="1" s="81"/>
    <row r="163" ht="15.75" customHeight="1" s="81"/>
    <row r="164" ht="15.75" customHeight="1" s="81"/>
    <row r="165" ht="15.75" customHeight="1" s="81"/>
    <row r="166" ht="15.75" customHeight="1" s="81"/>
    <row r="167" ht="15.75" customHeight="1" s="81"/>
    <row r="168" ht="15.75" customHeight="1" s="81"/>
    <row r="169" ht="15.75" customHeight="1" s="81"/>
    <row r="170" ht="15.75" customHeight="1" s="81"/>
    <row r="171" ht="15.75" customHeight="1" s="81"/>
    <row r="172" ht="15.75" customHeight="1" s="81"/>
    <row r="173" ht="15.75" customHeight="1" s="81"/>
    <row r="174" ht="15.75" customHeight="1" s="81"/>
    <row r="175" ht="15.75" customHeight="1" s="81"/>
    <row r="176" ht="15.75" customHeight="1" s="81"/>
    <row r="177" ht="15.75" customHeight="1" s="81"/>
    <row r="178" ht="15.75" customHeight="1" s="81"/>
    <row r="179" ht="15.75" customHeight="1" s="81"/>
    <row r="180" ht="15.75" customHeight="1" s="81"/>
    <row r="181" ht="15.75" customHeight="1" s="81"/>
    <row r="182" ht="15.75" customHeight="1" s="81"/>
    <row r="183" ht="15.75" customHeight="1" s="81"/>
    <row r="184" ht="15.75" customHeight="1" s="81"/>
    <row r="185" ht="15.75" customHeight="1" s="81"/>
    <row r="186" ht="15.75" customHeight="1" s="81"/>
    <row r="187" ht="15.75" customHeight="1" s="81"/>
    <row r="188" ht="15.75" customHeight="1" s="81"/>
    <row r="189" ht="15.75" customHeight="1" s="81"/>
    <row r="190" ht="15.75" customHeight="1" s="81"/>
    <row r="191" ht="15.75" customHeight="1" s="81"/>
    <row r="192" ht="15.75" customHeight="1" s="81"/>
    <row r="193" ht="15.75" customHeight="1" s="81"/>
    <row r="194" ht="15.75" customHeight="1" s="81"/>
    <row r="195" ht="15.75" customHeight="1" s="81"/>
    <row r="196" ht="15.75" customHeight="1" s="81"/>
    <row r="197" ht="15.75" customHeight="1" s="81"/>
    <row r="198" ht="15.75" customHeight="1" s="81"/>
    <row r="199" ht="15.75" customHeight="1" s="81"/>
    <row r="200" ht="15.75" customHeight="1" s="81"/>
    <row r="201" ht="15.75" customHeight="1" s="81"/>
    <row r="202" ht="15.75" customHeight="1" s="81"/>
    <row r="203" ht="15.75" customHeight="1" s="81"/>
    <row r="204" ht="15.75" customHeight="1" s="81"/>
    <row r="205" ht="15.75" customHeight="1" s="81"/>
    <row r="206" ht="15.75" customHeight="1" s="81"/>
    <row r="207" ht="15.75" customHeight="1" s="81"/>
    <row r="208" ht="15.75" customHeight="1" s="81"/>
    <row r="209" ht="15.75" customHeight="1" s="81"/>
    <row r="210" ht="15.75" customHeight="1" s="81"/>
    <row r="211" ht="15.75" customHeight="1" s="81"/>
    <row r="212" ht="15.75" customHeight="1" s="81"/>
    <row r="213" ht="15.75" customHeight="1" s="81"/>
    <row r="214" ht="15.75" customHeight="1" s="81"/>
    <row r="215" ht="15.75" customHeight="1" s="81"/>
    <row r="216" ht="15.75" customHeight="1" s="81"/>
    <row r="217" ht="15.75" customHeight="1" s="81"/>
    <row r="218" ht="15.75" customHeight="1" s="81"/>
    <row r="219" ht="15.75" customHeight="1" s="81"/>
    <row r="220" ht="15.75" customHeight="1" s="81"/>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autoFilter ref="$A$4:$I$10"/>
  <mergeCells count="2">
    <mergeCell ref="A1:I1"/>
    <mergeCell ref="A2:I2"/>
  </mergeCells>
  <dataValidations count="3">
    <dataValidation sqref="F5:F10" showDropDown="0" showInputMessage="1" showErrorMessage="0" allowBlank="1" prompt="Chọn từ danh sách - Có thể chọn từ danh sách hoặc điền nội dung chi tiết ở cột bên cạnh." type="list">
      <formula1>"An ninh,CCKB,Điều phối,Quản trị,Không sử dụng"</formula1>
    </dataValidation>
    <dataValidation sqref="G5:G10" showDropDown="0" showInputMessage="1" showErrorMessage="0" allowBlank="1" prompt="Chọn từ danh sách - Có thể chọn từ danh sách hoặc điền nội dung chi tiết ở cột bên cạnh." type="list">
      <formula1>"NV An ninh,TBP An ninh,NV CCKB,TBP CCKB,NV Điều phối,TBP Điều phối,Quản trị,Không sử dụng"</formula1>
    </dataValidation>
    <dataValidation sqref="H5:H10" showDropDown="0" showInputMessage="1" showErrorMessage="0" allowBlank="1" prompt="Chọn từ danh sách - Có thể chọn từ danh sách hoặc điền nội dung chi tiết ở cột bên cạnh." type="list">
      <formula1>"Đang hoạt động,Ngừng sử dụng,Chờ xác nhận"</formula1>
    </dataValidation>
  </dataValidations>
  <pageMargins left="0.25" right="0.25" top="0.45" bottom="0.45" header="0" footer="0"/>
  <pageSetup orientation="landscape" paperSize="8" fitToHeight="0"/>
  <headerFooter>
    <oddHeader/>
    <oddFooter>&amp;CPWA Son Cang | Yeu cau nghiep vu | Trang &amp;P / </oddFooter>
    <evenHeader/>
    <evenFooter/>
    <firstHeader/>
    <firstFooter/>
  </headerFooter>
</worksheet>
</file>

<file path=xl/worksheets/sheet9.xml><?xml version="1.0" encoding="utf-8"?>
<worksheet xmlns="http://schemas.openxmlformats.org/spreadsheetml/2006/main">
  <sheetPr>
    <tabColor rgb="FF8091A2"/>
    <outlinePr summaryBelow="1" summaryRight="1"/>
    <pageSetUpPr fitToPage="1"/>
  </sheetPr>
  <dimension ref="A1:I11"/>
  <sheetViews>
    <sheetView showGridLines="0" workbookViewId="0">
      <pane xSplit="3" ySplit="4" topLeftCell="D5" activePane="bottomRight" state="frozen"/>
      <selection pane="topRight" activeCell="D1" sqref="D1"/>
      <selection pane="bottomLeft" activeCell="A5" sqref="A5"/>
      <selection pane="bottomRight" activeCell="D5" sqref="D5"/>
    </sheetView>
  </sheetViews>
  <sheetFormatPr baseColWidth="8" defaultColWidth="14.43" defaultRowHeight="15" customHeight="1"/>
  <cols>
    <col width="8" customWidth="1" style="81" min="1" max="1"/>
    <col width="19" customWidth="1" style="81" min="2" max="2"/>
    <col width="31" customWidth="1" style="81" min="3" max="3"/>
    <col width="82" customWidth="1" style="81" min="4" max="4"/>
    <col width="78" customWidth="1" style="81" min="5" max="5"/>
    <col width="57" customWidth="1" style="81" min="6" max="6"/>
    <col width="34" customWidth="1" style="81" min="7" max="7"/>
    <col width="75" customWidth="1" style="81" min="8" max="8"/>
    <col width="22" customWidth="1" style="81" min="9" max="9"/>
    <col width="8.710000000000001" customWidth="1" style="81" min="10" max="26"/>
  </cols>
  <sheetData>
    <row r="1" ht="36" customHeight="1" s="81">
      <c r="A1" s="82" t="inlineStr">
        <is>
          <t>CÁC MẪU DỮ LIỆU CŨ CẦN ĐỐI CHIẾU TRƯỚC CHUYỂN ĐỔI</t>
        </is>
      </c>
    </row>
    <row r="2" ht="33" customHeight="1" s="81">
      <c r="A2" s="83" t="inlineStr">
        <is>
          <t>Dấu hiệu chưa nhất quán chỉ là mục cần xác minh, KHÔNG tự kết luận đã thu thiếu hoặc nhập sai. Không tự sửa chứng từ gốc.</t>
        </is>
      </c>
    </row>
    <row r="4" ht="33" customHeight="1" s="81">
      <c r="A4" s="5" t="inlineStr">
        <is>
          <t>STT</t>
        </is>
      </c>
      <c r="B4" s="5" t="inlineStr">
        <is>
          <t>Đối tượng</t>
        </is>
      </c>
      <c r="C4" s="5" t="inlineStr">
        <is>
          <t>ID / Số container</t>
        </is>
      </c>
      <c r="D4" s="5" t="inlineStr">
        <is>
          <t>Dữ liệu trong bảng</t>
        </is>
      </c>
      <c r="E4" s="5" t="inlineStr">
        <is>
          <t>Dấu hiệu cần kiểm tra</t>
        </is>
      </c>
      <c r="F4" s="5" t="inlineStr">
        <is>
          <t>Tác động tiềm ẩn</t>
        </is>
      </c>
      <c r="G4" s="5" t="inlineStr">
        <is>
          <t>Bộ phận đối chiếu</t>
        </is>
      </c>
      <c r="H4" s="5" t="inlineStr">
        <is>
          <t>Kết luận đối chiếu (điền)</t>
        </is>
      </c>
      <c r="I4" s="5" t="inlineStr">
        <is>
          <t>Trạng thái</t>
        </is>
      </c>
    </row>
    <row r="5" ht="58.5" customHeight="1" s="81">
      <c r="A5" s="10" t="n">
        <v>1</v>
      </c>
      <c r="B5" s="10" t="inlineStr">
        <is>
          <t>CONTAINER</t>
        </is>
      </c>
      <c r="C5" s="10" t="inlineStr">
        <is>
          <t>CCLU8578039</t>
        </is>
      </c>
      <c r="D5" s="10" t="inlineStr">
        <is>
          <t>TIEN_LUU_PHAI_THU = 1.000.000đ; GHI_CHU_THU_LUU = "900k"</t>
        </is>
      </c>
      <c r="E5" s="10" t="inlineStr">
        <is>
          <t>Cần xác nhận số tiền thực nhận là 900k hay 1 triệu; không suy ra từ trạng thái Đã thu.</t>
        </is>
      </c>
      <c r="F5" s="10" t="inlineStr">
        <is>
          <t>Tránh xuất sai doanh thu/công nợ khi chuyển.</t>
        </is>
      </c>
      <c r="G5" s="10" t="inlineStr">
        <is>
          <t>CCKB + Kế toán</t>
        </is>
      </c>
      <c r="H5" s="24" t="n"/>
      <c r="I5" s="24" t="inlineStr">
        <is>
          <t>Chưa đối soát</t>
        </is>
      </c>
    </row>
    <row r="6" ht="58.5" customHeight="1" s="81">
      <c r="A6" s="14" t="n">
        <v>2</v>
      </c>
      <c r="B6" s="14" t="inlineStr">
        <is>
          <t>CONTAINER</t>
        </is>
      </c>
      <c r="C6" s="14" t="inlineStr">
        <is>
          <t>KKFU2636586</t>
        </is>
      </c>
      <c r="D6" s="14" t="inlineStr">
        <is>
          <t>TIEN_LUU_PHAI_THU = 2.900.000đ; ghi chú 2.700.000đ; GIO_CONT_RA 26/09/2026</t>
        </is>
      </c>
      <c r="E6" s="14" t="inlineStr">
        <is>
          <t>Ghi chú nêu "ra 20:20 23/9" khác ngày ra trong cột; cần đối chiếu vé và tiền nhận.</t>
        </is>
      </c>
      <c r="F6" s="14" t="inlineStr">
        <is>
          <t>Sai mốc ra có thể thay đổi số đêm và phí.</t>
        </is>
      </c>
      <c r="G6" s="14" t="inlineStr">
        <is>
          <t>An ninh + CCKB + Kế toán</t>
        </is>
      </c>
      <c r="H6" s="24" t="n"/>
      <c r="I6" s="24" t="inlineStr">
        <is>
          <t>Chưa đối soát</t>
        </is>
      </c>
    </row>
    <row r="7" ht="58.5" customHeight="1" s="81">
      <c r="A7" s="10" t="n">
        <v>3</v>
      </c>
      <c r="B7" s="10" t="inlineStr">
        <is>
          <t>CONTAINER</t>
        </is>
      </c>
      <c r="C7" s="10" t="inlineStr">
        <is>
          <t>WHLU7751030</t>
        </is>
      </c>
      <c r="D7" s="10" t="inlineStr">
        <is>
          <t>TIEN_LUU_PHAI_THU = 900.000đ; ghi chú "Hùng thu 800k k ghi sổ"</t>
        </is>
      </c>
      <c r="E7" s="10" t="inlineStr">
        <is>
          <t>Cần kiểm tra tiền đã thu nhưng chưa vào sổ hay mới là ghi chú ngoài hệ thống.</t>
        </is>
      </c>
      <c r="F7" s="10" t="inlineStr">
        <is>
          <t>Tránh ghi nhận trùng hoặc bỏ sót khoản thu.</t>
        </is>
      </c>
      <c r="G7" s="10" t="inlineStr">
        <is>
          <t>CCKB + Kế toán</t>
        </is>
      </c>
      <c r="H7" s="24" t="n"/>
      <c r="I7" s="24" t="inlineStr">
        <is>
          <t>Chưa đối soát</t>
        </is>
      </c>
    </row>
    <row r="8" ht="58.5" customHeight="1" s="81">
      <c r="A8" s="14" t="n">
        <v>4</v>
      </c>
      <c r="B8" s="14" t="inlineStr">
        <is>
          <t>VEHICLE</t>
        </is>
      </c>
      <c r="C8" s="14" t="inlineStr">
        <is>
          <t>15C09113 / ID 43da6325</t>
        </is>
      </c>
      <c r="D8" s="14" t="inlineStr">
        <is>
          <t>SO_CONTAINER_VAO = TDRU0708408; SO_CONTAINER_RA = TDRU0708407</t>
        </is>
      </c>
      <c r="E8" s="14" t="inlineStr">
        <is>
          <t>Số container vào và ra lệch 1 chữ số; cần xác nhận thay cont thực tế hay nhập nhầm.</t>
        </is>
      </c>
      <c r="F8" s="14" t="inlineStr">
        <is>
          <t>Ảnh hưởng liên kết lượt cont và thu phí.</t>
        </is>
      </c>
      <c r="G8" s="14" t="inlineStr">
        <is>
          <t>An ninh + Điều phối</t>
        </is>
      </c>
      <c r="H8" s="24" t="n"/>
      <c r="I8" s="24" t="inlineStr">
        <is>
          <t>Chưa đối soát</t>
        </is>
      </c>
    </row>
    <row r="9" ht="58.5" customHeight="1" s="81">
      <c r="A9" s="10" t="n">
        <v>5</v>
      </c>
      <c r="B9" s="10" t="inlineStr">
        <is>
          <t>VEHICLE</t>
        </is>
      </c>
      <c r="C9" s="10" t="inlineStr">
        <is>
          <t>ID 71562ccf</t>
        </is>
      </c>
      <c r="D9" s="10" t="inlineStr">
        <is>
          <t>XE_BO_3_BANH, BIEN_SO_XE để trống</t>
        </is>
      </c>
      <c r="E9" s="10" t="inlineStr">
        <is>
          <t>Dữ liệu chứng minh cần xử lý xe không có biển số thật.</t>
        </is>
      </c>
      <c r="F9" s="10" t="inlineStr">
        <is>
          <t>PWA không bắt buộc biển số và cần mã lượt độc lập.</t>
        </is>
      </c>
      <c r="G9" s="10" t="inlineStr">
        <is>
          <t>An ninh</t>
        </is>
      </c>
      <c r="H9" s="24" t="n"/>
      <c r="I9" s="24" t="inlineStr">
        <is>
          <t>Chưa đối soát</t>
        </is>
      </c>
    </row>
    <row r="10" ht="58.5" customHeight="1" s="81">
      <c r="A10" s="14" t="n">
        <v>6</v>
      </c>
      <c r="B10" s="14" t="inlineStr">
        <is>
          <t>VEHICLE</t>
        </is>
      </c>
      <c r="C10" s="14" t="inlineStr">
        <is>
          <t>ID ee310485, 2beb741a</t>
        </is>
      </c>
      <c r="D10" s="14" t="inlineStr">
        <is>
          <t>XE_BO_3_BANH, BIEN_SO_XE là "BO BA BANH" / "XE BA BANH"</t>
        </is>
      </c>
      <c r="E10" s="14" t="inlineStr">
        <is>
          <t>Bản ghi loại xe chứa mô tả thay biển số; khi chuyển cần chuẩn hóa rỗng, nhưng chỉ sau kiểm tra.</t>
        </is>
      </c>
      <c r="F10" s="14" t="inlineStr">
        <is>
          <t>Tránh coi chữ tự do là biển số phương tiện.</t>
        </is>
      </c>
      <c r="G10" s="14" t="inlineStr">
        <is>
          <t>An ninh + CNTT</t>
        </is>
      </c>
      <c r="H10" s="24" t="n"/>
      <c r="I10" s="24" t="inlineStr">
        <is>
          <t>Chưa đối soát</t>
        </is>
      </c>
    </row>
    <row r="11" ht="58.5" customHeight="1" s="81">
      <c r="A11" s="10" t="n">
        <v>7</v>
      </c>
      <c r="B11" s="10" t="inlineStr">
        <is>
          <t>VEHICLE</t>
        </is>
      </c>
      <c r="C11" s="10" t="inlineStr">
        <is>
          <t>Các dòng ghi "Khắc phục đồng bộ"</t>
        </is>
      </c>
      <c r="D11" s="10" t="inlineStr">
        <is>
          <t>Xe ra đã được cập nhật giờ ra sau dữ liệu container</t>
        </is>
      </c>
      <c r="E11" s="10" t="inlineStr">
        <is>
          <t>Cần phát hiện xe và cont đã ra thực tế nhưng không đồng nhất thời gian/bản ghi.</t>
        </is>
      </c>
      <c r="F11" s="10" t="inlineStr">
        <is>
          <t>PWA phải khóa giao dịch ra xe/cont đồng bộ.</t>
        </is>
      </c>
      <c r="G11" s="10" t="inlineStr">
        <is>
          <t>An ninh + CNTT</t>
        </is>
      </c>
      <c r="H11" s="24" t="n"/>
      <c r="I11" s="24" t="inlineStr">
        <is>
          <t>Chưa đối soát</t>
        </is>
      </c>
    </row>
    <row r="21" ht="15.75" customHeight="1" s="81"/>
    <row r="22" ht="15.75" customHeight="1" s="81"/>
    <row r="23" ht="15.75" customHeight="1" s="81"/>
    <row r="24" ht="15.75" customHeight="1" s="81"/>
    <row r="25" ht="15.75" customHeight="1" s="81"/>
    <row r="26" ht="15.75" customHeight="1" s="81"/>
    <row r="27" ht="15.75" customHeight="1" s="81"/>
    <row r="28" ht="15.75" customHeight="1" s="81"/>
    <row r="29" ht="15.75" customHeight="1" s="81"/>
    <row r="30" ht="15.75" customHeight="1" s="81"/>
    <row r="31" ht="15.75" customHeight="1" s="81"/>
    <row r="32" ht="15.75" customHeight="1" s="81"/>
    <row r="33" ht="15.75" customHeight="1" s="81"/>
    <row r="34" ht="15.75" customHeight="1" s="81"/>
    <row r="35" ht="15.75" customHeight="1" s="81"/>
    <row r="36" ht="15.75" customHeight="1" s="81"/>
    <row r="37" ht="15.75" customHeight="1" s="81"/>
    <row r="38" ht="15.75" customHeight="1" s="81"/>
    <row r="39" ht="15.75" customHeight="1" s="81"/>
    <row r="40" ht="15.75" customHeight="1" s="81"/>
    <row r="41" ht="15.75" customHeight="1" s="81"/>
    <row r="42" ht="15.75" customHeight="1" s="81"/>
    <row r="43" ht="15.75" customHeight="1" s="81"/>
    <row r="44" ht="15.75" customHeight="1" s="81"/>
    <row r="45" ht="15.75" customHeight="1" s="81"/>
    <row r="46" ht="15.75" customHeight="1" s="81"/>
    <row r="47" ht="15.75" customHeight="1" s="81"/>
    <row r="48" ht="15.75" customHeight="1" s="81"/>
    <row r="49" ht="15.75" customHeight="1" s="81"/>
    <row r="50" ht="15.75" customHeight="1" s="81"/>
    <row r="51" ht="15.75" customHeight="1" s="81"/>
    <row r="52" ht="15.75" customHeight="1" s="81"/>
    <row r="53" ht="15.75" customHeight="1" s="81"/>
    <row r="54" ht="15.75" customHeight="1" s="81"/>
    <row r="55" ht="15.75" customHeight="1" s="81"/>
    <row r="56" ht="15.75" customHeight="1" s="81"/>
    <row r="57" ht="15.75" customHeight="1" s="81"/>
    <row r="58" ht="15.75" customHeight="1" s="81"/>
    <row r="59" ht="15.75" customHeight="1" s="81"/>
    <row r="60" ht="15.75" customHeight="1" s="81"/>
    <row r="61" ht="15.75" customHeight="1" s="81"/>
    <row r="62" ht="15.75" customHeight="1" s="81"/>
    <row r="63" ht="15.75" customHeight="1" s="81"/>
    <row r="64" ht="15.75" customHeight="1" s="81"/>
    <row r="65" ht="15.75" customHeight="1" s="81"/>
    <row r="66" ht="15.75" customHeight="1" s="81"/>
    <row r="67" ht="15.75" customHeight="1" s="81"/>
    <row r="68" ht="15.75" customHeight="1" s="81"/>
    <row r="69" ht="15.75" customHeight="1" s="81"/>
    <row r="70" ht="15.75" customHeight="1" s="81"/>
    <row r="71" ht="15.75" customHeight="1" s="81"/>
    <row r="72" ht="15.75" customHeight="1" s="81"/>
    <row r="73" ht="15.75" customHeight="1" s="81"/>
    <row r="74" ht="15.75" customHeight="1" s="81"/>
    <row r="75" ht="15.75" customHeight="1" s="81"/>
    <row r="76" ht="15.75" customHeight="1" s="81"/>
    <row r="77" ht="15.75" customHeight="1" s="81"/>
    <row r="78" ht="15.75" customHeight="1" s="81"/>
    <row r="79" ht="15.75" customHeight="1" s="81"/>
    <row r="80" ht="15.75" customHeight="1" s="81"/>
    <row r="81" ht="15.75" customHeight="1" s="81"/>
    <row r="82" ht="15.75" customHeight="1" s="81"/>
    <row r="83" ht="15.75" customHeight="1" s="81"/>
    <row r="84" ht="15.75" customHeight="1" s="81"/>
    <row r="85" ht="15.75" customHeight="1" s="81"/>
    <row r="86" ht="15.75" customHeight="1" s="81"/>
    <row r="87" ht="15.75" customHeight="1" s="81"/>
    <row r="88" ht="15.75" customHeight="1" s="81"/>
    <row r="89" ht="15.75" customHeight="1" s="81"/>
    <row r="90" ht="15.75" customHeight="1" s="81"/>
    <row r="91" ht="15.75" customHeight="1" s="81"/>
    <row r="92" ht="15.75" customHeight="1" s="81"/>
    <row r="93" ht="15.75" customHeight="1" s="81"/>
    <row r="94" ht="15.75" customHeight="1" s="81"/>
    <row r="95" ht="15.75" customHeight="1" s="81"/>
    <row r="96" ht="15.75" customHeight="1" s="81"/>
    <row r="97" ht="15.75" customHeight="1" s="81"/>
    <row r="98" ht="15.75" customHeight="1" s="81"/>
    <row r="99" ht="15.75" customHeight="1" s="81"/>
    <row r="100" ht="15.75" customHeight="1" s="81"/>
    <row r="101" ht="15.75" customHeight="1" s="81"/>
    <row r="102" ht="15.75" customHeight="1" s="81"/>
    <row r="103" ht="15.75" customHeight="1" s="81"/>
    <row r="104" ht="15.75" customHeight="1" s="81"/>
    <row r="105" ht="15.75" customHeight="1" s="81"/>
    <row r="106" ht="15.75" customHeight="1" s="81"/>
    <row r="107" ht="15.75" customHeight="1" s="81"/>
    <row r="108" ht="15.75" customHeight="1" s="81"/>
    <row r="109" ht="15.75" customHeight="1" s="81"/>
    <row r="110" ht="15.75" customHeight="1" s="81"/>
    <row r="111" ht="15.75" customHeight="1" s="81"/>
    <row r="112" ht="15.75" customHeight="1" s="81"/>
    <row r="113" ht="15.75" customHeight="1" s="81"/>
    <row r="114" ht="15.75" customHeight="1" s="81"/>
    <row r="115" ht="15.75" customHeight="1" s="81"/>
    <row r="116" ht="15.75" customHeight="1" s="81"/>
    <row r="117" ht="15.75" customHeight="1" s="81"/>
    <row r="118" ht="15.75" customHeight="1" s="81"/>
    <row r="119" ht="15.75" customHeight="1" s="81"/>
    <row r="120" ht="15.75" customHeight="1" s="81"/>
    <row r="121" ht="15.75" customHeight="1" s="81"/>
    <row r="122" ht="15.75" customHeight="1" s="81"/>
    <row r="123" ht="15.75" customHeight="1" s="81"/>
    <row r="124" ht="15.75" customHeight="1" s="81"/>
    <row r="125" ht="15.75" customHeight="1" s="81"/>
    <row r="126" ht="15.75" customHeight="1" s="81"/>
    <row r="127" ht="15.75" customHeight="1" s="81"/>
    <row r="128" ht="15.75" customHeight="1" s="81"/>
    <row r="129" ht="15.75" customHeight="1" s="81"/>
    <row r="130" ht="15.75" customHeight="1" s="81"/>
    <row r="131" ht="15.75" customHeight="1" s="81"/>
    <row r="132" ht="15.75" customHeight="1" s="81"/>
    <row r="133" ht="15.75" customHeight="1" s="81"/>
    <row r="134" ht="15.75" customHeight="1" s="81"/>
    <row r="135" ht="15.75" customHeight="1" s="81"/>
    <row r="136" ht="15.75" customHeight="1" s="81"/>
    <row r="137" ht="15.75" customHeight="1" s="81"/>
    <row r="138" ht="15.75" customHeight="1" s="81"/>
    <row r="139" ht="15.75" customHeight="1" s="81"/>
    <row r="140" ht="15.75" customHeight="1" s="81"/>
    <row r="141" ht="15.75" customHeight="1" s="81"/>
    <row r="142" ht="15.75" customHeight="1" s="81"/>
    <row r="143" ht="15.75" customHeight="1" s="81"/>
    <row r="144" ht="15.75" customHeight="1" s="81"/>
    <row r="145" ht="15.75" customHeight="1" s="81"/>
    <row r="146" ht="15.75" customHeight="1" s="81"/>
    <row r="147" ht="15.75" customHeight="1" s="81"/>
    <row r="148" ht="15.75" customHeight="1" s="81"/>
    <row r="149" ht="15.75" customHeight="1" s="81"/>
    <row r="150" ht="15.75" customHeight="1" s="81"/>
    <row r="151" ht="15.75" customHeight="1" s="81"/>
    <row r="152" ht="15.75" customHeight="1" s="81"/>
    <row r="153" ht="15.75" customHeight="1" s="81"/>
    <row r="154" ht="15.75" customHeight="1" s="81"/>
    <row r="155" ht="15.75" customHeight="1" s="81"/>
    <row r="156" ht="15.75" customHeight="1" s="81"/>
    <row r="157" ht="15.75" customHeight="1" s="81"/>
    <row r="158" ht="15.75" customHeight="1" s="81"/>
    <row r="159" ht="15.75" customHeight="1" s="81"/>
    <row r="160" ht="15.75" customHeight="1" s="81"/>
    <row r="161" ht="15.75" customHeight="1" s="81"/>
    <row r="162" ht="15.75" customHeight="1" s="81"/>
    <row r="163" ht="15.75" customHeight="1" s="81"/>
    <row r="164" ht="15.75" customHeight="1" s="81"/>
    <row r="165" ht="15.75" customHeight="1" s="81"/>
    <row r="166" ht="15.75" customHeight="1" s="81"/>
    <row r="167" ht="15.75" customHeight="1" s="81"/>
    <row r="168" ht="15.75" customHeight="1" s="81"/>
    <row r="169" ht="15.75" customHeight="1" s="81"/>
    <row r="170" ht="15.75" customHeight="1" s="81"/>
    <row r="171" ht="15.75" customHeight="1" s="81"/>
    <row r="172" ht="15.75" customHeight="1" s="81"/>
    <row r="173" ht="15.75" customHeight="1" s="81"/>
    <row r="174" ht="15.75" customHeight="1" s="81"/>
    <row r="175" ht="15.75" customHeight="1" s="81"/>
    <row r="176" ht="15.75" customHeight="1" s="81"/>
    <row r="177" ht="15.75" customHeight="1" s="81"/>
    <row r="178" ht="15.75" customHeight="1" s="81"/>
    <row r="179" ht="15.75" customHeight="1" s="81"/>
    <row r="180" ht="15.75" customHeight="1" s="81"/>
    <row r="181" ht="15.75" customHeight="1" s="81"/>
    <row r="182" ht="15.75" customHeight="1" s="81"/>
    <row r="183" ht="15.75" customHeight="1" s="81"/>
    <row r="184" ht="15.75" customHeight="1" s="81"/>
    <row r="185" ht="15.75" customHeight="1" s="81"/>
    <row r="186" ht="15.75" customHeight="1" s="81"/>
    <row r="187" ht="15.75" customHeight="1" s="81"/>
    <row r="188" ht="15.75" customHeight="1" s="81"/>
    <row r="189" ht="15.75" customHeight="1" s="81"/>
    <row r="190" ht="15.75" customHeight="1" s="81"/>
    <row r="191" ht="15.75" customHeight="1" s="81"/>
    <row r="192" ht="15.75" customHeight="1" s="81"/>
    <row r="193" ht="15.75" customHeight="1" s="81"/>
    <row r="194" ht="15.75" customHeight="1" s="81"/>
    <row r="195" ht="15.75" customHeight="1" s="81"/>
    <row r="196" ht="15.75" customHeight="1" s="81"/>
    <row r="197" ht="15.75" customHeight="1" s="81"/>
    <row r="198" ht="15.75" customHeight="1" s="81"/>
    <row r="199" ht="15.75" customHeight="1" s="81"/>
    <row r="200" ht="15.75" customHeight="1" s="81"/>
    <row r="201" ht="15.75" customHeight="1" s="81"/>
    <row r="202" ht="15.75" customHeight="1" s="81"/>
    <row r="203" ht="15.75" customHeight="1" s="81"/>
    <row r="204" ht="15.75" customHeight="1" s="81"/>
    <row r="205" ht="15.75" customHeight="1" s="81"/>
    <row r="206" ht="15.75" customHeight="1" s="81"/>
    <row r="207" ht="15.75" customHeight="1" s="81"/>
    <row r="208" ht="15.75" customHeight="1" s="81"/>
    <row r="209" ht="15.75" customHeight="1" s="81"/>
    <row r="210" ht="15.75" customHeight="1" s="81"/>
    <row r="211" ht="15.75" customHeight="1" s="81"/>
    <row r="212" ht="15.75" customHeight="1" s="81"/>
    <row r="213" ht="15.75" customHeight="1" s="81"/>
    <row r="214" ht="15.75" customHeight="1" s="81"/>
    <row r="215" ht="15.75" customHeight="1" s="81"/>
    <row r="216" ht="15.75" customHeight="1" s="81"/>
    <row r="217" ht="15.75" customHeight="1" s="81"/>
    <row r="218" ht="15.75" customHeight="1" s="81"/>
    <row r="219" ht="15.75" customHeight="1" s="81"/>
    <row r="220" ht="15.75" customHeight="1" s="81"/>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autoFilter ref="$A$4:$I$11"/>
  <mergeCells count="2">
    <mergeCell ref="A1:I1"/>
    <mergeCell ref="A2:I2"/>
  </mergeCells>
  <dataValidations count="1">
    <dataValidation sqref="I5:I11" showDropDown="0" showInputMessage="1" showErrorMessage="0" allowBlank="1" prompt="Chọn từ danh sách - Có thể chọn từ danh sách hoặc điền nội dung chi tiết ở cột bên cạnh." type="list">
      <formula1>"Chưa đối soát,Đã xác nhận,Không có vấn đề,Cần xử lý"</formula1>
    </dataValidation>
  </dataValidations>
  <pageMargins left="0.25" right="0.25" top="0.45" bottom="0.45" header="0" footer="0"/>
  <pageSetup orientation="landscape" paperSize="8" fitToHeight="0"/>
  <headerFooter>
    <oddHeader/>
    <oddFooter>&amp;CPWA Son Cang | Yeu cau nghiep vu | Trang &amp;P / </oddFooter>
    <evenHeader/>
    <evenFooter/>
    <firstHeader/>
    <firstFooter/>
  </headerFooter>
</worksheet>
</file>

<file path=xl/worksheets/sheet10.xml><?xml version="1.0" encoding="utf-8"?>
<worksheet xmlns="http://schemas.openxmlformats.org/spreadsheetml/2006/main">
  <sheetPr>
    <tabColor rgb="FF8091A2"/>
    <outlinePr summaryBelow="1" summaryRight="1"/>
    <pageSetUpPr fitToPage="1"/>
  </sheetPr>
  <dimension ref="A1:H21"/>
  <sheetViews>
    <sheetView showGridLines="0" workbookViewId="0">
      <pane xSplit="3" ySplit="8" topLeftCell="D9" activePane="bottomRight" state="frozen"/>
      <selection pane="topRight" activeCell="D1" sqref="D1"/>
      <selection pane="bottomLeft" activeCell="A9" sqref="A9"/>
      <selection pane="bottomRight" activeCell="D9" sqref="D9"/>
    </sheetView>
  </sheetViews>
  <sheetFormatPr baseColWidth="8" defaultColWidth="14.43" defaultRowHeight="15" customHeight="1"/>
  <cols>
    <col width="14" customWidth="1" style="81" min="1" max="1"/>
    <col width="25" customWidth="1" style="81" min="2" max="3"/>
    <col width="23" customWidth="1" style="81" min="4" max="5"/>
    <col width="22" customWidth="1" style="81" min="6" max="6"/>
    <col width="23" customWidth="1" style="81" min="7" max="7"/>
    <col width="26" customWidth="1" style="81" min="8" max="8"/>
    <col width="8.710000000000001" customWidth="1" style="81" min="9" max="26"/>
  </cols>
  <sheetData>
    <row r="1" ht="36" customHeight="1" s="81">
      <c r="A1" s="82" t="inlineStr">
        <is>
          <t>MÔ PHỎNG QUY TẮC TIỀN ĐIỆN — LÀM TRÒN 15 PHÚT</t>
        </is>
      </c>
    </row>
    <row r="2" ht="33" customHeight="1" s="81">
      <c r="A2" s="83" t="inlineStr">
        <is>
          <t>Thay đổi đơn giá và bước làm tròn trong ô vàng để kiểm thử. Đây là bản mô phỏng; không phải bảng thu tiền thực tế.</t>
        </is>
      </c>
    </row>
    <row r="4">
      <c r="A4" s="54" t="inlineStr">
        <is>
          <t>Đơn giá (VND/giờ)</t>
        </is>
      </c>
      <c r="B4" s="55" t="n">
        <v>100000</v>
      </c>
    </row>
    <row r="5">
      <c r="A5" s="54" t="inlineStr">
        <is>
          <t>Bước làm tròn (phút)</t>
        </is>
      </c>
      <c r="B5" s="56" t="n">
        <v>15</v>
      </c>
    </row>
    <row r="8" ht="33" customHeight="1" s="81">
      <c r="A8" s="5" t="inlineStr">
        <is>
          <t>STT</t>
        </is>
      </c>
      <c r="B8" s="5" t="inlineStr">
        <is>
          <t>Giờ cắm thực tế (điền)</t>
        </is>
      </c>
      <c r="C8" s="5" t="inlineStr">
        <is>
          <t>Giờ rút thực tế (điền)</t>
        </is>
      </c>
      <c r="D8" s="5" t="inlineStr">
        <is>
          <t>Số phút thực tế</t>
        </is>
      </c>
      <c r="E8" s="5" t="inlineStr">
        <is>
          <t>Số phút tính tiền</t>
        </is>
      </c>
      <c r="F8" s="5" t="inlineStr">
        <is>
          <t>Giờ tính tiền</t>
        </is>
      </c>
      <c r="G8" s="5" t="inlineStr">
        <is>
          <t>Đơn giá (VNĐ/giờ)</t>
        </is>
      </c>
      <c r="H8" s="5" t="inlineStr">
        <is>
          <t>Thành tiền (VND)</t>
        </is>
      </c>
    </row>
    <row r="9" ht="33" customHeight="1" s="81">
      <c r="A9" s="10" t="n">
        <v>1</v>
      </c>
      <c r="B9" s="57" t="n">
        <v>46306.35416666666</v>
      </c>
      <c r="C9" s="57" t="n">
        <v>46306.55763888889</v>
      </c>
      <c r="D9" s="10">
        <f>IF(OR(B9="",C9="",C9&lt;=B9),"",ROUND((C9-B9)*1440,0))</f>
        <v/>
      </c>
      <c r="E9" s="10">
        <f>IF(D9="","",ROUNDUP(D9/$B$5,0)*$B$5)</f>
        <v/>
      </c>
      <c r="F9" s="67">
        <f>IF(E9="","",E9/60)</f>
        <v/>
      </c>
      <c r="G9" s="70">
        <f>IF($B$4="","",$B$4)</f>
        <v/>
      </c>
      <c r="H9" s="70">
        <f>IF(OR(F9="",G9=""),"",ROUND(F9*G9,0))</f>
        <v/>
      </c>
    </row>
    <row r="10" ht="33" customHeight="1" s="81">
      <c r="A10" s="14" t="n">
        <v>2</v>
      </c>
      <c r="B10" s="57" t="n">
        <v>46306.35416666666</v>
      </c>
      <c r="C10" s="57" t="n">
        <v>46306.36458333334</v>
      </c>
      <c r="D10" s="14">
        <f>IF(OR(B10="",C10="",C10&lt;=B10),"",ROUND((C10-B10)*1440,0))</f>
        <v/>
      </c>
      <c r="E10" s="14">
        <f>IF(D10="","",ROUNDUP(D10/$B$5,0)*$B$5)</f>
        <v/>
      </c>
      <c r="F10" s="72">
        <f>IF(E10="","",E10/60)</f>
        <v/>
      </c>
      <c r="G10" s="73">
        <f>IF($B$4="","",$B$4)</f>
        <v/>
      </c>
      <c r="H10" s="73">
        <f>IF(OR(F10="",G10=""),"",ROUND(F10*G10,0))</f>
        <v/>
      </c>
    </row>
    <row r="11" ht="33" customHeight="1" s="81">
      <c r="A11" s="10" t="n">
        <v>3</v>
      </c>
      <c r="B11" s="57" t="n">
        <v>46306.35416666666</v>
      </c>
      <c r="C11" s="57" t="n">
        <v>46306.36527777778</v>
      </c>
      <c r="D11" s="10">
        <f>IF(OR(B11="",C11="",C11&lt;=B11),"",ROUND((C11-B11)*1440,0))</f>
        <v/>
      </c>
      <c r="E11" s="10">
        <f>IF(D11="","",ROUNDUP(D11/$B$5,0)*$B$5)</f>
        <v/>
      </c>
      <c r="F11" s="67">
        <f>IF(E11="","",E11/60)</f>
        <v/>
      </c>
      <c r="G11" s="70">
        <f>IF($B$4="","",$B$4)</f>
        <v/>
      </c>
      <c r="H11" s="70">
        <f>IF(OR(F11="",G11=""),"",ROUND(F11*G11,0))</f>
        <v/>
      </c>
    </row>
    <row r="12" ht="33" customHeight="1" s="81">
      <c r="A12" s="14" t="n">
        <v>4</v>
      </c>
      <c r="B12" s="57" t="n">
        <v>46306.35416666666</v>
      </c>
      <c r="C12" s="57" t="n">
        <v>46306.39583333334</v>
      </c>
      <c r="D12" s="14">
        <f>IF(OR(B12="",C12="",C12&lt;=B12),"",ROUND((C12-B12)*1440,0))</f>
        <v/>
      </c>
      <c r="E12" s="14">
        <f>IF(D12="","",ROUNDUP(D12/$B$5,0)*$B$5)</f>
        <v/>
      </c>
      <c r="F12" s="72">
        <f>IF(E12="","",E12/60)</f>
        <v/>
      </c>
      <c r="G12" s="73">
        <f>IF($B$4="","",$B$4)</f>
        <v/>
      </c>
      <c r="H12" s="73">
        <f>IF(OR(F12="",G12=""),"",ROUND(F12*G12,0))</f>
        <v/>
      </c>
    </row>
    <row r="13" ht="33" customHeight="1" s="81">
      <c r="A13" s="10" t="n">
        <v>5</v>
      </c>
      <c r="B13" s="57" t="n">
        <v>46306.35416666666</v>
      </c>
      <c r="C13" s="57" t="n">
        <v>46306.39652777778</v>
      </c>
      <c r="D13" s="10">
        <f>IF(OR(B13="",C13="",C13&lt;=B13),"",ROUND((C13-B13)*1440,0))</f>
        <v/>
      </c>
      <c r="E13" s="10">
        <f>IF(D13="","",ROUNDUP(D13/$B$5,0)*$B$5)</f>
        <v/>
      </c>
      <c r="F13" s="67">
        <f>IF(E13="","",E13/60)</f>
        <v/>
      </c>
      <c r="G13" s="70">
        <f>IF($B$4="","",$B$4)</f>
        <v/>
      </c>
      <c r="H13" s="70">
        <f>IF(OR(F13="",G13=""),"",ROUND(F13*G13,0))</f>
        <v/>
      </c>
    </row>
    <row r="14" ht="33" customHeight="1" s="81">
      <c r="A14" s="14" t="n">
        <v>6</v>
      </c>
      <c r="B14" s="57" t="n">
        <v>46306.35416666666</v>
      </c>
      <c r="C14" s="57" t="n">
        <v>46306.54166666666</v>
      </c>
      <c r="D14" s="14">
        <f>IF(OR(B14="",C14="",C14&lt;=B14),"",ROUND((C14-B14)*1440,0))</f>
        <v/>
      </c>
      <c r="E14" s="14">
        <f>IF(D14="","",ROUNDUP(D14/$B$5,0)*$B$5)</f>
        <v/>
      </c>
      <c r="F14" s="72">
        <f>IF(E14="","",E14/60)</f>
        <v/>
      </c>
      <c r="G14" s="73">
        <f>IF($B$4="","",$B$4)</f>
        <v/>
      </c>
      <c r="H14" s="73">
        <f>IF(OR(F14="",G14=""),"",ROUND(F14*G14,0))</f>
        <v/>
      </c>
    </row>
    <row r="15" ht="33" customHeight="1" s="81">
      <c r="A15" s="10" t="n">
        <v>7</v>
      </c>
      <c r="B15" s="57" t="n">
        <v>46306.94444444445</v>
      </c>
      <c r="C15" s="57" t="n">
        <v>46307.15347222222</v>
      </c>
      <c r="D15" s="10">
        <f>IF(OR(B15="",C15="",C15&lt;=B15),"",ROUND((C15-B15)*1440,0))</f>
        <v/>
      </c>
      <c r="E15" s="10">
        <f>IF(D15="","",ROUNDUP(D15/$B$5,0)*$B$5)</f>
        <v/>
      </c>
      <c r="F15" s="67">
        <f>IF(E15="","",E15/60)</f>
        <v/>
      </c>
      <c r="G15" s="70">
        <f>IF($B$4="","",$B$4)</f>
        <v/>
      </c>
      <c r="H15" s="70">
        <f>IF(OR(F15="",G15=""),"",ROUND(F15*G15,0))</f>
        <v/>
      </c>
    </row>
    <row r="16" ht="33" customHeight="1" s="81">
      <c r="A16" s="14" t="n">
        <v>8</v>
      </c>
      <c r="B16" s="57" t="n">
        <v>46306.35416666666</v>
      </c>
      <c r="C16" s="57" t="n">
        <v>46306.52152777778</v>
      </c>
      <c r="D16" s="14">
        <f>IF(OR(B16="",C16="",C16&lt;=B16),"",ROUND((C16-B16)*1440,0))</f>
        <v/>
      </c>
      <c r="E16" s="14">
        <f>IF(D16="","",ROUNDUP(D16/$B$5,0)*$B$5)</f>
        <v/>
      </c>
      <c r="F16" s="72">
        <f>IF(E16="","",E16/60)</f>
        <v/>
      </c>
      <c r="G16" s="73">
        <f>IF($B$4="","",$B$4)</f>
        <v/>
      </c>
      <c r="H16" s="73">
        <f>IF(OR(F16="",G16=""),"",ROUND(F16*G16,0))</f>
        <v/>
      </c>
    </row>
    <row r="19">
      <c r="A19" s="75" t="inlineStr">
        <is>
          <t>Nguyên tắc:</t>
        </is>
      </c>
      <c r="B19" s="77" t="inlineStr">
        <is>
          <t>CCKB nhập giờ thực tế; hệ thống tính thời lượng và làm tròn LÊN theo từng 15 phút, tính theo đơn giá phiên cắm.</t>
        </is>
      </c>
    </row>
    <row r="21" ht="15.75" customHeight="1" s="81">
      <c r="A21" s="85" t="inlineStr">
        <is>
          <t>CHÚ Ý: các câu hỏi về giây, thời lượng tối thiểu, sửa sau khi thu và thay đổi giá trong khi cắm vẫn nằm trong tab 01_CAU_HOI.</t>
        </is>
      </c>
    </row>
    <row r="22" ht="15.75" customHeight="1" s="81"/>
    <row r="23" ht="15.75" customHeight="1" s="81"/>
    <row r="24" ht="15.75" customHeight="1" s="81"/>
    <row r="25" ht="15.75" customHeight="1" s="81"/>
    <row r="26" ht="15.75" customHeight="1" s="81"/>
    <row r="27" ht="15.75" customHeight="1" s="81"/>
    <row r="28" ht="15.75" customHeight="1" s="81"/>
    <row r="29" ht="15.75" customHeight="1" s="81"/>
    <row r="30" ht="15.75" customHeight="1" s="81"/>
    <row r="31" ht="15.75" customHeight="1" s="81"/>
    <row r="32" ht="15.75" customHeight="1" s="81"/>
    <row r="33" ht="15.75" customHeight="1" s="81"/>
    <row r="34" ht="15.75" customHeight="1" s="81"/>
    <row r="35" ht="15.75" customHeight="1" s="81"/>
    <row r="36" ht="15.75" customHeight="1" s="81"/>
    <row r="37" ht="15.75" customHeight="1" s="81"/>
    <row r="38" ht="15.75" customHeight="1" s="81"/>
    <row r="39" ht="15.75" customHeight="1" s="81"/>
    <row r="40" ht="15.75" customHeight="1" s="81"/>
    <row r="41" ht="15.75" customHeight="1" s="81"/>
    <row r="42" ht="15.75" customHeight="1" s="81"/>
    <row r="43" ht="15.75" customHeight="1" s="81"/>
    <row r="44" ht="15.75" customHeight="1" s="81"/>
    <row r="45" ht="15.75" customHeight="1" s="81"/>
    <row r="46" ht="15.75" customHeight="1" s="81"/>
    <row r="47" ht="15.75" customHeight="1" s="81"/>
    <row r="48" ht="15.75" customHeight="1" s="81"/>
    <row r="49" ht="15.75" customHeight="1" s="81"/>
    <row r="50" ht="15.75" customHeight="1" s="81"/>
    <row r="51" ht="15.75" customHeight="1" s="81"/>
    <row r="52" ht="15.75" customHeight="1" s="81"/>
    <row r="53" ht="15.75" customHeight="1" s="81"/>
    <row r="54" ht="15.75" customHeight="1" s="81"/>
    <row r="55" ht="15.75" customHeight="1" s="81"/>
    <row r="56" ht="15.75" customHeight="1" s="81"/>
    <row r="57" ht="15.75" customHeight="1" s="81"/>
    <row r="58" ht="15.75" customHeight="1" s="81"/>
    <row r="59" ht="15.75" customHeight="1" s="81"/>
    <row r="60" ht="15.75" customHeight="1" s="81"/>
    <row r="61" ht="15.75" customHeight="1" s="81"/>
    <row r="62" ht="15.75" customHeight="1" s="81"/>
    <row r="63" ht="15.75" customHeight="1" s="81"/>
    <row r="64" ht="15.75" customHeight="1" s="81"/>
    <row r="65" ht="15.75" customHeight="1" s="81"/>
    <row r="66" ht="15.75" customHeight="1" s="81"/>
    <row r="67" ht="15.75" customHeight="1" s="81"/>
    <row r="68" ht="15.75" customHeight="1" s="81"/>
    <row r="69" ht="15.75" customHeight="1" s="81"/>
    <row r="70" ht="15.75" customHeight="1" s="81"/>
    <row r="71" ht="15.75" customHeight="1" s="81"/>
    <row r="72" ht="15.75" customHeight="1" s="81"/>
    <row r="73" ht="15.75" customHeight="1" s="81"/>
    <row r="74" ht="15.75" customHeight="1" s="81"/>
    <row r="75" ht="15.75" customHeight="1" s="81"/>
    <row r="76" ht="15.75" customHeight="1" s="81"/>
    <row r="77" ht="15.75" customHeight="1" s="81"/>
    <row r="78" ht="15.75" customHeight="1" s="81"/>
    <row r="79" ht="15.75" customHeight="1" s="81"/>
    <row r="80" ht="15.75" customHeight="1" s="81"/>
    <row r="81" ht="15.75" customHeight="1" s="81"/>
    <row r="82" ht="15.75" customHeight="1" s="81"/>
    <row r="83" ht="15.75" customHeight="1" s="81"/>
    <row r="84" ht="15.75" customHeight="1" s="81"/>
    <row r="85" ht="15.75" customHeight="1" s="81"/>
    <row r="86" ht="15.75" customHeight="1" s="81"/>
    <row r="87" ht="15.75" customHeight="1" s="81"/>
    <row r="88" ht="15.75" customHeight="1" s="81"/>
    <row r="89" ht="15.75" customHeight="1" s="81"/>
    <row r="90" ht="15.75" customHeight="1" s="81"/>
    <row r="91" ht="15.75" customHeight="1" s="81"/>
    <row r="92" ht="15.75" customHeight="1" s="81"/>
    <row r="93" ht="15.75" customHeight="1" s="81"/>
    <row r="94" ht="15.75" customHeight="1" s="81"/>
    <row r="95" ht="15.75" customHeight="1" s="81"/>
    <row r="96" ht="15.75" customHeight="1" s="81"/>
    <row r="97" ht="15.75" customHeight="1" s="81"/>
    <row r="98" ht="15.75" customHeight="1" s="81"/>
    <row r="99" ht="15.75" customHeight="1" s="81"/>
    <row r="100" ht="15.75" customHeight="1" s="81"/>
    <row r="101" ht="15.75" customHeight="1" s="81"/>
    <row r="102" ht="15.75" customHeight="1" s="81"/>
    <row r="103" ht="15.75" customHeight="1" s="81"/>
    <row r="104" ht="15.75" customHeight="1" s="81"/>
    <row r="105" ht="15.75" customHeight="1" s="81"/>
    <row r="106" ht="15.75" customHeight="1" s="81"/>
    <row r="107" ht="15.75" customHeight="1" s="81"/>
    <row r="108" ht="15.75" customHeight="1" s="81"/>
    <row r="109" ht="15.75" customHeight="1" s="81"/>
    <row r="110" ht="15.75" customHeight="1" s="81"/>
    <row r="111" ht="15.75" customHeight="1" s="81"/>
    <row r="112" ht="15.75" customHeight="1" s="81"/>
    <row r="113" ht="15.75" customHeight="1" s="81"/>
    <row r="114" ht="15.75" customHeight="1" s="81"/>
    <row r="115" ht="15.75" customHeight="1" s="81"/>
    <row r="116" ht="15.75" customHeight="1" s="81"/>
    <row r="117" ht="15.75" customHeight="1" s="81"/>
    <row r="118" ht="15.75" customHeight="1" s="81"/>
    <row r="119" ht="15.75" customHeight="1" s="81"/>
    <row r="120" ht="15.75" customHeight="1" s="81"/>
    <row r="121" ht="15.75" customHeight="1" s="81"/>
    <row r="122" ht="15.75" customHeight="1" s="81"/>
    <row r="123" ht="15.75" customHeight="1" s="81"/>
    <row r="124" ht="15.75" customHeight="1" s="81"/>
    <row r="125" ht="15.75" customHeight="1" s="81"/>
    <row r="126" ht="15.75" customHeight="1" s="81"/>
    <row r="127" ht="15.75" customHeight="1" s="81"/>
    <row r="128" ht="15.75" customHeight="1" s="81"/>
    <row r="129" ht="15.75" customHeight="1" s="81"/>
    <row r="130" ht="15.75" customHeight="1" s="81"/>
    <row r="131" ht="15.75" customHeight="1" s="81"/>
    <row r="132" ht="15.75" customHeight="1" s="81"/>
    <row r="133" ht="15.75" customHeight="1" s="81"/>
    <row r="134" ht="15.75" customHeight="1" s="81"/>
    <row r="135" ht="15.75" customHeight="1" s="81"/>
    <row r="136" ht="15.75" customHeight="1" s="81"/>
    <row r="137" ht="15.75" customHeight="1" s="81"/>
    <row r="138" ht="15.75" customHeight="1" s="81"/>
    <row r="139" ht="15.75" customHeight="1" s="81"/>
    <row r="140" ht="15.75" customHeight="1" s="81"/>
    <row r="141" ht="15.75" customHeight="1" s="81"/>
    <row r="142" ht="15.75" customHeight="1" s="81"/>
    <row r="143" ht="15.75" customHeight="1" s="81"/>
    <row r="144" ht="15.75" customHeight="1" s="81"/>
    <row r="145" ht="15.75" customHeight="1" s="81"/>
    <row r="146" ht="15.75" customHeight="1" s="81"/>
    <row r="147" ht="15.75" customHeight="1" s="81"/>
    <row r="148" ht="15.75" customHeight="1" s="81"/>
    <row r="149" ht="15.75" customHeight="1" s="81"/>
    <row r="150" ht="15.75" customHeight="1" s="81"/>
    <row r="151" ht="15.75" customHeight="1" s="81"/>
    <row r="152" ht="15.75" customHeight="1" s="81"/>
    <row r="153" ht="15.75" customHeight="1" s="81"/>
    <row r="154" ht="15.75" customHeight="1" s="81"/>
    <row r="155" ht="15.75" customHeight="1" s="81"/>
    <row r="156" ht="15.75" customHeight="1" s="81"/>
    <row r="157" ht="15.75" customHeight="1" s="81"/>
    <row r="158" ht="15.75" customHeight="1" s="81"/>
    <row r="159" ht="15.75" customHeight="1" s="81"/>
    <row r="160" ht="15.75" customHeight="1" s="81"/>
    <row r="161" ht="15.75" customHeight="1" s="81"/>
    <row r="162" ht="15.75" customHeight="1" s="81"/>
    <row r="163" ht="15.75" customHeight="1" s="81"/>
    <row r="164" ht="15.75" customHeight="1" s="81"/>
    <row r="165" ht="15.75" customHeight="1" s="81"/>
    <row r="166" ht="15.75" customHeight="1" s="81"/>
    <row r="167" ht="15.75" customHeight="1" s="81"/>
    <row r="168" ht="15.75" customHeight="1" s="81"/>
    <row r="169" ht="15.75" customHeight="1" s="81"/>
    <row r="170" ht="15.75" customHeight="1" s="81"/>
    <row r="171" ht="15.75" customHeight="1" s="81"/>
    <row r="172" ht="15.75" customHeight="1" s="81"/>
    <row r="173" ht="15.75" customHeight="1" s="81"/>
    <row r="174" ht="15.75" customHeight="1" s="81"/>
    <row r="175" ht="15.75" customHeight="1" s="81"/>
    <row r="176" ht="15.75" customHeight="1" s="81"/>
    <row r="177" ht="15.75" customHeight="1" s="81"/>
    <row r="178" ht="15.75" customHeight="1" s="81"/>
    <row r="179" ht="15.75" customHeight="1" s="81"/>
    <row r="180" ht="15.75" customHeight="1" s="81"/>
    <row r="181" ht="15.75" customHeight="1" s="81"/>
    <row r="182" ht="15.75" customHeight="1" s="81"/>
    <row r="183" ht="15.75" customHeight="1" s="81"/>
    <row r="184" ht="15.75" customHeight="1" s="81"/>
    <row r="185" ht="15.75" customHeight="1" s="81"/>
    <row r="186" ht="15.75" customHeight="1" s="81"/>
    <row r="187" ht="15.75" customHeight="1" s="81"/>
    <row r="188" ht="15.75" customHeight="1" s="81"/>
    <row r="189" ht="15.75" customHeight="1" s="81"/>
    <row r="190" ht="15.75" customHeight="1" s="81"/>
    <row r="191" ht="15.75" customHeight="1" s="81"/>
    <row r="192" ht="15.75" customHeight="1" s="81"/>
    <row r="193" ht="15.75" customHeight="1" s="81"/>
    <row r="194" ht="15.75" customHeight="1" s="81"/>
    <row r="195" ht="15.75" customHeight="1" s="81"/>
    <row r="196" ht="15.75" customHeight="1" s="81"/>
    <row r="197" ht="15.75" customHeight="1" s="81"/>
    <row r="198" ht="15.75" customHeight="1" s="81"/>
    <row r="199" ht="15.75" customHeight="1" s="81"/>
    <row r="200" ht="15.75" customHeight="1" s="81"/>
    <row r="201" ht="15.75" customHeight="1" s="81"/>
    <row r="202" ht="15.75" customHeight="1" s="81"/>
    <row r="203" ht="15.75" customHeight="1" s="81"/>
    <row r="204" ht="15.75" customHeight="1" s="81"/>
    <row r="205" ht="15.75" customHeight="1" s="81"/>
    <row r="206" ht="15.75" customHeight="1" s="81"/>
    <row r="207" ht="15.75" customHeight="1" s="81"/>
    <row r="208" ht="15.75" customHeight="1" s="81"/>
    <row r="209" ht="15.75" customHeight="1" s="81"/>
    <row r="210" ht="15.75" customHeight="1" s="81"/>
    <row r="211" ht="15.75" customHeight="1" s="81"/>
    <row r="212" ht="15.75" customHeight="1" s="81"/>
    <row r="213" ht="15.75" customHeight="1" s="81"/>
    <row r="214" ht="15.75" customHeight="1" s="81"/>
    <row r="215" ht="15.75" customHeight="1" s="81"/>
    <row r="216" ht="15.75" customHeight="1" s="81"/>
    <row r="217" ht="15.75" customHeight="1" s="81"/>
    <row r="218" ht="15.75" customHeight="1" s="81"/>
    <row r="219" ht="15.75" customHeight="1" s="81"/>
    <row r="220" ht="15.75" customHeight="1" s="81"/>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mergeCells count="4">
    <mergeCell ref="B19:H19"/>
    <mergeCell ref="A2:H2"/>
    <mergeCell ref="A21:H21"/>
    <mergeCell ref="A1:H1"/>
  </mergeCells>
  <pageMargins left="0.25" right="0.25" top="0.45" bottom="0.45" header="0" footer="0"/>
  <pageSetup orientation="landscape" paperSize="8" fitToHeight="0"/>
  <headerFooter>
    <oddHeader/>
    <oddFooter>&amp;CPWA Son Cang | Yeu cau nghiep vu | Trang &amp;P / </oddFooter>
    <evenHeader/>
    <evenFooter/>
    <firstHeader/>
    <firstFooter/>
  </headerFooter>
</worksheet>
</file>

<file path=xl/worksheets/sheet11.xml><?xml version="1.0" encoding="utf-8"?>
<worksheet xmlns="http://schemas.openxmlformats.org/spreadsheetml/2006/main">
  <sheetPr>
    <tabColor rgb="FF0A9444"/>
    <outlinePr summaryBelow="1" summaryRight="1"/>
    <pageSetUpPr fitToPage="1"/>
  </sheetPr>
  <dimension ref="A1:F44"/>
  <sheetViews>
    <sheetView showGridLines="0" workbookViewId="0">
      <pane xSplit="2" ySplit="5" topLeftCell="C6" activePane="bottomRight" state="frozen"/>
      <selection pane="topRight" activeCell="C1" sqref="C1"/>
      <selection pane="bottomLeft" activeCell="A6" sqref="A6"/>
      <selection pane="bottomRight" activeCell="C6" sqref="C6"/>
    </sheetView>
  </sheetViews>
  <sheetFormatPr baseColWidth="8" defaultColWidth="14.43" defaultRowHeight="15" customHeight="1"/>
  <cols>
    <col width="14" customWidth="1" style="81" min="1" max="1"/>
    <col width="28" customWidth="1" style="81" min="2" max="2"/>
    <col width="37" customWidth="1" style="81" min="3" max="3"/>
    <col width="66" customWidth="1" style="81" min="4" max="4"/>
    <col width="67" customWidth="1" style="81" min="5" max="5"/>
    <col width="30" customWidth="1" style="81" min="6" max="6"/>
    <col width="8.710000000000001" customWidth="1" style="81" min="7" max="26"/>
  </cols>
  <sheetData>
    <row r="1" ht="42" customHeight="1" s="81">
      <c r="A1" s="86" t="inlineStr">
        <is>
          <t>YÊU CẦU ĐIỆN TRƯỚC KHI CONTAINER VÀO &amp; SỬA SỐ CONTAINER</t>
        </is>
      </c>
    </row>
    <row r="2" ht="36" customHeight="1" s="81">
      <c r="A2" s="59" t="inlineStr">
        <is>
          <t>Phân tách thông tin khách hàng thông báo trước, container đã vào thật và thao tác sửa sai — chỉ các mục ghi ĐÃ CHỐT mới là yêu cầu xác nhận.</t>
        </is>
      </c>
    </row>
    <row r="4" ht="27" customHeight="1" s="81">
      <c r="A4" s="87" t="inlineStr">
        <is>
          <t>I. QUYẾT ĐỊNH MỚI VÀ PHẠM VI</t>
        </is>
      </c>
    </row>
    <row r="5" ht="33.75" customHeight="1" s="81">
      <c r="A5" s="42" t="inlineStr">
        <is>
          <t>Mã</t>
        </is>
      </c>
      <c r="B5" s="42" t="inlineStr">
        <is>
          <t>Nội dung</t>
        </is>
      </c>
      <c r="C5" s="42" t="inlineStr">
        <is>
          <t>Trạng thái</t>
        </is>
      </c>
      <c r="D5" s="42" t="inlineStr">
        <is>
          <t>Quy tắc nghiệp vụ</t>
        </is>
      </c>
      <c r="E5" s="42" t="inlineStr">
        <is>
          <t>Giải pháp triển khai đề xuất</t>
        </is>
      </c>
      <c r="F5" s="42" t="inlineStr">
        <is>
          <t>Cần xác nhận thêm</t>
        </is>
      </c>
    </row>
    <row r="6" ht="64.5" customHeight="1" s="81">
      <c r="A6" s="61" t="inlineStr">
        <is>
          <t>CN-01</t>
        </is>
      </c>
      <c r="B6" s="61" t="inlineStr">
        <is>
          <t>Có yêu cầu điện dự kiến trước khi container vào</t>
        </is>
      </c>
      <c r="C6" s="62" t="inlineStr">
        <is>
          <t>Đã chốt</t>
        </is>
      </c>
      <c r="D6" s="61" t="inlineStr">
        <is>
          <t>CCKB nhận từ khách trước danh sách cont A/B/C, được ghi yêu cầu ngay.</t>
        </is>
      </c>
      <c r="E6" s="61" t="inlineStr">
        <is>
          <t>Lưu bản ghi dự kiến, không tự tạo lượt container vào, không ghi giờ vào và không tính phí.</t>
        </is>
      </c>
      <c r="F6" s="61" t="inlineStr">
        <is>
          <t>Cách nhóm A/B/C vào phiếu</t>
        </is>
      </c>
    </row>
    <row r="7" ht="64.5" customHeight="1" s="81">
      <c r="A7" s="64" t="inlineStr">
        <is>
          <t>CN-02</t>
        </is>
      </c>
      <c r="B7" s="64" t="inlineStr">
        <is>
          <t>An ninh nhìn thấy dự kiến lúc tiếp nhận</t>
        </is>
      </c>
      <c r="C7" s="62" t="inlineStr">
        <is>
          <t>Đã chốt</t>
        </is>
      </c>
      <c r="D7" s="64" t="inlineStr">
        <is>
          <t>Khi nhập số cont tại cổng, An ninh phải chú ý thông tin yêu cầu điện dự kiến.</t>
        </is>
      </c>
      <c r="E7" s="64" t="inlineStr">
        <is>
          <t>Hiển thị thẻ Chờ cắm điện / Đã đặt trước; gợi ý ghép và đối chiếu số thật.</t>
        </is>
      </c>
      <c r="F7" s="64" t="inlineStr">
        <is>
          <t>Quy tắc ghép số đầy đủ/7 số cuối</t>
        </is>
      </c>
    </row>
    <row r="8" ht="64.5" customHeight="1" s="81">
      <c r="A8" s="61" t="inlineStr">
        <is>
          <t>CN-03</t>
        </is>
      </c>
      <c r="B8" s="61" t="inlineStr">
        <is>
          <t>An ninh sửa số cont sai và báo lại CCKB</t>
        </is>
      </c>
      <c r="C8" s="62" t="inlineStr">
        <is>
          <t>Đã chốt</t>
        </is>
      </c>
      <c r="D8" s="61" t="inlineStr">
        <is>
          <t>Sai có thể xuất phát từ khách, CCKB hoặc hiện trường. Ảnh/video giúp phát hiện sai.</t>
        </is>
      </c>
      <c r="E8" s="61" t="inlineStr">
        <is>
          <t>Thao tác Sửa số container, ghi cũ/mới/lý do/người sửa; tạo cảnh báo CCKB.</t>
        </is>
      </c>
      <c r="F8" s="61" t="inlineStr">
        <is>
          <t>Quy trình sau khi thu/đã ra, bằng chứng bắt buộc?</t>
        </is>
      </c>
    </row>
    <row r="9" ht="64.5" customHeight="1" s="81">
      <c r="A9" s="64" t="inlineStr">
        <is>
          <t>CN-04</t>
        </is>
      </c>
      <c r="B9" s="64" t="inlineStr">
        <is>
          <t>Tách dự kiến khỏi thực tế</t>
        </is>
      </c>
      <c r="C9" s="65" t="inlineStr">
        <is>
          <t>Đề xuất chờ chốt</t>
        </is>
      </c>
      <c r="D9" s="64" t="inlineStr">
        <is>
          <t>Tạo yêu cầu điện trước không được làm tăng số cont thật đang nằm bãi.</t>
        </is>
      </c>
      <c r="E9" s="64" t="inlineStr">
        <is>
          <t>Mỗi dòng dự kiến chỉ liên kết tới ID lượt container khi xe/cont được ghi nhận vào cổng.</t>
        </is>
      </c>
      <c r="F9" s="64" t="inlineStr">
        <is>
          <t>Cách xác nhận liên kết và hết hạn dự kiến</t>
        </is>
      </c>
    </row>
    <row r="12" ht="27" customHeight="1" s="81">
      <c r="A12" s="87" t="inlineStr">
        <is>
          <t>II. LUỒNG NHẬN YÊU CẦU ĐIỆN TRƯỚC KHI XE VÀO</t>
        </is>
      </c>
    </row>
    <row r="13" ht="33.75" customHeight="1" s="81">
      <c r="A13" s="42" t="inlineStr">
        <is>
          <t>Bước</t>
        </is>
      </c>
      <c r="B13" s="42" t="inlineStr">
        <is>
          <t>Bộ phận</t>
        </is>
      </c>
      <c r="C13" s="42" t="inlineStr">
        <is>
          <t>Trạng thái đề xuất</t>
        </is>
      </c>
      <c r="D13" s="42" t="inlineStr">
        <is>
          <t>Thao tác nghiệp vụ</t>
        </is>
      </c>
      <c r="E13" s="42" t="inlineStr">
        <is>
          <t>Dữ liệu hiển thị/được lưu</t>
        </is>
      </c>
      <c r="F13" s="42" t="inlineStr">
        <is>
          <t>Lưu ý</t>
        </is>
      </c>
    </row>
    <row r="14" ht="64.5" customHeight="1" s="81">
      <c r="A14" s="61" t="inlineStr">
        <is>
          <t>1</t>
        </is>
      </c>
      <c r="B14" s="61" t="inlineStr">
        <is>
          <t>CCKB</t>
        </is>
      </c>
      <c r="C14" s="61" t="inlineStr">
        <is>
          <t>Dự kiến / Chờ container vào</t>
        </is>
      </c>
      <c r="D14" s="61" t="inlineStr">
        <is>
          <t>Nhận thông tin khách hàng cho A, B, C; tạo yêu cầu cắm điện dự kiến.</t>
        </is>
      </c>
      <c r="E14" s="61" t="inlineStr">
        <is>
          <t>Số cont dự kiến, khách hàng, hình thức, người ghi nhận, giờ tiếp nhận; giờ dự kiến nếu có.</t>
        </is>
      </c>
      <c r="F14" s="61" t="inlineStr">
        <is>
          <t>Không cần GIO_CONT_VAO</t>
        </is>
      </c>
    </row>
    <row r="15" ht="64.5" customHeight="1" s="81">
      <c r="A15" s="64" t="inlineStr">
        <is>
          <t>2</t>
        </is>
      </c>
      <c r="B15" s="64" t="inlineStr">
        <is>
          <t>An ninh</t>
        </is>
      </c>
      <c r="C15" s="64" t="inlineStr">
        <is>
          <t>Kiểm tra yêu cầu dự kiến</t>
        </is>
      </c>
      <c r="D15" s="64" t="inlineStr">
        <is>
          <t>Nhập loại xe, biển số, số cont thực tế lúc xe đến; xem cảnh báo các yêu cầu chờ.</t>
        </is>
      </c>
      <c r="E15" s="64" t="inlineStr">
        <is>
          <t>Hiển thị đúng số cont và các mã gần giống; tránh nhầm lẫn khi nhập 11 ký tự.</t>
        </is>
      </c>
      <c r="F15" s="64" t="inlineStr">
        <is>
          <t>Khi mã khác nhau phải đối chiếu ảnh/video timestamp; không tự ghép hai mã gần giống.</t>
        </is>
      </c>
    </row>
    <row r="16" ht="64.5" customHeight="1" s="81">
      <c r="A16" s="61" t="inlineStr">
        <is>
          <t>3</t>
        </is>
      </c>
      <c r="B16" s="61" t="inlineStr">
        <is>
          <t>An ninh + CCKB</t>
        </is>
      </c>
      <c r="C16" s="61" t="inlineStr">
        <is>
          <t>Đã vào / Chờ cắm</t>
        </is>
      </c>
      <c r="D16" s="61" t="inlineStr">
        <is>
          <t>Đối chiếu số cont thực tế, xác nhận ghép với dòng dự kiến A (nếu phù hợp).</t>
        </is>
      </c>
      <c r="E16" s="61" t="inlineStr">
        <is>
          <t>ID lượt cont thực tế được liên kết với dòng yêu cầu A; B/C vẫn chờ.</t>
        </is>
      </c>
      <c r="F16" s="61" t="inlineStr">
        <is>
          <t>Chỉ tạo giờ vào khi cont thực vào</t>
        </is>
      </c>
    </row>
    <row r="17" ht="64.5" customHeight="1" s="81">
      <c r="A17" s="64" t="inlineStr">
        <is>
          <t>4</t>
        </is>
      </c>
      <c r="B17" s="64" t="inlineStr">
        <is>
          <t>An ninh</t>
        </is>
      </c>
      <c r="C17" s="64" t="inlineStr">
        <is>
          <t>Đã thực hiện cắm (ngoài hiện trường)</t>
        </is>
      </c>
      <c r="D17" s="64" t="inlineStr">
        <is>
          <t>Thực hiện cắm theo yêu cầu; báo giờ thực tế qua Zalo/nhóm.</t>
        </is>
      </c>
      <c r="E17" s="64" t="inlineStr">
        <is>
          <t>Ảnh/video nếu có; người thực hiện thực tế; giờ báo.</t>
        </is>
      </c>
      <c r="F17" s="64" t="inlineStr">
        <is>
          <t>Không ép An ninh tự nhập giờ cắm PWA</t>
        </is>
      </c>
    </row>
    <row r="18" ht="64.5" customHeight="1" s="81">
      <c r="A18" s="61" t="inlineStr">
        <is>
          <t>5</t>
        </is>
      </c>
      <c r="B18" s="61" t="inlineStr">
        <is>
          <t>CCKB</t>
        </is>
      </c>
      <c r="C18" s="61" t="inlineStr">
        <is>
          <t>Đang cắm / Đã rút / Chờ thu</t>
        </is>
      </c>
      <c r="D18" s="61" t="inlineStr">
        <is>
          <t>Nhập giờ cắm/rút từ thông tin An ninh báo, sửa được khi xác minh sai.</t>
        </is>
      </c>
      <c r="E18" s="61" t="inlineStr">
        <is>
          <t>Phiên điện liên kết với ID lượt cont, tính phí tròn mỗi 15 phút.</t>
        </is>
      </c>
      <c r="F18" s="61" t="inlineStr">
        <is>
          <t>Thu sau rút hoặc khi cont xuất theo phương án C</t>
        </is>
      </c>
    </row>
    <row r="19" ht="64.5" customHeight="1" s="81">
      <c r="A19" s="64" t="inlineStr">
        <is>
          <t>6</t>
        </is>
      </c>
      <c r="B19" s="64" t="inlineStr">
        <is>
          <t>CCKB + An ninh</t>
        </is>
      </c>
      <c r="C19" s="64" t="inlineStr">
        <is>
          <t>Đủ điều kiện thanh toán → Đã xuất</t>
        </is>
      </c>
      <c r="D19" s="64" t="inlineStr">
        <is>
          <t>CCKB chốt phí hợp lệ, An ninh xác nhận xe/container thực ra.</t>
        </is>
      </c>
      <c r="E19" s="64" t="inlineStr">
        <is>
          <t>Chốt GIO_CONT_RA, lịch sử phí điện/lưu và người thực hiện.</t>
        </is>
      </c>
      <c r="F19" s="64" t="inlineStr">
        <is>
          <t>Tách duyệt tài chính và xác nhận thực ra</t>
        </is>
      </c>
    </row>
    <row r="21" ht="15.75" customHeight="1" s="81"/>
    <row r="22" ht="27" customHeight="1" s="81">
      <c r="A22" s="87" t="inlineStr">
        <is>
          <t>III. LUỒNG SỬA SAI SỐ CONTAINER KHI CÓ ẢNH/VIDEO HOẶC KHÁCH BÁO NHẦM</t>
        </is>
      </c>
    </row>
    <row r="23" ht="33.75" customHeight="1" s="81">
      <c r="A23" s="42" t="inlineStr">
        <is>
          <t>Bước</t>
        </is>
      </c>
      <c r="B23" s="42" t="inlineStr">
        <is>
          <t>Người phát hiện</t>
        </is>
      </c>
      <c r="C23" s="42" t="inlineStr">
        <is>
          <t>Trạng thái đề xuất</t>
        </is>
      </c>
      <c r="D23" s="42" t="inlineStr">
        <is>
          <t>Thao tác sửa/xác minh</t>
        </is>
      </c>
      <c r="E23" s="42" t="inlineStr">
        <is>
          <t>Dữ liệu bắt buộc đề xuất</t>
        </is>
      </c>
      <c r="F23" s="42" t="inlineStr">
        <is>
          <t>Điểm kiểm soát</t>
        </is>
      </c>
    </row>
    <row r="24" ht="64.5" customHeight="1" s="81">
      <c r="A24" s="61" t="inlineStr">
        <is>
          <t>1</t>
        </is>
      </c>
      <c r="B24" s="61" t="inlineStr">
        <is>
          <t>An ninh / CCKB</t>
        </is>
      </c>
      <c r="C24" s="61" t="inlineStr">
        <is>
          <t>Phát hiện sai</t>
        </is>
      </c>
      <c r="D24" s="61" t="inlineStr">
        <is>
          <t>Đối chiếu mã 11 ký tự trên container hoặc chứng cứ hiện trường với dữ liệu dự kiến/đang lưu.</t>
        </is>
      </c>
      <c r="E24" s="61" t="inlineStr">
        <is>
          <t>Số cũ, số quan sát, nguồn đối chiếu; ảnh/video nếu có.</t>
        </is>
      </c>
      <c r="F24" s="61" t="inlineStr">
        <is>
          <t>Không âm thầm đổi liên kết sang container khác</t>
        </is>
      </c>
    </row>
    <row r="25" ht="64.5" customHeight="1" s="81">
      <c r="A25" s="64" t="inlineStr">
        <is>
          <t>2</t>
        </is>
      </c>
      <c r="B25" s="64" t="inlineStr">
        <is>
          <t>An ninh</t>
        </is>
      </c>
      <c r="C25" s="64" t="inlineStr">
        <is>
          <t>Báo sửa số cont</t>
        </is>
      </c>
      <c r="D25" s="64" t="inlineStr">
        <is>
          <t>Chọn lượt cont đang có; nhập số đúng + lý do; lưu và báo CCKB.</t>
        </is>
      </c>
      <c r="E25" s="64" t="inlineStr">
        <is>
          <t>Người sửa, thời gian, số trước/sau, nguồn báo.</t>
        </is>
      </c>
      <c r="F25" s="64" t="inlineStr">
        <is>
          <t>V1 D06: TBP sửa trực tiếp; người dùng yêu cầu An ninh sửa và báo CCKB, nhưng quyền sửa sau thu còn mở.</t>
        </is>
      </c>
    </row>
    <row r="26" ht="64.5" customHeight="1" s="81">
      <c r="A26" s="61" t="inlineStr">
        <is>
          <t>3</t>
        </is>
      </c>
      <c r="B26" s="61" t="inlineStr">
        <is>
          <t>PWA</t>
        </is>
      </c>
      <c r="C26" s="61" t="inlineStr">
        <is>
          <t>Chờ CCKB kiểm tra</t>
        </is>
      </c>
      <c r="D26" s="61" t="inlineStr">
        <is>
          <t>Sinh thông báo trong PWA về số cont đã sửa cho CCKB; gắn với yêu cầu điện/phiên điện.</t>
        </is>
      </c>
      <c r="E26" s="61" t="inlineStr">
        <is>
          <t>Mã cảnh báo, số cũ/mới, ID lượt cont, ảnh/video, người sửa.</t>
        </is>
      </c>
      <c r="F26" s="61" t="inlineStr">
        <is>
          <t>Zalo tự động là tính năng phải chốt riêng</t>
        </is>
      </c>
    </row>
    <row r="27" ht="64.5" customHeight="1" s="81">
      <c r="A27" s="64" t="inlineStr">
        <is>
          <t>4</t>
        </is>
      </c>
      <c r="B27" s="64" t="inlineStr">
        <is>
          <t>CCKB</t>
        </is>
      </c>
      <c r="C27" s="64" t="inlineStr">
        <is>
          <t>Đã xác minh / Cần bổ sung</t>
        </is>
      </c>
      <c r="D27" s="64" t="inlineStr">
        <is>
          <t>Đối chiếu yêu cầu khách, cập nhật số cont dự kiến và liên kết đúng phiên điện.</t>
        </is>
      </c>
      <c r="E27" s="64" t="inlineStr">
        <is>
          <t>Người xác minh, ghi chú, lịch sử thay đổi.</t>
        </is>
      </c>
      <c r="F27" s="64" t="inlineStr">
        <is>
          <t>Không tạo lượt lưu/phiên cắm trùng</t>
        </is>
      </c>
    </row>
    <row r="28" ht="64.5" customHeight="1" s="81">
      <c r="A28" s="61" t="inlineStr">
        <is>
          <t>5</t>
        </is>
      </c>
      <c r="B28" s="61" t="inlineStr">
        <is>
          <t>TBP có thẩm quyền</t>
        </is>
      </c>
      <c r="C28" s="61" t="inlineStr">
        <is>
          <t>Ngoại lệ sau thu / đã xuất</t>
        </is>
      </c>
      <c r="D28" s="61" t="inlineStr">
        <is>
          <t>Nếu tiền đã thu hoặc đã phê duyệt ra, tạo xử lý chênh lệch/đối soát.</t>
        </is>
      </c>
      <c r="E28" s="61" t="inlineStr">
        <is>
          <t>Giữ giao dịch cũ; ghi bút toán điều chỉnh nếu có.</t>
        </is>
      </c>
      <c r="F28" s="61" t="inlineStr">
        <is>
          <t>T08 cho duyệt xuất ngoại lệ khi chưa thu; nếu sai cont phải báo CCKB đối chiếu, không tự đổi khoản đã thu.</t>
        </is>
      </c>
    </row>
    <row r="29" ht="15.75" customHeight="1" s="81"/>
    <row r="30" ht="15.75" customHeight="1" s="81"/>
    <row r="31" ht="27" customHeight="1" s="81">
      <c r="A31" s="87" t="inlineStr">
        <is>
          <t>IV. MÔ HÌNH DỮ LIỆU GỢI Ý — KHÔNG TẠO CONTAINER GIẢ</t>
        </is>
      </c>
    </row>
    <row r="32" ht="33.75" customHeight="1" s="81">
      <c r="A32" s="42" t="inlineStr">
        <is>
          <t>Bảng / đối tượng</t>
        </is>
      </c>
      <c r="B32" s="42" t="inlineStr">
        <is>
          <t>Vai trò</t>
        </is>
      </c>
      <c r="C32" s="42" t="inlineStr">
        <is>
          <t>Trạng thái</t>
        </is>
      </c>
      <c r="D32" s="42" t="inlineStr">
        <is>
          <t>Liên kết</t>
        </is>
      </c>
      <c r="E32" s="42" t="inlineStr">
        <is>
          <t>Các trường trọng yếu</t>
        </is>
      </c>
      <c r="F32" s="42" t="inlineStr">
        <is>
          <t>Lưu ý</t>
        </is>
      </c>
    </row>
    <row r="33" ht="64.5" customHeight="1" s="81">
      <c r="A33" s="61" t="inlineStr">
        <is>
          <t>CAM_DIEN_REQUESTS</t>
        </is>
      </c>
      <c r="B33" s="61" t="inlineStr">
        <is>
          <t>Phiếu khách yêu cầu điện</t>
        </is>
      </c>
      <c r="C33" s="61" t="inlineStr">
        <is>
          <t>Dự kiến</t>
        </is>
      </c>
      <c r="D33" s="61" t="inlineStr">
        <is>
          <t>Yêu cầu chung của khách hàng</t>
        </is>
      </c>
      <c r="E33" s="61" t="inlineStr">
        <is>
          <t>ID, khách hàng, người tiếp nhận, giờ tiếp nhận, yêu cầu chung</t>
        </is>
      </c>
      <c r="F33" s="61" t="inlineStr">
        <is>
          <t>Có thể có nhiều container A/B/C</t>
        </is>
      </c>
    </row>
    <row r="34" ht="64.5" customHeight="1" s="81">
      <c r="A34" s="64" t="inlineStr">
        <is>
          <t>CAM_DIEN_REQUEST_ITEMS</t>
        </is>
      </c>
      <c r="B34" s="64" t="inlineStr">
        <is>
          <t>Các dòng container dự kiến</t>
        </is>
      </c>
      <c r="C34" s="64" t="inlineStr">
        <is>
          <t>Chờ vào / Đã vào / Hủy</t>
        </is>
      </c>
      <c r="D34" s="64" t="inlineStr">
        <is>
          <t>ID_REQUEST; ID_CONTAINER_VISIT có thể rỗng trước khi cont vào</t>
        </is>
      </c>
      <c r="E34" s="64" t="inlineStr">
        <is>
          <t>SO_CONTAINER_DU_KIEN, loại cắm, ghi chú, trạng thái khớp</t>
        </is>
      </c>
      <c r="F34" s="64" t="inlineStr">
        <is>
          <t>Một dòng dự kiến không phải một lượt cont vào thật</t>
        </is>
      </c>
    </row>
    <row r="35" ht="64.5" customHeight="1" s="81">
      <c r="A35" s="61" t="inlineStr">
        <is>
          <t>CONTAINER / CONTAINER_VISITS</t>
        </is>
      </c>
      <c r="B35" s="61" t="inlineStr">
        <is>
          <t>Container và lượt vào thực tế</t>
        </is>
      </c>
      <c r="C35" s="61" t="inlineStr">
        <is>
          <t>Đang trong bãi / Đã xuất</t>
        </is>
      </c>
      <c r="D35" s="61" t="inlineStr">
        <is>
          <t>ID lượt xe vào/ra + ID lượt container</t>
        </is>
      </c>
      <c r="E35" s="61" t="inlineStr">
        <is>
          <t>SO_CONTAINER_THUC_TE, GIO_CONT_VAO, GIO_CONT_RA</t>
        </is>
      </c>
      <c r="F35" s="61" t="inlineStr">
        <is>
          <t>Dùng giờ thực tế để tính phí lưu</t>
        </is>
      </c>
    </row>
    <row r="36" ht="64.5" customHeight="1" s="81">
      <c r="A36" s="64" t="inlineStr">
        <is>
          <t>CAM_DIEN_CONT</t>
        </is>
      </c>
      <c r="B36" s="64" t="inlineStr">
        <is>
          <t>Phiên cắm/rút thực tế</t>
        </is>
      </c>
      <c r="C36" s="64" t="inlineStr">
        <is>
          <t>Tiếp nhận / Đang cắm / Đã rút</t>
        </is>
      </c>
      <c r="D36" s="64" t="inlineStr">
        <is>
          <t>ID_CONTAINER_VISIT; có thể biết yêu cầu điện nguồn</t>
        </is>
      </c>
      <c r="E36" s="64" t="inlineStr">
        <is>
          <t>GIO_CAM_THUC_TE, GIO_RUT_THUC_TE, TONG_PHUT_TINH_TIEN</t>
        </is>
      </c>
      <c r="F36" s="64" t="inlineStr">
        <is>
          <t>CCKB nhập/sửa; làm tròn lên 15 phút</t>
        </is>
      </c>
    </row>
    <row r="37" ht="64.5" customHeight="1" s="81">
      <c r="A37" s="61" t="inlineStr">
        <is>
          <t>CONTAINER_CORRECTIONS</t>
        </is>
      </c>
      <c r="B37" s="61" t="inlineStr">
        <is>
          <t>Đề nghị/sự kiện sửa số cont</t>
        </is>
      </c>
      <c r="C37" s="61" t="inlineStr">
        <is>
          <t>Báo sửa / Chờ xác minh / Đã xác minh</t>
        </is>
      </c>
      <c r="D37" s="61" t="inlineStr">
        <is>
          <t>ID_CONTAINER_VISIT, ID_REQUEST_ITEM</t>
        </is>
      </c>
      <c r="E37" s="61" t="inlineStr">
        <is>
          <t>SO_CU, SO_MOI, LY_DO, NGUOI_SUA, THOI_GIAN, BANG_CHUNG</t>
        </is>
      </c>
      <c r="F37" s="61" t="inlineStr">
        <is>
          <t>Giữ lịch sử &amp; phản hồi CCKB</t>
        </is>
      </c>
    </row>
    <row r="38" ht="64.5" customHeight="1" s="81">
      <c r="A38" s="64" t="inlineStr">
        <is>
          <t>APP_NOTIFICATIONS</t>
        </is>
      </c>
      <c r="B38" s="64" t="inlineStr">
        <is>
          <t>Thông báo liên bộ phận</t>
        </is>
      </c>
      <c r="C38" s="64" t="inlineStr">
        <is>
          <t>Chưa xem / Đã xem / Đã xử lý</t>
        </is>
      </c>
      <c r="D38" s="64" t="inlineStr">
        <is>
          <t>Tham chiếu sự kiện cont/yêu cầu</t>
        </is>
      </c>
      <c r="E38" s="64" t="inlineStr">
        <is>
          <t>Nguồn thông báo, người nhận, loại cảnh báo, giờ đọc</t>
        </is>
      </c>
      <c r="F38" s="64" t="inlineStr">
        <is>
          <t>Không tự coi tin nhắn Zalo là đồng bộ PWA</t>
        </is>
      </c>
    </row>
    <row r="39" ht="15.75" customHeight="1" s="81"/>
    <row r="40" ht="15.75" customHeight="1" s="81"/>
    <row r="41" ht="27" customHeight="1" s="81">
      <c r="A41" s="87" t="inlineStr">
        <is>
          <t>V. DANH SÁCH CÂU HỎI CẦN TRẢ LỜI Ở TAB 01_CAU_HOI</t>
        </is>
      </c>
    </row>
    <row r="42" ht="46.5" customHeight="1" s="81">
      <c r="A42" s="88" t="inlineStr">
        <is>
          <t>PR01/PR02/SC01 đã xác nhận. PR03–PR07, SC02–SC08 vẫn mở. D06/V09/T08/T15 ở bản V1 đã trả lời và cần đối chiếu khi xử lý sửa số cont.</t>
        </is>
      </c>
    </row>
    <row r="43" ht="15.75" customHeight="1" s="81"/>
    <row r="44" ht="42.75" customHeight="1" s="81">
      <c r="A44" s="76" t="inlineStr">
        <is>
          <t>Nguyên tắc an toàn: sửa số container không làm thay đổi ID lượt; tiền đã thu không bị ghi đè âm thầm; thông báo CCKB cần có trạng thái đã xem/đã xử lý.</t>
        </is>
      </c>
    </row>
    <row r="45" ht="15.75" customHeight="1" s="81"/>
    <row r="46" ht="15.75" customHeight="1" s="81"/>
    <row r="47" ht="15.75" customHeight="1" s="81"/>
    <row r="48" ht="15.75" customHeight="1" s="81"/>
    <row r="49" ht="15.75" customHeight="1" s="81"/>
    <row r="50" ht="15.75" customHeight="1" s="81"/>
    <row r="51" ht="15.75" customHeight="1" s="81"/>
    <row r="52" ht="15.75" customHeight="1" s="81"/>
    <row r="53" ht="15.75" customHeight="1" s="81"/>
    <row r="54" ht="15.75" customHeight="1" s="81"/>
    <row r="55" ht="15.75" customHeight="1" s="81"/>
    <row r="56" ht="15.75" customHeight="1" s="81"/>
    <row r="57" ht="15.75" customHeight="1" s="81"/>
    <row r="58" ht="15.75" customHeight="1" s="81"/>
    <row r="59" ht="15.75" customHeight="1" s="81"/>
    <row r="60" ht="15.75" customHeight="1" s="81"/>
    <row r="61" ht="15.75" customHeight="1" s="81"/>
    <row r="62" ht="15.75" customHeight="1" s="81"/>
    <row r="63" ht="15.75" customHeight="1" s="81"/>
    <row r="64" ht="15.75" customHeight="1" s="81"/>
    <row r="65" ht="15.75" customHeight="1" s="81"/>
    <row r="66" ht="15.75" customHeight="1" s="81"/>
    <row r="67" ht="15.75" customHeight="1" s="81"/>
    <row r="68" ht="15.75" customHeight="1" s="81"/>
    <row r="69" ht="15.75" customHeight="1" s="81"/>
    <row r="70" ht="15.75" customHeight="1" s="81"/>
    <row r="71" ht="15.75" customHeight="1" s="81"/>
    <row r="72" ht="15.75" customHeight="1" s="81"/>
    <row r="73" ht="15.75" customHeight="1" s="81"/>
    <row r="74" ht="15.75" customHeight="1" s="81"/>
    <row r="75" ht="15.75" customHeight="1" s="81"/>
    <row r="76" ht="15.75" customHeight="1" s="81"/>
    <row r="77" ht="15.75" customHeight="1" s="81"/>
    <row r="78" ht="15.75" customHeight="1" s="81"/>
    <row r="79" ht="15.75" customHeight="1" s="81"/>
    <row r="80" ht="15.75" customHeight="1" s="81"/>
    <row r="81" ht="15.75" customHeight="1" s="81"/>
    <row r="82" ht="15.75" customHeight="1" s="81"/>
    <row r="83" ht="15.75" customHeight="1" s="81"/>
    <row r="84" ht="15.75" customHeight="1" s="81"/>
    <row r="85" ht="15.75" customHeight="1" s="81"/>
    <row r="86" ht="15.75" customHeight="1" s="81"/>
    <row r="87" ht="15.75" customHeight="1" s="81"/>
    <row r="88" ht="15.75" customHeight="1" s="81"/>
    <row r="89" ht="15.75" customHeight="1" s="81"/>
    <row r="90" ht="15.75" customHeight="1" s="81"/>
    <row r="91" ht="15.75" customHeight="1" s="81"/>
    <row r="92" ht="15.75" customHeight="1" s="81"/>
    <row r="93" ht="15.75" customHeight="1" s="81"/>
    <row r="94" ht="15.75" customHeight="1" s="81"/>
    <row r="95" ht="15.75" customHeight="1" s="81"/>
    <row r="96" ht="15.75" customHeight="1" s="81"/>
    <row r="97" ht="15.75" customHeight="1" s="81"/>
    <row r="98" ht="15.75" customHeight="1" s="81"/>
    <row r="99" ht="15.75" customHeight="1" s="81"/>
    <row r="100" ht="15.75" customHeight="1" s="81"/>
    <row r="101" ht="15.75" customHeight="1" s="81"/>
    <row r="102" ht="15.75" customHeight="1" s="81"/>
    <row r="103" ht="15.75" customHeight="1" s="81"/>
    <row r="104" ht="15.75" customHeight="1" s="81"/>
    <row r="105" ht="15.75" customHeight="1" s="81"/>
    <row r="106" ht="15.75" customHeight="1" s="81"/>
    <row r="107" ht="15.75" customHeight="1" s="81"/>
    <row r="108" ht="15.75" customHeight="1" s="81"/>
    <row r="109" ht="15.75" customHeight="1" s="81"/>
    <row r="110" ht="15.75" customHeight="1" s="81"/>
    <row r="111" ht="15.75" customHeight="1" s="81"/>
    <row r="112" ht="15.75" customHeight="1" s="81"/>
    <row r="113" ht="15.75" customHeight="1" s="81"/>
    <row r="114" ht="15.75" customHeight="1" s="81"/>
    <row r="115" ht="15.75" customHeight="1" s="81"/>
    <row r="116" ht="15.75" customHeight="1" s="81"/>
    <row r="117" ht="15.75" customHeight="1" s="81"/>
    <row r="118" ht="15.75" customHeight="1" s="81"/>
    <row r="119" ht="15.75" customHeight="1" s="81"/>
    <row r="120" ht="15.75" customHeight="1" s="81"/>
    <row r="121" ht="15.75" customHeight="1" s="81"/>
    <row r="122" ht="15.75" customHeight="1" s="81"/>
    <row r="123" ht="15.75" customHeight="1" s="81"/>
    <row r="124" ht="15.75" customHeight="1" s="81"/>
    <row r="125" ht="15.75" customHeight="1" s="81"/>
    <row r="126" ht="15.75" customHeight="1" s="81"/>
    <row r="127" ht="15.75" customHeight="1" s="81"/>
    <row r="128" ht="15.75" customHeight="1" s="81"/>
    <row r="129" ht="15.75" customHeight="1" s="81"/>
    <row r="130" ht="15.75" customHeight="1" s="81"/>
    <row r="131" ht="15.75" customHeight="1" s="81"/>
    <row r="132" ht="15.75" customHeight="1" s="81"/>
    <row r="133" ht="15.75" customHeight="1" s="81"/>
    <row r="134" ht="15.75" customHeight="1" s="81"/>
    <row r="135" ht="15.75" customHeight="1" s="81"/>
    <row r="136" ht="15.75" customHeight="1" s="81"/>
    <row r="137" ht="15.75" customHeight="1" s="81"/>
    <row r="138" ht="15.75" customHeight="1" s="81"/>
    <row r="139" ht="15.75" customHeight="1" s="81"/>
    <row r="140" ht="15.75" customHeight="1" s="81"/>
    <row r="141" ht="15.75" customHeight="1" s="81"/>
    <row r="142" ht="15.75" customHeight="1" s="81"/>
    <row r="143" ht="15.75" customHeight="1" s="81"/>
    <row r="144" ht="15.75" customHeight="1" s="81"/>
    <row r="145" ht="15.75" customHeight="1" s="81"/>
    <row r="146" ht="15.75" customHeight="1" s="81"/>
    <row r="147" ht="15.75" customHeight="1" s="81"/>
    <row r="148" ht="15.75" customHeight="1" s="81"/>
    <row r="149" ht="15.75" customHeight="1" s="81"/>
    <row r="150" ht="15.75" customHeight="1" s="81"/>
    <row r="151" ht="15.75" customHeight="1" s="81"/>
    <row r="152" ht="15.75" customHeight="1" s="81"/>
    <row r="153" ht="15.75" customHeight="1" s="81"/>
    <row r="154" ht="15.75" customHeight="1" s="81"/>
    <row r="155" ht="15.75" customHeight="1" s="81"/>
    <row r="156" ht="15.75" customHeight="1" s="81"/>
    <row r="157" ht="15.75" customHeight="1" s="81"/>
    <row r="158" ht="15.75" customHeight="1" s="81"/>
    <row r="159" ht="15.75" customHeight="1" s="81"/>
    <row r="160" ht="15.75" customHeight="1" s="81"/>
    <row r="161" ht="15.75" customHeight="1" s="81"/>
    <row r="162" ht="15.75" customHeight="1" s="81"/>
    <row r="163" ht="15.75" customHeight="1" s="81"/>
    <row r="164" ht="15.75" customHeight="1" s="81"/>
    <row r="165" ht="15.75" customHeight="1" s="81"/>
    <row r="166" ht="15.75" customHeight="1" s="81"/>
    <row r="167" ht="15.75" customHeight="1" s="81"/>
    <row r="168" ht="15.75" customHeight="1" s="81"/>
    <row r="169" ht="15.75" customHeight="1" s="81"/>
    <row r="170" ht="15.75" customHeight="1" s="81"/>
    <row r="171" ht="15.75" customHeight="1" s="81"/>
    <row r="172" ht="15.75" customHeight="1" s="81"/>
    <row r="173" ht="15.75" customHeight="1" s="81"/>
    <row r="174" ht="15.75" customHeight="1" s="81"/>
    <row r="175" ht="15.75" customHeight="1" s="81"/>
    <row r="176" ht="15.75" customHeight="1" s="81"/>
    <row r="177" ht="15.75" customHeight="1" s="81"/>
    <row r="178" ht="15.75" customHeight="1" s="81"/>
    <row r="179" ht="15.75" customHeight="1" s="81"/>
    <row r="180" ht="15.75" customHeight="1" s="81"/>
    <row r="181" ht="15.75" customHeight="1" s="81"/>
    <row r="182" ht="15.75" customHeight="1" s="81"/>
    <row r="183" ht="15.75" customHeight="1" s="81"/>
    <row r="184" ht="15.75" customHeight="1" s="81"/>
    <row r="185" ht="15.75" customHeight="1" s="81"/>
    <row r="186" ht="15.75" customHeight="1" s="81"/>
    <row r="187" ht="15.75" customHeight="1" s="81"/>
    <row r="188" ht="15.75" customHeight="1" s="81"/>
    <row r="189" ht="15.75" customHeight="1" s="81"/>
    <row r="190" ht="15.75" customHeight="1" s="81"/>
    <row r="191" ht="15.75" customHeight="1" s="81"/>
    <row r="192" ht="15.75" customHeight="1" s="81"/>
    <row r="193" ht="15.75" customHeight="1" s="81"/>
    <row r="194" ht="15.75" customHeight="1" s="81"/>
    <row r="195" ht="15.75" customHeight="1" s="81"/>
    <row r="196" ht="15.75" customHeight="1" s="81"/>
    <row r="197" ht="15.75" customHeight="1" s="81"/>
    <row r="198" ht="15.75" customHeight="1" s="81"/>
    <row r="199" ht="15.75" customHeight="1" s="81"/>
    <row r="200" ht="15.75" customHeight="1" s="81"/>
    <row r="201" ht="15.75" customHeight="1" s="81"/>
    <row r="202" ht="15.75" customHeight="1" s="81"/>
    <row r="203" ht="15.75" customHeight="1" s="81"/>
    <row r="204" ht="15.75" customHeight="1" s="81"/>
    <row r="205" ht="15.75" customHeight="1" s="81"/>
    <row r="206" ht="15.75" customHeight="1" s="81"/>
    <row r="207" ht="15.75" customHeight="1" s="81"/>
    <row r="208" ht="15.75" customHeight="1" s="81"/>
    <row r="209" ht="15.75" customHeight="1" s="81"/>
    <row r="210" ht="15.75" customHeight="1" s="81"/>
    <row r="211" ht="15.75" customHeight="1" s="81"/>
    <row r="212" ht="15.75" customHeight="1" s="81"/>
    <row r="213" ht="15.75" customHeight="1" s="81"/>
    <row r="214" ht="15.75" customHeight="1" s="81"/>
    <row r="215" ht="15.75" customHeight="1" s="81"/>
    <row r="216" ht="15.75" customHeight="1" s="81"/>
    <row r="217" ht="15.75" customHeight="1" s="81"/>
    <row r="218" ht="15.75" customHeight="1" s="81"/>
    <row r="219" ht="15.75" customHeight="1" s="81"/>
    <row r="220" ht="15.75" customHeight="1" s="81"/>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mergeCells count="9">
    <mergeCell ref="A41:F41"/>
    <mergeCell ref="A2:F2"/>
    <mergeCell ref="A42:F42"/>
    <mergeCell ref="A44:F44"/>
    <mergeCell ref="A1:F1"/>
    <mergeCell ref="A31:F31"/>
    <mergeCell ref="A22:F22"/>
    <mergeCell ref="A12:F12"/>
    <mergeCell ref="A4:F4"/>
  </mergeCells>
  <pageMargins left="0.75" right="0.75" top="1" bottom="1" header="0" footer="0"/>
  <pageSetup orientation="landscape" paperSize="8"/>
</worksheet>
</file>

<file path=xl/worksheets/sheet12.xml><?xml version="1.0" encoding="utf-8"?>
<worksheet xmlns="http://schemas.openxmlformats.org/spreadsheetml/2006/main">
  <sheetPr>
    <outlinePr summaryBelow="1" summaryRight="1"/>
    <pageSetUpPr fitToPage="1"/>
  </sheetPr>
  <dimension ref="A1:J60"/>
  <sheetViews>
    <sheetView showGridLines="0" workbookViewId="0">
      <pane xSplit="4" ySplit="4" topLeftCell="E5" activePane="bottomRight" state="frozen"/>
      <selection pane="topRight" activeCell="E1" sqref="E1"/>
      <selection pane="bottomLeft" activeCell="A5" sqref="A5"/>
      <selection pane="bottomRight" activeCell="E5" sqref="E5"/>
    </sheetView>
  </sheetViews>
  <sheetFormatPr baseColWidth="8" defaultColWidth="14.43" defaultRowHeight="15" customHeight="1"/>
  <cols>
    <col width="7" customWidth="1" style="81" min="1" max="1"/>
    <col width="14" customWidth="1" style="81" min="2" max="2"/>
    <col width="11" customWidth="1" style="81" min="3" max="3"/>
    <col width="25" customWidth="1" style="81" min="4" max="4"/>
    <col width="73" customWidth="1" style="81" min="5" max="5"/>
    <col width="14" customWidth="1" style="81" min="6" max="6"/>
    <col width="68" customWidth="1" style="81" min="7" max="7"/>
    <col width="88" customWidth="1" style="81" min="8" max="8"/>
    <col width="62" customWidth="1" style="81" min="9" max="9"/>
    <col width="24" customWidth="1" style="81" min="10" max="10"/>
    <col width="8.710000000000001" customWidth="1" style="81" min="11" max="26"/>
  </cols>
  <sheetData>
    <row r="1" ht="33.75" customHeight="1" s="81">
      <c r="A1" s="89" t="inlineStr">
        <is>
          <t>CÁC ĐIỂM CẦN LÀM RÕ SAU KHI ĐỌC FILE V1 ĐÃ TRẢ LỜI</t>
        </is>
      </c>
    </row>
    <row r="2" ht="51.75" customHeight="1" s="81">
      <c r="A2" s="90" t="inlineStr">
        <is>
          <t>Không tự sửa câu trả lời của người dùng. Lọc P0 để ưu tiên những điểm ảnh hưởng tiền, quyền ra cổng và điều chỉnh số container.</t>
        </is>
      </c>
    </row>
    <row r="4" ht="49.5" customHeight="1" s="81">
      <c r="A4" s="11" t="inlineStr">
        <is>
          <t>STT</t>
        </is>
      </c>
      <c r="B4" s="11" t="inlineStr">
        <is>
          <t>Mã câu hỏi</t>
        </is>
      </c>
      <c r="C4" s="11" t="inlineStr">
        <is>
          <t>Ưu tiên</t>
        </is>
      </c>
      <c r="D4" s="11" t="inlineStr">
        <is>
          <t>Nhóm nghiệp vụ</t>
        </is>
      </c>
      <c r="E4" s="11" t="inlineStr">
        <is>
          <t>Nội dung cần chốt</t>
        </is>
      </c>
      <c r="F4" s="11" t="inlineStr">
        <is>
          <t>Người dùng đã chọn</t>
        </is>
      </c>
      <c r="G4" s="11" t="inlineStr">
        <is>
          <t>Ghi chú trả lời nguyên văn</t>
        </is>
      </c>
      <c r="H4" s="11" t="inlineStr">
        <is>
          <t>Điểm cần làm rõ / mâu thuẫn</t>
        </is>
      </c>
      <c r="I4" s="11" t="inlineStr">
        <is>
          <t>Ý kiến bổ sung (điền)</t>
        </is>
      </c>
      <c r="J4" s="11" t="inlineStr">
        <is>
          <t>Trạng thái rà soát (điền)</t>
        </is>
      </c>
    </row>
    <row r="5" ht="72" customHeight="1" s="81">
      <c r="A5" s="68" t="n">
        <v>1</v>
      </c>
      <c r="B5" s="68" t="inlineStr">
        <is>
          <t>CNT01</t>
        </is>
      </c>
      <c r="C5" s="69" t="inlineStr">
        <is>
          <t>P0</t>
        </is>
      </c>
      <c r="D5" s="68" t="inlineStr">
        <is>
          <t>02. Lưu container</t>
        </is>
      </c>
      <c r="E5" s="68" t="inlineStr">
        <is>
          <t>Phí lưu chốt theo giờ CCKB duyệt/thu hay giờ container ra thật? Ai kiểm tra tiền cuối cùng: An ninh hay CCKB?</t>
        </is>
      </c>
      <c r="F5" s="68" t="n"/>
      <c r="G5" s="68" t="n"/>
      <c r="H5" s="68" t="inlineStr">
        <is>
          <t>Câu hỏi mới từ phần nghiệp vụ phát sinh; chờ bạn trả lời.</t>
        </is>
      </c>
      <c r="I5" s="25" t="n"/>
      <c r="J5" s="25" t="inlineStr">
        <is>
          <t>Chờ bổ sung</t>
        </is>
      </c>
    </row>
    <row r="6" ht="72" customHeight="1" s="81">
      <c r="A6" s="71" t="n">
        <v>2</v>
      </c>
      <c r="B6" s="71" t="inlineStr">
        <is>
          <t>D06</t>
        </is>
      </c>
      <c r="C6" s="69" t="inlineStr">
        <is>
          <t>P0</t>
        </is>
      </c>
      <c r="D6" s="71" t="inlineStr">
        <is>
          <t>06. Điều phối / container</t>
        </is>
      </c>
      <c r="E6" s="71" t="inlineStr">
        <is>
          <t>Khi số container gõ nhầm hoặc khác so với trên vé, người nào được xác nhận sửa thông tin?</t>
        </is>
      </c>
      <c r="F6" s="71" t="inlineStr">
        <is>
          <t>A</t>
        </is>
      </c>
      <c r="G6" s="71" t="inlineStr">
        <is>
          <t>TBP thì sửa trực tiếp</t>
        </is>
      </c>
      <c r="H6" s="71" t="inlineStr">
        <is>
          <t>F=A NV An ninh sửa; G TBP được sửa trực tiếp; yêu cầu mới An ninh sửa và báo CCKB. Cần ngưỡng quyền sau thu/ra.</t>
        </is>
      </c>
      <c r="I6" s="25" t="n"/>
      <c r="J6" s="25" t="inlineStr">
        <is>
          <t>Chờ bổ sung</t>
        </is>
      </c>
    </row>
    <row r="7" ht="72" customHeight="1" s="81">
      <c r="A7" s="68" t="n">
        <v>3</v>
      </c>
      <c r="B7" s="68" t="inlineStr">
        <is>
          <t>E06</t>
        </is>
      </c>
      <c r="C7" s="69" t="inlineStr">
        <is>
          <t>P0</t>
        </is>
      </c>
      <c r="D7" s="68" t="inlineStr">
        <is>
          <t>03. Cắm/rút điện</t>
        </is>
      </c>
      <c r="E7" s="68" t="inlineStr">
        <is>
          <t>Sau khi đã thu tiền điện, CCKB được sửa giờ tới mức nào và quy trình phê duyệt chênh lệch?</t>
        </is>
      </c>
      <c r="F7" s="68" t="inlineStr">
        <is>
          <t>B</t>
        </is>
      </c>
      <c r="G7" s="68" t="inlineStr">
        <is>
          <t>A Và B</t>
        </is>
      </c>
      <c r="H7" s="68" t="inlineStr">
        <is>
          <t>F=B nhưng G=A và B: vừa NV đề nghị/TBP duyệt vừa TBP sửa trực tiếp; cần điều kiện khi nào mỗi cách.</t>
        </is>
      </c>
      <c r="I7" s="25" t="n"/>
      <c r="J7" s="25" t="inlineStr">
        <is>
          <t>Chờ bổ sung</t>
        </is>
      </c>
    </row>
    <row r="8" ht="72" customHeight="1" s="81">
      <c r="A8" s="71" t="n">
        <v>4</v>
      </c>
      <c r="B8" s="71" t="inlineStr">
        <is>
          <t>E07</t>
        </is>
      </c>
      <c r="C8" s="69" t="inlineStr">
        <is>
          <t>P0</t>
        </is>
      </c>
      <c r="D8" s="71" t="inlineStr">
        <is>
          <t>03. Cắm/rút điện</t>
        </is>
      </c>
      <c r="E8" s="71" t="inlineStr">
        <is>
          <t>Phiên điện còn trạng thái Đang cắm trên PWA nhưng thực tế đã rút, container có được xuất không?</t>
        </is>
      </c>
      <c r="F8" s="71" t="inlineStr">
        <is>
          <t>A</t>
        </is>
      </c>
      <c r="G8" s="71" t="inlineStr">
        <is>
          <t xml:space="preserve">Làm cách nào thoai r mái hon, CCKB cứ xác định xe đã được ra thì ra, nếu xe ra đến cổng mà chưa thấy được ra thì gọi hoặc nhắn nhóm có CCKB </t>
        </is>
      </c>
      <c r="H8" s="71" t="inlineStr">
        <is>
          <t>F=A buộc cập nhật xong trước ra, nhưng G ưu tiên CCKB xác nhận bằng tay và Zalo khi cần; cần cơ chế override có audit.</t>
        </is>
      </c>
      <c r="I8" s="25" t="n"/>
      <c r="J8" s="25" t="inlineStr">
        <is>
          <t>Chờ bổ sung</t>
        </is>
      </c>
    </row>
    <row r="9" ht="72" customHeight="1" s="81">
      <c r="A9" s="68" t="n">
        <v>5</v>
      </c>
      <c r="B9" s="68" t="inlineStr">
        <is>
          <t>E08</t>
        </is>
      </c>
      <c r="C9" s="69" t="inlineStr">
        <is>
          <t>P0</t>
        </is>
      </c>
      <c r="D9" s="68" t="inlineStr">
        <is>
          <t>03. Cắm/rút điện</t>
        </is>
      </c>
      <c r="E9" s="68" t="inlineStr">
        <is>
          <t>Khi không có mạng/không thể cập nhật giờ rút, cần quy trình bàn giao ngoài hệ thống và bổ sung dữ liệu như thế nào?</t>
        </is>
      </c>
      <c r="F9" s="68" t="inlineStr">
        <is>
          <t>A</t>
        </is>
      </c>
      <c r="G9" s="68" t="inlineStr">
        <is>
          <t>chỗ này chưa hiểu</t>
        </is>
      </c>
      <c r="H9" s="68" t="inlineStr">
        <is>
          <t>G ghi “chỗ này chưa hiểu”; không thể coi là quyết định đã chốt dù F=A. Cần giải thích quy trình offline và nhập bù.</t>
        </is>
      </c>
      <c r="I9" s="25" t="n"/>
      <c r="J9" s="25" t="inlineStr">
        <is>
          <t>Chờ bổ sung</t>
        </is>
      </c>
    </row>
    <row r="10" ht="72" customHeight="1" s="81">
      <c r="A10" s="71" t="n">
        <v>6</v>
      </c>
      <c r="B10" s="71" t="inlineStr">
        <is>
          <t>E09</t>
        </is>
      </c>
      <c r="C10" s="69" t="inlineStr">
        <is>
          <t>P0</t>
        </is>
      </c>
      <c r="D10" s="71" t="inlineStr">
        <is>
          <t>03. Cắm/rút điện</t>
        </is>
      </c>
      <c r="E10" s="71" t="inlineStr">
        <is>
          <t>Tổng thời gian thực tế tính bằng giây hay phút? Ví dụ 4 giờ 00 phút 01 giây có làm tròn thành 4 giờ 15 phút không?</t>
        </is>
      </c>
      <c r="F10" s="71" t="inlineStr">
        <is>
          <t>Khác</t>
        </is>
      </c>
      <c r="G10" s="71" t="inlineStr">
        <is>
          <t>Hieện tại CCKB tự làm tròn</t>
        </is>
      </c>
      <c r="H10" s="71" t="inlineStr">
        <is>
          <t>G: CCKB tự làm tròn, trong khi đã chốt tính tròn lên mỗi 15 phút. Cần xác nhận tự tính mặc định + cho điều chỉnh thủ công.</t>
        </is>
      </c>
      <c r="I10" s="25" t="n"/>
      <c r="J10" s="25" t="inlineStr">
        <is>
          <t>Chờ bổ sung</t>
        </is>
      </c>
    </row>
    <row r="11" ht="72" customHeight="1" s="81">
      <c r="A11" s="68" t="n">
        <v>7</v>
      </c>
      <c r="B11" s="68" t="inlineStr">
        <is>
          <t>INV01</t>
        </is>
      </c>
      <c r="C11" s="69" t="inlineStr">
        <is>
          <t>P0</t>
        </is>
      </c>
      <c r="D11" s="68" t="inlineStr">
        <is>
          <t>04. Thanh toán</t>
        </is>
      </c>
      <c r="E11" s="68" t="inlineStr">
        <is>
          <t>Khi An ninh nhận thông tin xuất hóa đơn tại cổng vào, những trường nào bắt buộc theo từng loại khách hàng?</t>
        </is>
      </c>
      <c r="F11" s="68" t="n"/>
      <c r="G11" s="68" t="n"/>
      <c r="H11" s="68" t="inlineStr">
        <is>
          <t>Câu hỏi mới từ phần nghiệp vụ phát sinh; chờ bạn trả lời.</t>
        </is>
      </c>
      <c r="I11" s="25" t="n"/>
      <c r="J11" s="25" t="inlineStr">
        <is>
          <t>Chờ bổ sung</t>
        </is>
      </c>
    </row>
    <row r="12" ht="72" customHeight="1" s="81">
      <c r="A12" s="71" t="n">
        <v>8</v>
      </c>
      <c r="B12" s="71" t="inlineStr">
        <is>
          <t>K01</t>
        </is>
      </c>
      <c r="C12" s="69" t="inlineStr">
        <is>
          <t>P0</t>
        </is>
      </c>
      <c r="D12" s="71" t="inlineStr">
        <is>
          <t>08. Kỹ thuật / bảo mật</t>
        </is>
      </c>
      <c r="E12" s="71" t="inlineStr">
        <is>
          <t>Phần mềm chạy trên tên miền/subdomain nào và ai chịu trách nhiệm quản trị máy chủ?</t>
        </is>
      </c>
      <c r="F12" s="71" t="n"/>
      <c r="G12" s="71" t="n"/>
      <c r="H12" s="71" t="inlineStr">
        <is>
          <t>K01: ô lựa chọn thật sự để trống trong file V1, dù cột H được đánh dấu Đã chốt. Cần chọn tên miền/subdomain.</t>
        </is>
      </c>
      <c r="I12" s="25" t="n"/>
      <c r="J12" s="25" t="inlineStr">
        <is>
          <t>Chờ bổ sung</t>
        </is>
      </c>
    </row>
    <row r="13" ht="72" customHeight="1" s="81">
      <c r="A13" s="68" t="n">
        <v>9</v>
      </c>
      <c r="B13" s="68" t="inlineStr">
        <is>
          <t>L04</t>
        </is>
      </c>
      <c r="C13" s="69" t="inlineStr">
        <is>
          <t>P0</t>
        </is>
      </c>
      <c r="D13" s="68" t="inlineStr">
        <is>
          <t>02. Lưu container</t>
        </is>
      </c>
      <c r="E13" s="68" t="inlineStr">
        <is>
          <t>CCKB đã duyệt thanh toán trước 22:00, nhưng container thực tế xuất sau 22:00 và phát sinh thêm kỳ đêm: quy trình cập nhật phí?</t>
        </is>
      </c>
      <c r="F13" s="68" t="inlineStr">
        <is>
          <t>B</t>
        </is>
      </c>
      <c r="G13" s="68" t="inlineStr">
        <is>
          <t>Vì nhiều lúc thanh toán và rút rồi nhưng chưa ra nhé</t>
        </is>
      </c>
      <c r="H13" s="68" t="inlineStr">
        <is>
          <t>F=B khóa phí tại giờ CCKB duyệt; T09 lại chọn tính lại tại lúc cont thực ra. Cần xác định mốc chốt phí sau 22:00.</t>
        </is>
      </c>
      <c r="I13" s="25" t="n"/>
      <c r="J13" s="25" t="inlineStr">
        <is>
          <t>Chờ bổ sung</t>
        </is>
      </c>
    </row>
    <row r="14" ht="72" customHeight="1" s="81">
      <c r="A14" s="71" t="n">
        <v>10</v>
      </c>
      <c r="B14" s="71" t="inlineStr">
        <is>
          <t>M03</t>
        </is>
      </c>
      <c r="C14" s="69" t="inlineStr">
        <is>
          <t>P0</t>
        </is>
      </c>
      <c r="D14" s="71" t="inlineStr">
        <is>
          <t>09. Chuyển dữ liệu</t>
        </is>
      </c>
      <c r="E14" s="71" t="inlineStr">
        <is>
          <t>Các dòng dữ liệu cũ có ghi chú tiền thực thu khác tiền phải thu: ai là người kiểm tra, xác nhận kết quả trước chuyển?</t>
        </is>
      </c>
      <c r="F14" s="71" t="inlineStr">
        <is>
          <t>Khác</t>
        </is>
      </c>
      <c r="G14" s="71" t="inlineStr">
        <is>
          <t>Tiền thì tạm thời bỏ qua vò giờ trên hệ thống nhiều xe quên chưa cho ra lắ</t>
        </is>
      </c>
      <c r="H14" s="71" t="inlineStr">
        <is>
          <t>G: tạm bỏ qua đối soát tài chính lịch sử do còn nhiều xe quên chốt ra; cần đánh dấu dữ liệu cũ chưa xác minh, không đưa vào công nợ V1.</t>
        </is>
      </c>
      <c r="I14" s="25" t="n"/>
      <c r="J14" s="25" t="inlineStr">
        <is>
          <t>Chờ bổ sung</t>
        </is>
      </c>
    </row>
    <row r="15" ht="72" customHeight="1" s="81">
      <c r="A15" s="68" t="n">
        <v>11</v>
      </c>
      <c r="B15" s="68" t="inlineStr">
        <is>
          <t>M04</t>
        </is>
      </c>
      <c r="C15" s="69" t="inlineStr">
        <is>
          <t>P0</t>
        </is>
      </c>
      <c r="D15" s="68" t="inlineStr">
        <is>
          <t>09. Chuyển dữ liệu</t>
        </is>
      </c>
      <c r="E15" s="68" t="inlineStr">
        <is>
          <t>Giờ ra xe/container thực tế khác dữ liệu nhập do bổ sung muộn: dùng mốc nào làm dữ liệu gốc khi chuyển?</t>
        </is>
      </c>
      <c r="F15" s="68" t="inlineStr">
        <is>
          <t>A</t>
        </is>
      </c>
      <c r="G15" s="68" t="inlineStr">
        <is>
          <t>quan trị viên cấp cao có thể sửa trực tiếp hết nhé, vì hiện tại tôi thấy lỗi nhieuf chính trên GG sheets đang đễ sau này sửa thì vào db sửa lại khó hơn</t>
        </is>
      </c>
      <c r="H15" s="68" t="inlineStr">
        <is>
          <t>G: Quản trị cấp cao được sửa mọi dữ liệu sai, nhưng cần công cụ sửa trong app kèm audit, tránh sửa DB trực tiếp không lưu lịch sử.</t>
        </is>
      </c>
      <c r="I15" s="25" t="n"/>
      <c r="J15" s="25" t="inlineStr">
        <is>
          <t>Chờ bổ sung</t>
        </is>
      </c>
    </row>
    <row r="16" ht="72" customHeight="1" s="81">
      <c r="A16" s="71" t="n">
        <v>12</v>
      </c>
      <c r="B16" s="71" t="inlineStr">
        <is>
          <t>OUT01</t>
        </is>
      </c>
      <c r="C16" s="69" t="inlineStr">
        <is>
          <t>P0</t>
        </is>
      </c>
      <c r="D16" s="71" t="inlineStr">
        <is>
          <t>04. Thanh toán</t>
        </is>
      </c>
      <c r="E16" s="71" t="inlineStr">
        <is>
          <t>Khi CCKB xác nhận cho container ra dù chưa ghi nhận đủ tiền, ai có quyền và có bắt buộc ghi lý do/cảnh báo công nợ không?</t>
        </is>
      </c>
      <c r="F16" s="71" t="n"/>
      <c r="G16" s="71" t="n"/>
      <c r="H16" s="71" t="inlineStr">
        <is>
          <t>Câu hỏi mới từ phần nghiệp vụ phát sinh; chờ bạn trả lời.</t>
        </is>
      </c>
      <c r="I16" s="25" t="n"/>
      <c r="J16" s="25" t="inlineStr">
        <is>
          <t>Chờ bổ sung</t>
        </is>
      </c>
    </row>
    <row r="17" ht="72" customHeight="1" s="81">
      <c r="A17" s="68" t="n">
        <v>13</v>
      </c>
      <c r="B17" s="68" t="inlineStr">
        <is>
          <t>P07</t>
        </is>
      </c>
      <c r="C17" s="69" t="inlineStr">
        <is>
          <t>P0</t>
        </is>
      </c>
      <c r="D17" s="68" t="inlineStr">
        <is>
          <t>05. Phân quyền</t>
        </is>
      </c>
      <c r="E17" s="68" t="inlineStr">
        <is>
          <t>Một nhân viên có thể kiêm 2 bộ phận/vai trò trên một tài khoản không?</t>
        </is>
      </c>
      <c r="F17" s="68" t="inlineStr">
        <is>
          <t>Khác</t>
        </is>
      </c>
      <c r="G17" s="68" t="inlineStr">
        <is>
          <t>Cài này có lúc theo ca có lúc 1 tk nhiêu role nhưng cứ xây dựng giai đoạn đầu máy sẽ cố định tại bốt cont CCKB thì sẽ đăng nhập tk cá nhân(Sau này muốn phát triển ai có ca mới được vào)</t>
        </is>
      </c>
      <c r="H17" s="68" t="inlineStr">
        <is>
          <t>PWA tại bốt An ninh có thể dùng thiết bị cố định; CCKB dùng tài khoản cá nhân, phân vai theo ca sau. Cần audit cá nhân khi dùng thiết bị chung.</t>
        </is>
      </c>
      <c r="I17" s="25" t="n"/>
      <c r="J17" s="25" t="inlineStr">
        <is>
          <t>Chờ bổ sung</t>
        </is>
      </c>
    </row>
    <row r="18" ht="72" customHeight="1" s="81">
      <c r="A18" s="71" t="n">
        <v>14</v>
      </c>
      <c r="B18" s="71" t="inlineStr">
        <is>
          <t>PR03</t>
        </is>
      </c>
      <c r="C18" s="69" t="inlineStr">
        <is>
          <t>P0</t>
        </is>
      </c>
      <c r="D18" s="71" t="inlineStr">
        <is>
          <t>03. Cắm/rút điện</t>
        </is>
      </c>
      <c r="E18" s="71" t="inlineStr">
        <is>
          <t>Khách gửi một yêu cầu gồm 3 container A, B, C: tạo một phiếu chung có 3 dòng container hay 3 phiếu riêng?</t>
        </is>
      </c>
      <c r="F18" s="71" t="n"/>
      <c r="G18" s="71" t="n"/>
      <c r="H18" s="71" t="inlineStr">
        <is>
          <t>Câu hỏi mới từ phần nghiệp vụ phát sinh; chờ bạn trả lời.</t>
        </is>
      </c>
      <c r="I18" s="25" t="n"/>
      <c r="J18" s="25" t="inlineStr">
        <is>
          <t>Chờ bổ sung</t>
        </is>
      </c>
    </row>
    <row r="19" ht="72" customHeight="1" s="81">
      <c r="A19" s="68" t="n">
        <v>15</v>
      </c>
      <c r="B19" s="68" t="inlineStr">
        <is>
          <t>PR04</t>
        </is>
      </c>
      <c r="C19" s="69" t="inlineStr">
        <is>
          <t>P0</t>
        </is>
      </c>
      <c r="D19" s="68" t="inlineStr">
        <is>
          <t>03. Cắm/rút điện</t>
        </is>
      </c>
      <c r="E19" s="68" t="inlineStr">
        <is>
          <t>Khi An ninh ghi số cont lúc vào, hệ thống ghép yêu cầu dự kiến và lượt cont thực tế theo cách nào?</t>
        </is>
      </c>
      <c r="F19" s="68" t="n"/>
      <c r="G19" s="68" t="n"/>
      <c r="H19" s="68" t="inlineStr">
        <is>
          <t>Câu hỏi mới từ phần nghiệp vụ phát sinh; chờ bạn trả lời.</t>
        </is>
      </c>
      <c r="I19" s="25" t="n"/>
      <c r="J19" s="25" t="inlineStr">
        <is>
          <t>Chờ bổ sung</t>
        </is>
      </c>
    </row>
    <row r="20" ht="72" customHeight="1" s="81">
      <c r="A20" s="71" t="n">
        <v>16</v>
      </c>
      <c r="B20" s="71" t="inlineStr">
        <is>
          <t>PR07</t>
        </is>
      </c>
      <c r="C20" s="69" t="inlineStr">
        <is>
          <t>P0</t>
        </is>
      </c>
      <c r="D20" s="71" t="inlineStr">
        <is>
          <t>03. Cắm/rút điện</t>
        </is>
      </c>
      <c r="E20" s="71" t="inlineStr">
        <is>
          <t>Khi khách đổi số cont A thành B trước khi xe vào, ai được phép sửa thông tin dự kiến và có thông báo An ninh không?</t>
        </is>
      </c>
      <c r="F20" s="71" t="n"/>
      <c r="G20" s="71" t="n"/>
      <c r="H20" s="71" t="inlineStr">
        <is>
          <t>Câu hỏi mới từ phần nghiệp vụ phát sinh; chờ bạn trả lời.</t>
        </is>
      </c>
      <c r="I20" s="25" t="n"/>
      <c r="J20" s="25" t="inlineStr">
        <is>
          <t>Chờ bổ sung</t>
        </is>
      </c>
    </row>
    <row r="21" ht="72" customHeight="1" s="81">
      <c r="A21" s="68" t="n">
        <v>17</v>
      </c>
      <c r="B21" s="68" t="inlineStr">
        <is>
          <t>SC02</t>
        </is>
      </c>
      <c r="C21" s="69" t="inlineStr">
        <is>
          <t>P0</t>
        </is>
      </c>
      <c r="D21" s="68" t="inlineStr">
        <is>
          <t>06. Điều phối / container</t>
        </is>
      </c>
      <c r="E21" s="68" t="inlineStr">
        <is>
          <t>Nếu phát hiện sai số container SAU khi cắm/rút điện hoặc đã thu tiền, có cho sửa trực tiếp hay phải trình duyệt?</t>
        </is>
      </c>
      <c r="F21" s="68" t="n"/>
      <c r="G21" s="68" t="n"/>
      <c r="H21" s="68" t="inlineStr">
        <is>
          <t>Câu hỏi mới từ phần nghiệp vụ phát sinh; chờ bạn trả lời.</t>
        </is>
      </c>
      <c r="I21" s="25" t="n"/>
      <c r="J21" s="25" t="inlineStr">
        <is>
          <t>Chờ bổ sung</t>
        </is>
      </c>
    </row>
    <row r="22" ht="72" customHeight="1" s="81">
      <c r="A22" s="71" t="n">
        <v>18</v>
      </c>
      <c r="B22" s="71" t="inlineStr">
        <is>
          <t>SC04</t>
        </is>
      </c>
      <c r="C22" s="69" t="inlineStr">
        <is>
          <t>P0</t>
        </is>
      </c>
      <c r="D22" s="71" t="inlineStr">
        <is>
          <t>06. Điều phối / container</t>
        </is>
      </c>
      <c r="E22" s="71" t="inlineStr">
        <is>
          <t>Sau khi An ninh sửa số cont, CCKB nhận thông báo và xác nhận lại bằng cách nào?</t>
        </is>
      </c>
      <c r="F22" s="71" t="n"/>
      <c r="G22" s="71" t="n"/>
      <c r="H22" s="71" t="inlineStr">
        <is>
          <t>Câu hỏi mới từ phần nghiệp vụ phát sinh; chờ bạn trả lời.</t>
        </is>
      </c>
      <c r="I22" s="25" t="n"/>
      <c r="J22" s="25" t="inlineStr">
        <is>
          <t>Chờ bổ sung</t>
        </is>
      </c>
    </row>
    <row r="23" ht="72" customHeight="1" s="81">
      <c r="A23" s="68" t="n">
        <v>19</v>
      </c>
      <c r="B23" s="68" t="inlineStr">
        <is>
          <t>SC05</t>
        </is>
      </c>
      <c r="C23" s="69" t="inlineStr">
        <is>
          <t>P0</t>
        </is>
      </c>
      <c r="D23" s="68" t="inlineStr">
        <is>
          <t>06. Điều phối / container</t>
        </is>
      </c>
      <c r="E23" s="68" t="inlineStr">
        <is>
          <t>Khi cont thực tế khác số cont CCKB đã ghi dự kiến, cần cập nhật phiếu dự kiến hay tạo yêu cầu mới?</t>
        </is>
      </c>
      <c r="F23" s="68" t="n"/>
      <c r="G23" s="68" t="n"/>
      <c r="H23" s="68" t="inlineStr">
        <is>
          <t>Câu hỏi mới từ phần nghiệp vụ phát sinh; chờ bạn trả lời.</t>
        </is>
      </c>
      <c r="I23" s="25" t="n"/>
      <c r="J23" s="25" t="inlineStr">
        <is>
          <t>Chờ bổ sung</t>
        </is>
      </c>
    </row>
    <row r="24" ht="72" customHeight="1" s="81">
      <c r="A24" s="71" t="n">
        <v>20</v>
      </c>
      <c r="B24" s="71" t="inlineStr">
        <is>
          <t>SC06</t>
        </is>
      </c>
      <c r="C24" s="69" t="inlineStr">
        <is>
          <t>P0</t>
        </is>
      </c>
      <c r="D24" s="71" t="inlineStr">
        <is>
          <t>06. Điều phối / container</t>
        </is>
      </c>
      <c r="E24" s="71" t="inlineStr">
        <is>
          <t>Nếu số cont sửa thành số đang thuộc một lượt container khác đang trong bãi, có cho lưu không?</t>
        </is>
      </c>
      <c r="F24" s="71" t="n"/>
      <c r="G24" s="71" t="n"/>
      <c r="H24" s="71" t="inlineStr">
        <is>
          <t>Câu hỏi mới từ phần nghiệp vụ phát sinh; chờ bạn trả lời.</t>
        </is>
      </c>
      <c r="I24" s="25" t="n"/>
      <c r="J24" s="25" t="inlineStr">
        <is>
          <t>Chờ bổ sung</t>
        </is>
      </c>
    </row>
    <row r="25" ht="72" customHeight="1" s="81">
      <c r="A25" s="68" t="n">
        <v>21</v>
      </c>
      <c r="B25" s="68" t="inlineStr">
        <is>
          <t>SC08</t>
        </is>
      </c>
      <c r="C25" s="69" t="inlineStr">
        <is>
          <t>P0</t>
        </is>
      </c>
      <c r="D25" s="68" t="inlineStr">
        <is>
          <t>06. Điều phối / container</t>
        </is>
      </c>
      <c r="E25" s="68" t="inlineStr">
        <is>
          <t>Nếu đã cấp đủ điều kiện tài chính rồi phát hiện sai số cont, cần thu hồi duyệt xuất và kiểm tra lại phí không?</t>
        </is>
      </c>
      <c r="F25" s="68" t="n"/>
      <c r="G25" s="68" t="n"/>
      <c r="H25" s="68" t="inlineStr">
        <is>
          <t>Câu hỏi mới từ phần nghiệp vụ phát sinh; chờ bạn trả lời.</t>
        </is>
      </c>
      <c r="I25" s="25" t="n"/>
      <c r="J25" s="25" t="inlineStr">
        <is>
          <t>Chờ bổ sung</t>
        </is>
      </c>
    </row>
    <row r="26" ht="72" customHeight="1" s="81">
      <c r="A26" s="71" t="n">
        <v>22</v>
      </c>
      <c r="B26" s="71" t="inlineStr">
        <is>
          <t>T03</t>
        </is>
      </c>
      <c r="C26" s="69" t="inlineStr">
        <is>
          <t>P0</t>
        </is>
      </c>
      <c r="D26" s="71" t="inlineStr">
        <is>
          <t>04. Thanh toán</t>
        </is>
      </c>
      <c r="E26" s="71" t="inlineStr">
        <is>
          <t>Xác nhận chuyển khoản dựa trên ảnh khách gửi hay bắt buộc kiểm tra tài khoản công ty thực nhận?</t>
        </is>
      </c>
      <c r="F26" s="71" t="inlineStr">
        <is>
          <t>A</t>
        </is>
      </c>
      <c r="G26" s="71" t="inlineStr">
        <is>
          <t>CCKB tự xác định tiền cắm còn Lưu đêm và vé vào thì an ninh</t>
        </is>
      </c>
      <c r="H26" s="71" t="inlineStr">
        <is>
          <t>G: CCKB kiểm tra tiền cắm, AN NINH nhận lưu đêm và vé; mâu thuẫn phân công CCKB thu phí lưu đã nói trước.</t>
        </is>
      </c>
      <c r="I26" s="25" t="n"/>
      <c r="J26" s="25" t="inlineStr">
        <is>
          <t>Chờ bổ sung</t>
        </is>
      </c>
    </row>
    <row r="27" ht="72" customHeight="1" s="81">
      <c r="A27" s="68" t="n">
        <v>23</v>
      </c>
      <c r="B27" s="68" t="inlineStr">
        <is>
          <t>T08</t>
        </is>
      </c>
      <c r="C27" s="69" t="inlineStr">
        <is>
          <t>P0</t>
        </is>
      </c>
      <c r="D27" s="68" t="inlineStr">
        <is>
          <t>04. Thanh toán</t>
        </is>
      </c>
      <c r="E27" s="68" t="inlineStr">
        <is>
          <t>Có cho xuất container khi còn nợ phí hoặc đã gửi chứng từ nhưng chưa xác minh nhận tiền không?</t>
        </is>
      </c>
      <c r="F27" s="68" t="inlineStr">
        <is>
          <t>Khác</t>
        </is>
      </c>
      <c r="G27" s="68" t="inlineStr">
        <is>
          <t>CCKB sẽ xác nhận cho ra hay k và có thể báo cho ra nhưng tiền chưa thusex hiện cảnh báo, 1 là tự động nếu cckb đã điền đủ thanh toán và có cái xác nhận cho xe ra bằng tay mà tiền chưa ghi nhận</t>
        </is>
      </c>
      <c r="H27" s="68" t="inlineStr">
        <is>
          <t>Cho CCKB duyệt xuất khi chưa thu tiền bằng tay và cảnh báo; cần vai trò, lý do và xử lý khoản nợ sau ra.</t>
        </is>
      </c>
      <c r="I27" s="25" t="n"/>
      <c r="J27" s="25" t="inlineStr">
        <is>
          <t>Chờ bổ sung</t>
        </is>
      </c>
    </row>
    <row r="28" ht="72" customHeight="1" s="81">
      <c r="A28" s="71" t="n">
        <v>24</v>
      </c>
      <c r="B28" s="71" t="inlineStr">
        <is>
          <t>T09</t>
        </is>
      </c>
      <c r="C28" s="69" t="inlineStr">
        <is>
          <t>P0</t>
        </is>
      </c>
      <c r="D28" s="71" t="inlineStr">
        <is>
          <t>04. Thanh toán</t>
        </is>
      </c>
      <c r="E28" s="71" t="inlineStr">
        <is>
          <t>Tại cổng ra, trạng thái tài chính hợp lệ có thời hạn bao lâu trước khi phải tính lại phí lưu?</t>
        </is>
      </c>
      <c r="F28" s="71" t="inlineStr">
        <is>
          <t>A</t>
        </is>
      </c>
      <c r="G28" s="71" t="inlineStr">
        <is>
          <t>Phí lưu chỉ có AN ninh tính tại lúc ra</t>
        </is>
      </c>
      <c r="H28" s="71" t="inlineStr">
        <is>
          <t>G: An ninh tính phí lưu khi ra, trong khi phân công CCKB tính/thu phí lưu. Đồng thời mâu thuẫn L04.</t>
        </is>
      </c>
      <c r="I28" s="25" t="n"/>
      <c r="J28" s="25" t="inlineStr">
        <is>
          <t>Chờ bổ sung</t>
        </is>
      </c>
    </row>
    <row r="29" ht="72" customHeight="1" s="81">
      <c r="A29" s="68" t="n">
        <v>25</v>
      </c>
      <c r="B29" s="68" t="inlineStr">
        <is>
          <t>T12</t>
        </is>
      </c>
      <c r="C29" s="69" t="inlineStr">
        <is>
          <t>P0</t>
        </is>
      </c>
      <c r="D29" s="68" t="inlineStr">
        <is>
          <t>04. Thanh toán</t>
        </is>
      </c>
      <c r="E29" s="68" t="inlineStr">
        <is>
          <t>Khi có khách hàng thường xuyên: có quản lý hồ sơ khách, mã số thuế, công nợ/hóa đơn không?</t>
        </is>
      </c>
      <c r="F29" s="68" t="inlineStr">
        <is>
          <t>Không áp dụng</t>
        </is>
      </c>
      <c r="G29" s="68" t="inlineStr">
        <is>
          <t>Sau này có nhé, vì bên Kế toán cũng muốn joint vào hệ thông này ví dụ ở trên vé vào hienejt ại an ninh điền thông tin lái xe hoặc thông tin công ty để xuất hóa đơn, có cái xuất có cái k xuất nhé, xong kế toán cũng cần tổng hợp và điền báo cáo nữa.) Các thông tin cần điền(Họ tên/Tên công ty, Mã só thuế/số CCCD, thương trú, có thể sđt n, e mail nữa</t>
        </is>
      </c>
      <c r="H29" s="68" t="inlineStr">
        <is>
          <t>Chọn Không áp dụng nhưng G yêu cầu nhập thông tin lái xe/công ty để phục vụ hóa đơn; Kế toán phát triển sau. Cần tách V1/V2.</t>
        </is>
      </c>
      <c r="I29" s="25" t="n"/>
      <c r="J29" s="25" t="inlineStr">
        <is>
          <t>Chờ bổ sung</t>
        </is>
      </c>
    </row>
    <row r="30" ht="72" customHeight="1" s="81">
      <c r="A30" s="71" t="n">
        <v>26</v>
      </c>
      <c r="B30" s="71" t="inlineStr">
        <is>
          <t>T15</t>
        </is>
      </c>
      <c r="C30" s="69" t="inlineStr">
        <is>
          <t>P0</t>
        </is>
      </c>
      <c r="D30" s="71" t="inlineStr">
        <is>
          <t>04. Thanh toán</t>
        </is>
      </c>
      <c r="E30" s="71" t="inlineStr">
        <is>
          <t>Sau khi CCKB đã cấp đủ điều kiện thanh toán, An ninh phát hiện sai số cont/biển số: có quyền hủy xác nhận và gửi duyệt lại không?</t>
        </is>
      </c>
      <c r="F30" s="71" t="inlineStr">
        <is>
          <t>Không áp dụng</t>
        </is>
      </c>
      <c r="G30" s="71" t="n"/>
      <c r="H30" s="71" t="inlineStr">
        <is>
          <t>F=Không áp dụng việc thu hồi duyệt khi phát hiện sai cont; SC08 cần cơ chế xử lý khi sai cont sau duyệt.</t>
        </is>
      </c>
      <c r="I30" s="25" t="n"/>
      <c r="J30" s="25" t="inlineStr">
        <is>
          <t>Chờ bổ sung</t>
        </is>
      </c>
    </row>
    <row r="31" ht="72" customHeight="1" s="81">
      <c r="A31" s="68" t="n">
        <v>27</v>
      </c>
      <c r="B31" s="68" t="inlineStr">
        <is>
          <t>V02</t>
        </is>
      </c>
      <c r="C31" s="69" t="inlineStr">
        <is>
          <t>P0</t>
        </is>
      </c>
      <c r="D31" s="68" t="inlineStr">
        <is>
          <t>01. Vé xe / cổng</t>
        </is>
      </c>
      <c r="E31" s="68" t="inlineStr">
        <is>
          <t>Vé vào có bắt buộc thu ngay trước khi cho xe qua cổng vào, hay được phép ghi Chưa thu để bổ sung sau?</t>
        </is>
      </c>
      <c r="F31" s="68" t="inlineStr">
        <is>
          <t>A</t>
        </is>
      </c>
      <c r="G31" s="68" t="inlineStr">
        <is>
          <t>Nhưng cũng có trường họp thu sau(ít)</t>
        </is>
      </c>
      <c r="H31" s="68" t="inlineStr">
        <is>
          <t>Thu vé ngay là mặc định, nhưng ghi chú cho phép thu sau (ít). Cần xác định ai cho phép và cách báo Chưa thu.</t>
        </is>
      </c>
      <c r="I31" s="25" t="n"/>
      <c r="J31" s="25" t="inlineStr">
        <is>
          <t>Chờ bổ sung</t>
        </is>
      </c>
    </row>
    <row r="32" ht="72" customHeight="1" s="81">
      <c r="A32" s="71" t="n">
        <v>28</v>
      </c>
      <c r="B32" s="71" t="inlineStr">
        <is>
          <t>V04</t>
        </is>
      </c>
      <c r="C32" s="69" t="inlineStr">
        <is>
          <t>P0</t>
        </is>
      </c>
      <c r="D32" s="71" t="inlineStr">
        <is>
          <t>01. Vé xe / cổng</t>
        </is>
      </c>
      <c r="E32" s="71" t="inlineStr">
        <is>
          <t>Xe bo ba bánh không có biển số được phân biệt lượt bằng mã vé; có cần thêm tên lái xe/đặc điểm xe/ảnh xe không?</t>
        </is>
      </c>
      <c r="F32" s="71" t="inlineStr">
        <is>
          <t>A</t>
        </is>
      </c>
      <c r="G32" s="71" t="inlineStr">
        <is>
          <t>chỉ sinh cũng được nhưng đến lúc ra cũng chịu à, hoặc có thể sinh mã r điền vào vé thôi</t>
        </is>
      </c>
      <c r="H32" s="71" t="inlineStr">
        <is>
          <t>Không có biển số; người dùng lo không biết đối chiếu khi ra. Cần quy trình mã vé/tìm lượt.</t>
        </is>
      </c>
      <c r="I32" s="25" t="n"/>
      <c r="J32" s="25" t="inlineStr">
        <is>
          <t>Chờ bổ sung</t>
        </is>
      </c>
    </row>
    <row r="33" ht="72" customHeight="1" s="81">
      <c r="A33" s="68" t="n">
        <v>29</v>
      </c>
      <c r="B33" s="68" t="inlineStr">
        <is>
          <t>V09</t>
        </is>
      </c>
      <c r="C33" s="69" t="inlineStr">
        <is>
          <t>P0</t>
        </is>
      </c>
      <c r="D33" s="68" t="inlineStr">
        <is>
          <t>01. Vé xe / cổng</t>
        </is>
      </c>
      <c r="E33" s="68" t="inlineStr">
        <is>
          <t>Khi xe vào có kéo container, được phép nhập số container tạm/chưa rõ chính xác hay luôn bắt buộc số hợp lệ?</t>
        </is>
      </c>
      <c r="F33" s="68" t="inlineStr">
        <is>
          <t>A</t>
        </is>
      </c>
      <c r="G33" s="68" t="n"/>
      <c r="H33" s="68" t="inlineStr">
        <is>
          <t>Chọn số container chính xác khi vào, nhưng nghiệp vụ thực tế thường nhập nhầm; cần cơ chế sửa có lịch sử và đối chiếu.</t>
        </is>
      </c>
      <c r="I33" s="25" t="n"/>
      <c r="J33" s="25" t="inlineStr">
        <is>
          <t>Chờ bổ sung</t>
        </is>
      </c>
    </row>
    <row r="34" ht="72" customHeight="1" s="81">
      <c r="A34" s="71" t="n">
        <v>30</v>
      </c>
      <c r="B34" s="71" t="inlineStr">
        <is>
          <t>V12</t>
        </is>
      </c>
      <c r="C34" s="69" t="inlineStr">
        <is>
          <t>P0</t>
        </is>
      </c>
      <c r="D34" s="71" t="inlineStr">
        <is>
          <t>01. Vé xe / cổng</t>
        </is>
      </c>
      <c r="E34" s="71" t="inlineStr">
        <is>
          <t>Sửa GIO_VAO/GIO_RA, biển số hoặc loại xe: ai được sửa, giới hạn thời gian và cần bằng chứng gì?</t>
        </is>
      </c>
      <c r="F34" s="71" t="inlineStr">
        <is>
          <t>C</t>
        </is>
      </c>
      <c r="G34" s="71" t="inlineStr">
        <is>
          <t>cho phép sửa linh hoạt nhưng có log</t>
        </is>
      </c>
      <c r="H34" s="71" t="inlineStr">
        <is>
          <t>F=C (mọi sửa qua TBP) nhưng G=cho sửa linh hoạt, có log; cần chốt quyền riêng trước và sau khi xe đã ra.</t>
        </is>
      </c>
      <c r="I34" s="25" t="n"/>
      <c r="J34" s="25" t="inlineStr">
        <is>
          <t>Chờ bổ sung</t>
        </is>
      </c>
    </row>
    <row r="35" ht="72" customHeight="1" s="81">
      <c r="A35" s="68" t="n">
        <v>31</v>
      </c>
      <c r="B35" s="68" t="inlineStr">
        <is>
          <t>D02</t>
        </is>
      </c>
      <c r="C35" s="68" t="inlineStr">
        <is>
          <t>P1</t>
        </is>
      </c>
      <c r="D35" s="68" t="inlineStr">
        <is>
          <t>06. Điều phối / container</t>
        </is>
      </c>
      <c r="E35" s="68" t="inlineStr">
        <is>
          <t>Nếu Điều phối thay đổi HÀNG thành RỖNG (hoặc ngược lại), có cần ghi lý do/người xác nhận không?</t>
        </is>
      </c>
      <c r="F35" s="68" t="inlineStr">
        <is>
          <t>A</t>
        </is>
      </c>
      <c r="G35" s="68" t="inlineStr">
        <is>
          <t>ghi lí do k bắt bược</t>
        </is>
      </c>
      <c r="H35" s="68" t="inlineStr">
        <is>
          <t>F=A ghi lý do nhưng G nói không bắt buộc. Chốt việc đổi HÀNG/RỖNG có bắt buộc lý do hay chỉ lưu audit.</t>
        </is>
      </c>
      <c r="I35" s="25" t="n"/>
      <c r="J35" s="25" t="inlineStr">
        <is>
          <t>Chờ bổ sung</t>
        </is>
      </c>
    </row>
    <row r="36" ht="72" customHeight="1" s="81">
      <c r="A36" s="71" t="n">
        <v>32</v>
      </c>
      <c r="B36" s="71" t="inlineStr">
        <is>
          <t>E02</t>
        </is>
      </c>
      <c r="C36" s="71" t="inlineStr">
        <is>
          <t>P1</t>
        </is>
      </c>
      <c r="D36" s="71" t="inlineStr">
        <is>
          <t>03. Cắm/rút điện</t>
        </is>
      </c>
      <c r="E36" s="71" t="inlineStr">
        <is>
          <t>Trường hợp khách yêu cầu cắm/rút trực tiếp với An ninh mà chưa báo CCKB: xử lý nhập và xác minh ra sao?</t>
        </is>
      </c>
      <c r="F36" s="71" t="inlineStr">
        <is>
          <t>Khác</t>
        </is>
      </c>
      <c r="G36" s="71" t="inlineStr">
        <is>
          <t>A và B</t>
        </is>
      </c>
      <c r="H36" s="71" t="inlineStr">
        <is>
          <t>G=A và B: yêu cầu khách đi thẳng tới An ninh, vừa cho làm trước vừa muốn chờ CCKB; cần luồng ngoại lệ rõ.</t>
        </is>
      </c>
      <c r="I36" s="25" t="n"/>
      <c r="J36" s="25" t="inlineStr">
        <is>
          <t>Chờ bổ sung</t>
        </is>
      </c>
    </row>
    <row r="37" ht="72" customHeight="1" s="81">
      <c r="A37" s="68" t="n">
        <v>33</v>
      </c>
      <c r="B37" s="68" t="inlineStr">
        <is>
          <t>E03</t>
        </is>
      </c>
      <c r="C37" s="68" t="inlineStr">
        <is>
          <t>P1</t>
        </is>
      </c>
      <c r="D37" s="68" t="inlineStr">
        <is>
          <t>03. Cắm/rút điện</t>
        </is>
      </c>
      <c r="E37" s="68" t="inlineStr">
        <is>
          <t>Hình thức Theo giờ và Cắm liên tục có khác nhau ở cách vận hành/thanh toán hay hiện chỉ khác danh mục yêu cầu?</t>
        </is>
      </c>
      <c r="F37" s="68" t="inlineStr">
        <is>
          <t>A</t>
        </is>
      </c>
      <c r="G37" s="68" t="inlineStr">
        <is>
          <t>CHỉ khác là 1 cái biết giờ rút 1 cái chưa</t>
        </is>
      </c>
      <c r="H37" s="68" t="inlineStr">
        <is>
          <t>G xác định theo giờ biết giờ rút dự kiến, liên tục chưa biết; trước đó form không yêu cầu giờ rút dự kiến. Cần là trường tùy chọn.</t>
        </is>
      </c>
      <c r="I37" s="25" t="n"/>
      <c r="J37" s="25" t="inlineStr">
        <is>
          <t>Chờ bổ sung</t>
        </is>
      </c>
    </row>
    <row r="38" ht="72" customHeight="1" s="81">
      <c r="A38" s="71" t="n">
        <v>34</v>
      </c>
      <c r="B38" s="71" t="inlineStr">
        <is>
          <t>E10</t>
        </is>
      </c>
      <c r="C38" s="71" t="inlineStr">
        <is>
          <t>P1</t>
        </is>
      </c>
      <c r="D38" s="71" t="inlineStr">
        <is>
          <t>03. Cắm/rút điện</t>
        </is>
      </c>
      <c r="E38" s="71" t="inlineStr">
        <is>
          <t>Phiên cắm ngắn dưới 15 phút hoặc vô tình cắm 0 phút: tính tối thiểu 15 phút khi có cắm thực tế không?</t>
        </is>
      </c>
      <c r="F38" s="71" t="inlineStr">
        <is>
          <t>Khác</t>
        </is>
      </c>
      <c r="G38" s="71" t="inlineStr">
        <is>
          <t>Hieện tại CCKB tự làm tròn</t>
        </is>
      </c>
      <c r="H38" s="71" t="inlineStr">
        <is>
          <t>G: CCKB tự làm tròn; chưa khóa khoản phí tối thiểu cho phiên ngắn dưới 15 phút và 0 phút.</t>
        </is>
      </c>
      <c r="I38" s="25" t="n"/>
      <c r="J38" s="25" t="inlineStr">
        <is>
          <t>Chờ bổ sung</t>
        </is>
      </c>
    </row>
    <row r="39" ht="72" customHeight="1" s="81">
      <c r="A39" s="68" t="n">
        <v>35</v>
      </c>
      <c r="B39" s="68" t="inlineStr">
        <is>
          <t>E13</t>
        </is>
      </c>
      <c r="C39" s="68" t="inlineStr">
        <is>
          <t>P1</t>
        </is>
      </c>
      <c r="D39" s="68" t="inlineStr">
        <is>
          <t>03. Cắm/rút điện</t>
        </is>
      </c>
      <c r="E39" s="68" t="inlineStr">
        <is>
          <t>Khi cập nhật giá điện trong lúc phiên cắm đang chạy: giữ giá lúc bắt đầu hay áp giá mới khi rút?</t>
        </is>
      </c>
      <c r="F39" s="68" t="inlineStr">
        <is>
          <t>B</t>
        </is>
      </c>
      <c r="G39" s="68" t="inlineStr">
        <is>
          <t>tùy A và B</t>
        </is>
      </c>
      <c r="H39" s="68" t="inlineStr">
        <is>
          <t>F=B tính giá mới khi rút, nhưng G “tùy A và B”; cần chính sách mặc định theo phiên và lựa chọn điều chỉnh giá.</t>
        </is>
      </c>
      <c r="I39" s="25" t="n"/>
      <c r="J39" s="25" t="inlineStr">
        <is>
          <t>Chờ bổ sung</t>
        </is>
      </c>
    </row>
    <row r="40" ht="72" customHeight="1" s="81">
      <c r="A40" s="71" t="n">
        <v>36</v>
      </c>
      <c r="B40" s="71" t="inlineStr">
        <is>
          <t>INV02</t>
        </is>
      </c>
      <c r="C40" s="71" t="inlineStr">
        <is>
          <t>P1</t>
        </is>
      </c>
      <c r="D40" s="71" t="inlineStr">
        <is>
          <t>04. Thanh toán</t>
        </is>
      </c>
      <c r="E40" s="71" t="inlineStr">
        <is>
          <t>V1 cần chuyển yêu cầu xuất hóa đơn sang Kế toán và thống kê báo cáo hay chỉ lưu thông tin để làm sau?</t>
        </is>
      </c>
      <c r="F40" s="71" t="n"/>
      <c r="G40" s="71" t="n"/>
      <c r="H40" s="71" t="inlineStr">
        <is>
          <t>Câu hỏi mới từ phần nghiệp vụ phát sinh; chờ bạn trả lời.</t>
        </is>
      </c>
      <c r="I40" s="25" t="n"/>
      <c r="J40" s="25" t="inlineStr">
        <is>
          <t>Chờ bổ sung</t>
        </is>
      </c>
    </row>
    <row r="41" ht="72" customHeight="1" s="81">
      <c r="A41" s="68" t="n">
        <v>37</v>
      </c>
      <c r="B41" s="68" t="inlineStr">
        <is>
          <t>K04</t>
        </is>
      </c>
      <c r="C41" s="68" t="inlineStr">
        <is>
          <t>P1</t>
        </is>
      </c>
      <c r="D41" s="68" t="inlineStr">
        <is>
          <t>08. Kỹ thuật / bảo mật</t>
        </is>
      </c>
      <c r="E41" s="68" t="inlineStr">
        <is>
          <t>PWA dùng điện thoại cá nhân hay thiết bị công ty? Có yêu cầu camera chụp chứng từ/quét QR số container không?</t>
        </is>
      </c>
      <c r="F41" s="68" t="inlineStr">
        <is>
          <t>A</t>
        </is>
      </c>
      <c r="G41" s="68" t="inlineStr">
        <is>
          <t>A và B</t>
        </is>
      </c>
      <c r="H41" s="68" t="inlineStr">
        <is>
          <t>F=A, G=A và B: hỗ trợ điện thoại/PC và cả thiết bị công ty; cần phân biệt cấu hình ưu tiên.</t>
        </is>
      </c>
      <c r="I41" s="25" t="n"/>
      <c r="J41" s="25" t="inlineStr">
        <is>
          <t>Chờ bổ sung</t>
        </is>
      </c>
    </row>
    <row r="42" ht="72" customHeight="1" s="81">
      <c r="A42" s="71" t="n">
        <v>38</v>
      </c>
      <c r="B42" s="71" t="inlineStr">
        <is>
          <t>K06</t>
        </is>
      </c>
      <c r="C42" s="71" t="inlineStr">
        <is>
          <t>P1</t>
        </is>
      </c>
      <c r="D42" s="71" t="inlineStr">
        <is>
          <t>08. Kỹ thuật / bảo mật</t>
        </is>
      </c>
      <c r="E42" s="71" t="inlineStr">
        <is>
          <t>Ảnh thu tiền và chứng từ cần lưu bao lâu, dung lượng giới hạn, ai có quyền xem/xóa?</t>
        </is>
      </c>
      <c r="F42" s="71" t="inlineStr">
        <is>
          <t>A</t>
        </is>
      </c>
      <c r="G42" s="71" t="inlineStr">
        <is>
          <t>Chưa áp dụng, lưu trên đâu đó free, cloudflrae R2 10G</t>
        </is>
      </c>
      <c r="H42" s="71" t="inlineStr">
        <is>
          <t>G: “chưa áp dụng”, muốn lưu rẻ/miễn phí, gợi ý Cloudflare R2 10GB; thời gian giữ file và quota còn mở.</t>
        </is>
      </c>
      <c r="I42" s="25" t="n"/>
      <c r="J42" s="25" t="inlineStr">
        <is>
          <t>Chờ bổ sung</t>
        </is>
      </c>
    </row>
    <row r="43" ht="72" customHeight="1" s="81">
      <c r="A43" s="68" t="n">
        <v>39</v>
      </c>
      <c r="B43" s="68" t="inlineStr">
        <is>
          <t>L06</t>
        </is>
      </c>
      <c r="C43" s="68" t="inlineStr">
        <is>
          <t>P1</t>
        </is>
      </c>
      <c r="D43" s="68" t="inlineStr">
        <is>
          <t>02. Lưu container</t>
        </is>
      </c>
      <c r="E43" s="68" t="inlineStr">
        <is>
          <t>Ai được sửa GIO_CONT_VAO/GIO_CONT_RA khi nhập muộn hoặc phát hiện sai? Việc sửa đã thu cần xử lý ra sao?</t>
        </is>
      </c>
      <c r="F43" s="68" t="inlineStr">
        <is>
          <t>A</t>
        </is>
      </c>
      <c r="G43" s="68" t="inlineStr">
        <is>
          <t>A và B luôn</t>
        </is>
      </c>
      <c r="H43" s="68" t="inlineStr">
        <is>
          <t>G=A và B: NV đề xuất/TBP duyệt hoặc TBP sửa trực tiếp; cần tách quyền theo trạng thái đã thu/chưa thu.</t>
        </is>
      </c>
      <c r="I43" s="25" t="n"/>
      <c r="J43" s="25" t="inlineStr">
        <is>
          <t>Chờ bổ sung</t>
        </is>
      </c>
    </row>
    <row r="44" ht="72" customHeight="1" s="81">
      <c r="A44" s="71" t="n">
        <v>40</v>
      </c>
      <c r="B44" s="71" t="inlineStr">
        <is>
          <t>L09</t>
        </is>
      </c>
      <c r="C44" s="71" t="inlineStr">
        <is>
          <t>P1</t>
        </is>
      </c>
      <c r="D44" s="71" t="inlineStr">
        <is>
          <t>02. Lưu container</t>
        </is>
      </c>
      <c r="E44" s="71" t="inlineStr">
        <is>
          <t>Đơn giá phí lưu khi thay PRICE_LIST trong thời gian một container đang lưu: giữ giá lúc vào hay áp dụng theo từng kỳ ngày?</t>
        </is>
      </c>
      <c r="F44" s="71" t="inlineStr">
        <is>
          <t>B</t>
        </is>
      </c>
      <c r="G44" s="71" t="inlineStr">
        <is>
          <t xml:space="preserve">Cái này khó nhỉ? A và B đi cho linh hoạt </t>
        </is>
      </c>
      <c r="H44" s="71" t="inlineStr">
        <is>
          <t>F=B tính giá theo từng đêm nhưng G muốn cả A và B linh hoạt; cần chính sách mặc định và ngoại lệ theo quyền.</t>
        </is>
      </c>
      <c r="I44" s="25" t="n"/>
      <c r="J44" s="25" t="inlineStr">
        <is>
          <t>Chờ bổ sung</t>
        </is>
      </c>
    </row>
    <row r="45" ht="72" customHeight="1" s="81">
      <c r="A45" s="68" t="n">
        <v>41</v>
      </c>
      <c r="B45" s="68" t="inlineStr">
        <is>
          <t>M08</t>
        </is>
      </c>
      <c r="C45" s="68" t="inlineStr">
        <is>
          <t>P1</t>
        </is>
      </c>
      <c r="D45" s="68" t="inlineStr">
        <is>
          <t>09. Chuyển dữ liệu</t>
        </is>
      </c>
      <c r="E45" s="68" t="inlineStr">
        <is>
          <t>Dữ liệu cắm điện AppSheet trước đây có nhập vào PWA cùng lúc không, hay triển khai riêng từ ngày vận hành mới?</t>
        </is>
      </c>
      <c r="F45" s="68" t="inlineStr">
        <is>
          <t>Khác</t>
        </is>
      </c>
      <c r="G45" s="68" t="inlineStr">
        <is>
          <t>CHưa có những sẽ chuyneenr 1 số cái tồn</t>
        </is>
      </c>
      <c r="H45" s="68" t="inlineStr">
        <is>
          <t>G: chưa có nhiều dữ liệu điện, sẽ chuyển một số phiên đang tồn; cần tiêu chí nhận diện các phiên phải chuyển.</t>
        </is>
      </c>
      <c r="I45" s="25" t="n"/>
      <c r="J45" s="25" t="inlineStr">
        <is>
          <t>Chờ bổ sung</t>
        </is>
      </c>
    </row>
    <row r="46" ht="72" customHeight="1" s="81">
      <c r="A46" s="71" t="n">
        <v>42</v>
      </c>
      <c r="B46" s="71" t="inlineStr">
        <is>
          <t>P01</t>
        </is>
      </c>
      <c r="C46" s="71" t="inlineStr">
        <is>
          <t>P1</t>
        </is>
      </c>
      <c r="D46" s="71" t="inlineStr">
        <is>
          <t>05. Phân quyền</t>
        </is>
      </c>
      <c r="E46" s="71" t="inlineStr">
        <is>
          <t>Các vai trò chính xác cần tạo là 6 vai trò NV/TBP của 3 bộ phận + Quản trị, hay bổ sung Nhà cân/Kế toán?</t>
        </is>
      </c>
      <c r="F46" s="71" t="inlineStr">
        <is>
          <t>C</t>
        </is>
      </c>
      <c r="G46" s="71" t="n"/>
      <c r="H46" s="71" t="inlineStr">
        <is>
          <t>F=C đề xuất thêm Kế toán, nhưng các tính năng Kế toán ghi giai đoạn sau. Cần xác định vai trò kế toán có ở V1 không.</t>
        </is>
      </c>
      <c r="I46" s="25" t="n"/>
      <c r="J46" s="25" t="inlineStr">
        <is>
          <t>Chờ bổ sung</t>
        </is>
      </c>
    </row>
    <row r="47" ht="72" customHeight="1" s="81">
      <c r="A47" s="68" t="n">
        <v>43</v>
      </c>
      <c r="B47" s="68" t="inlineStr">
        <is>
          <t>PR05</t>
        </is>
      </c>
      <c r="C47" s="68" t="inlineStr">
        <is>
          <t>P1</t>
        </is>
      </c>
      <c r="D47" s="68" t="inlineStr">
        <is>
          <t>03. Cắm/rút điện</t>
        </is>
      </c>
      <c r="E47" s="68" t="inlineStr">
        <is>
          <t>Yêu cầu cắm điện dự kiến bắt buộc nhập những trường nào khi cont chưa vào bãi?</t>
        </is>
      </c>
      <c r="F47" s="68" t="n"/>
      <c r="G47" s="68" t="n"/>
      <c r="H47" s="68" t="inlineStr">
        <is>
          <t>Câu hỏi mới từ phần nghiệp vụ phát sinh; chờ bạn trả lời.</t>
        </is>
      </c>
      <c r="I47" s="25" t="n"/>
      <c r="J47" s="25" t="inlineStr">
        <is>
          <t>Chờ bổ sung</t>
        </is>
      </c>
    </row>
    <row r="48" ht="72" customHeight="1" s="81">
      <c r="A48" s="71" t="n">
        <v>44</v>
      </c>
      <c r="B48" s="71" t="inlineStr">
        <is>
          <t>PR06</t>
        </is>
      </c>
      <c r="C48" s="71" t="inlineStr">
        <is>
          <t>P1</t>
        </is>
      </c>
      <c r="D48" s="71" t="inlineStr">
        <is>
          <t>03. Cắm/rút điện</t>
        </is>
      </c>
      <c r="E48" s="71" t="inlineStr">
        <is>
          <t>Nếu container dự kiến không tới, tới muộn nhiều ngày hoặc khách hủy, xử lý yêu cầu dự kiến ra sao?</t>
        </is>
      </c>
      <c r="F48" s="71" t="n"/>
      <c r="G48" s="71" t="n"/>
      <c r="H48" s="71" t="inlineStr">
        <is>
          <t>Câu hỏi mới từ phần nghiệp vụ phát sinh; chờ bạn trả lời.</t>
        </is>
      </c>
      <c r="I48" s="25" t="n"/>
      <c r="J48" s="25" t="inlineStr">
        <is>
          <t>Chờ bổ sung</t>
        </is>
      </c>
    </row>
    <row r="49" ht="72" customHeight="1" s="81">
      <c r="A49" s="68" t="n">
        <v>45</v>
      </c>
      <c r="B49" s="68" t="inlineStr">
        <is>
          <t>SC03</t>
        </is>
      </c>
      <c r="C49" s="68" t="inlineStr">
        <is>
          <t>P1</t>
        </is>
      </c>
      <c r="D49" s="68" t="inlineStr">
        <is>
          <t>06. Điều phối / container</t>
        </is>
      </c>
      <c r="E49" s="68" t="inlineStr">
        <is>
          <t>Khi An ninh sửa số cont vì ảnh/video tại hiện trường cho thấy sai, có bắt buộc đính kèm ảnh hoặc video không?</t>
        </is>
      </c>
      <c r="F49" s="68" t="n"/>
      <c r="G49" s="68" t="n"/>
      <c r="H49" s="68" t="inlineStr">
        <is>
          <t>Câu hỏi mới từ phần nghiệp vụ phát sinh; chờ bạn trả lời.</t>
        </is>
      </c>
      <c r="I49" s="25" t="n"/>
      <c r="J49" s="25" t="inlineStr">
        <is>
          <t>Chờ bổ sung</t>
        </is>
      </c>
    </row>
    <row r="50" ht="72" customHeight="1" s="81">
      <c r="A50" s="71" t="n">
        <v>46</v>
      </c>
      <c r="B50" s="71" t="inlineStr">
        <is>
          <t>SC07</t>
        </is>
      </c>
      <c r="C50" s="71" t="inlineStr">
        <is>
          <t>P1</t>
        </is>
      </c>
      <c r="D50" s="71" t="inlineStr">
        <is>
          <t>06. Điều phối / container</t>
        </is>
      </c>
      <c r="E50" s="71" t="inlineStr">
        <is>
          <t>An ninh/CCKB cần hỗ trợ tra cứu số cont bằng 7 số cuối và gợi ý mã gần giống (không tự thay mã) không?</t>
        </is>
      </c>
      <c r="F50" s="71" t="n"/>
      <c r="G50" s="71" t="n"/>
      <c r="H50" s="71" t="inlineStr">
        <is>
          <t>Câu hỏi mới từ phần nghiệp vụ phát sinh; chờ bạn trả lời.</t>
        </is>
      </c>
      <c r="I50" s="25" t="n"/>
      <c r="J50" s="25" t="inlineStr">
        <is>
          <t>Chờ bổ sung</t>
        </is>
      </c>
    </row>
    <row r="51" ht="72" customHeight="1" s="81">
      <c r="A51" s="68" t="n">
        <v>47</v>
      </c>
      <c r="B51" s="68" t="inlineStr">
        <is>
          <t>T01</t>
        </is>
      </c>
      <c r="C51" s="68" t="inlineStr">
        <is>
          <t>P1</t>
        </is>
      </c>
      <c r="D51" s="68" t="inlineStr">
        <is>
          <t>04. Thanh toán</t>
        </is>
      </c>
      <c r="E51" s="68" t="inlineStr">
        <is>
          <t>Có cho thanh toán từng phần phí điện/lưu hoặc nộp trước khi container xuất không?</t>
        </is>
      </c>
      <c r="F51" s="68" t="inlineStr">
        <is>
          <t>B</t>
        </is>
      </c>
      <c r="G51" s="68" t="inlineStr">
        <is>
          <t>Linh hoạt thu cả hoặc thu từng phần</t>
        </is>
      </c>
      <c r="H51" s="68" t="inlineStr">
        <is>
          <t>F=B chỉ cho trả một phần, G cho cả trả đủ và trả một phần; cần xác định dữ liệu phân bổ giao dịch.</t>
        </is>
      </c>
      <c r="I51" s="25" t="n"/>
      <c r="J51" s="25" t="inlineStr">
        <is>
          <t>Chờ bổ sung</t>
        </is>
      </c>
    </row>
    <row r="52" ht="72" customHeight="1" s="81">
      <c r="A52" s="71" t="n">
        <v>48</v>
      </c>
      <c r="B52" s="71" t="inlineStr">
        <is>
          <t>T04</t>
        </is>
      </c>
      <c r="C52" s="71" t="inlineStr">
        <is>
          <t>P1</t>
        </is>
      </c>
      <c r="D52" s="71" t="inlineStr">
        <is>
          <t>04. Thanh toán</t>
        </is>
      </c>
      <c r="E52" s="71" t="inlineStr">
        <is>
          <t>Ảnh bằng chứng thu tiền cần bắt buộc với giao dịch nào (vé, lưu cont, điện, mất vé)?</t>
        </is>
      </c>
      <c r="F52" s="71" t="inlineStr">
        <is>
          <t>Khác</t>
        </is>
      </c>
      <c r="G52" s="71" t="inlineStr">
        <is>
          <t>Xây dưng nhưng chưa ap dụng</t>
        </is>
      </c>
      <c r="H52" s="71" t="inlineStr">
        <is>
          <t>G: “Xây dựng nhưng chưa áp dụng”; cần tách tính năng ảnh chứng từ triển khai V1 hay để tùy chọn.</t>
        </is>
      </c>
      <c r="I52" s="25" t="n"/>
      <c r="J52" s="25" t="inlineStr">
        <is>
          <t>Chờ bổ sung</t>
        </is>
      </c>
    </row>
    <row r="53" ht="72" customHeight="1" s="81">
      <c r="A53" s="68" t="n">
        <v>49</v>
      </c>
      <c r="B53" s="68" t="inlineStr">
        <is>
          <t>T06</t>
        </is>
      </c>
      <c r="C53" s="68" t="inlineStr">
        <is>
          <t>P1</t>
        </is>
      </c>
      <c r="D53" s="68" t="inlineStr">
        <is>
          <t>04. Thanh toán</t>
        </is>
      </c>
      <c r="E53" s="68" t="inlineStr">
        <is>
          <t>Nếu đã thu thiếu hoặc thừa tiền so với hệ thống: cách điều chỉnh/hoàn trả, ai duyệt?</t>
        </is>
      </c>
      <c r="F53" s="68" t="inlineStr">
        <is>
          <t>Khác</t>
        </is>
      </c>
      <c r="G53" s="68" t="inlineStr">
        <is>
          <t>Xây dưng nhưng chưa ap dụng</t>
        </is>
      </c>
      <c r="H53" s="68" t="inlineStr">
        <is>
          <t>G: xây dựng nhưng chưa áp dụng; hệ thống thu/hoàn tiền cần quy định tối thiểu để không mất dấu chênh lệch.</t>
        </is>
      </c>
      <c r="I53" s="25" t="n"/>
      <c r="J53" s="25" t="inlineStr">
        <is>
          <t>Chờ bổ sung</t>
        </is>
      </c>
    </row>
    <row r="54" ht="72" customHeight="1" s="81">
      <c r="A54" s="71" t="n">
        <v>50</v>
      </c>
      <c r="B54" s="71" t="inlineStr">
        <is>
          <t>T07</t>
        </is>
      </c>
      <c r="C54" s="71" t="inlineStr">
        <is>
          <t>P1</t>
        </is>
      </c>
      <c r="D54" s="71" t="inlineStr">
        <is>
          <t>04. Thanh toán</t>
        </is>
      </c>
      <c r="E54" s="71" t="inlineStr">
        <is>
          <t>Có được miễn/giảm giá vé, phí lưu, tiền điện? Ai là người có quyền duyệt?</t>
        </is>
      </c>
      <c r="F54" s="71" t="inlineStr">
        <is>
          <t>Khác</t>
        </is>
      </c>
      <c r="G54" s="71" t="inlineStr">
        <is>
          <t>Xây dưng nhưng chưa ap dụng</t>
        </is>
      </c>
      <c r="H54" s="71" t="inlineStr">
        <is>
          <t>G: xây dựng nhưng chưa áp dụng; xác định có cho phát sinh ngoại lệ ngay V1 không.</t>
        </is>
      </c>
      <c r="I54" s="25" t="n"/>
      <c r="J54" s="25" t="inlineStr">
        <is>
          <t>Chờ bổ sung</t>
        </is>
      </c>
    </row>
    <row r="55" ht="72" customHeight="1" s="81">
      <c r="A55" s="68" t="n">
        <v>51</v>
      </c>
      <c r="B55" s="68" t="inlineStr">
        <is>
          <t>T14</t>
        </is>
      </c>
      <c r="C55" s="68" t="inlineStr">
        <is>
          <t>P1</t>
        </is>
      </c>
      <c r="D55" s="68" t="inlineStr">
        <is>
          <t>04. Thanh toán</t>
        </is>
      </c>
      <c r="E55" s="68" t="inlineStr">
        <is>
          <t>Doanh thu vé An ninh thu và doanh thu phí CCKB thu được đối soát cuối ca như thế nào?</t>
        </is>
      </c>
      <c r="F55" s="68" t="inlineStr">
        <is>
          <t>Khác</t>
        </is>
      </c>
      <c r="G55" s="68" t="inlineStr">
        <is>
          <t>theo ca nhé, ca lammf việc của an ninh hiện tại là 6H-18H nhưng chốt doanh thu có thẻ là 16H và 8h30 9H kiểu vậy</t>
        </is>
      </c>
      <c r="H55" s="68" t="inlineStr">
        <is>
          <t>Chốt doanh thu không trùng giờ ca 06–18, ví dụ 16:00 hoặc 08:30–09:00; cần cấu hình kỳ chốt và người chịu trách nhiệm.</t>
        </is>
      </c>
      <c r="I55" s="25" t="n"/>
      <c r="J55" s="25" t="inlineStr">
        <is>
          <t>Chờ bổ sung</t>
        </is>
      </c>
    </row>
    <row r="56" ht="72" customHeight="1" s="81">
      <c r="A56" s="71" t="n">
        <v>52</v>
      </c>
      <c r="B56" s="71" t="inlineStr">
        <is>
          <t>U01</t>
        </is>
      </c>
      <c r="C56" s="71" t="inlineStr">
        <is>
          <t>P1</t>
        </is>
      </c>
      <c r="D56" s="71" t="inlineStr">
        <is>
          <t>10. Nghiệm thu / triển khai</t>
        </is>
      </c>
      <c r="E56" s="71" t="inlineStr">
        <is>
          <t>Ai đại diện mỗi bộ phận ký nghiệm thu và xác nhận nghiệp vụ chuẩn trước chuyển hệ thống?</t>
        </is>
      </c>
      <c r="F56" s="71" t="inlineStr">
        <is>
          <t>Không áp dụng</t>
        </is>
      </c>
      <c r="G56" s="71" t="n"/>
      <c r="H56" s="71" t="inlineStr">
        <is>
          <t>F=Không áp dụng nhóm ký nghiệm thu; U02 lại yêu cầu UAT trước ngừng AppSheet. Cần xác định ít nhất đầu mối duyệt nghiệm thu, không nhất thiết ký giấy.</t>
        </is>
      </c>
      <c r="I56" s="25" t="n"/>
      <c r="J56" s="25" t="inlineStr">
        <is>
          <t>Chờ bổ sung</t>
        </is>
      </c>
    </row>
    <row r="57" ht="72" customHeight="1" s="81">
      <c r="A57" s="68" t="n">
        <v>53</v>
      </c>
      <c r="B57" s="68" t="inlineStr">
        <is>
          <t>V03</t>
        </is>
      </c>
      <c r="C57" s="68" t="inlineStr">
        <is>
          <t>P1</t>
        </is>
      </c>
      <c r="D57" s="68" t="inlineStr">
        <is>
          <t>01. Vé xe / cổng</t>
        </is>
      </c>
      <c r="E57" s="68" t="inlineStr">
        <is>
          <t>Xe container KHÔNG lạnh/container khô hiện có được tiếp nhận không? Nếu có mã xe và đơn giá vé nào?</t>
        </is>
      </c>
      <c r="F57" s="68" t="inlineStr">
        <is>
          <t>Khác</t>
        </is>
      </c>
      <c r="G57" s="68" t="inlineStr">
        <is>
          <t>Chỉ có xe cont(250K) và xe đầu kéo k còn(0Đ)</t>
        </is>
      </c>
      <c r="H57" s="68" t="inlineStr">
        <is>
          <t>Người dùng dùng tên “xe cont” chung; PRICE_LIST hiện ghi CONT_LANH. Cần rà nhãn hiển thị, không đổi mã giá đã chốt.</t>
        </is>
      </c>
      <c r="I57" s="25" t="n"/>
      <c r="J57" s="25" t="inlineStr">
        <is>
          <t>Chờ bổ sung</t>
        </is>
      </c>
    </row>
    <row r="58" ht="72" customHeight="1" s="81">
      <c r="A58" s="71" t="n">
        <v>54</v>
      </c>
      <c r="B58" s="71" t="inlineStr">
        <is>
          <t>V05</t>
        </is>
      </c>
      <c r="C58" s="71" t="inlineStr">
        <is>
          <t>P1</t>
        </is>
      </c>
      <c r="D58" s="71" t="inlineStr">
        <is>
          <t>01. Vé xe / cổng</t>
        </is>
      </c>
      <c r="E58" s="71" t="inlineStr">
        <is>
          <t>Vé giấy 2 liên có cần nhập/kiểm soát SỐ VÉ GIẤY bắt buộc khi ghi nhận xe vào không?</t>
        </is>
      </c>
      <c r="F58" s="71" t="inlineStr">
        <is>
          <t>B</t>
        </is>
      </c>
      <c r="G58" s="71" t="inlineStr">
        <is>
          <t xml:space="preserve">sau này sẽ in </t>
        </is>
      </c>
      <c r="H58" s="71" t="inlineStr">
        <is>
          <t>Số vé giấy hiện không bắt buộc; người dùng nói “sau này sẽ in”. Cần xác định thuộc giai đoạn nào.</t>
        </is>
      </c>
      <c r="I58" s="25" t="n"/>
      <c r="J58" s="25" t="inlineStr">
        <is>
          <t>Chờ bổ sung</t>
        </is>
      </c>
    </row>
    <row r="59" ht="72" customHeight="1" s="81">
      <c r="A59" s="68" t="n">
        <v>55</v>
      </c>
      <c r="B59" s="68" t="inlineStr">
        <is>
          <t>K05</t>
        </is>
      </c>
      <c r="C59" s="68" t="inlineStr">
        <is>
          <t>P2</t>
        </is>
      </c>
      <c r="D59" s="68" t="inlineStr">
        <is>
          <t>08. Kỹ thuật / bảo mật</t>
        </is>
      </c>
      <c r="E59" s="68" t="inlineStr">
        <is>
          <t>Có cần bắt buộc đăng nhập 2 yếu tố với quản trị/TBP, phân quyền theo phiên đăng nhập/thiết bị không?</t>
        </is>
      </c>
      <c r="F59" s="68" t="inlineStr">
        <is>
          <t>Khác</t>
        </is>
      </c>
      <c r="G59" s="68" t="inlineStr">
        <is>
          <t>Chưa áp dụng nhưng có thì tốt</t>
        </is>
      </c>
      <c r="H59" s="68" t="inlineStr">
        <is>
          <t>G: 2FA chưa áp dụng nhưng có thì tốt; cần ghi đúng là nâng cấp sau, không coi là bắt buộc V1.</t>
        </is>
      </c>
      <c r="I59" s="25" t="n"/>
      <c r="J59" s="25" t="inlineStr">
        <is>
          <t>Chờ bổ sung</t>
        </is>
      </c>
    </row>
    <row r="60" ht="72" customHeight="1" s="81">
      <c r="A60" s="71" t="n">
        <v>56</v>
      </c>
      <c r="B60" s="71" t="inlineStr">
        <is>
          <t>K09</t>
        </is>
      </c>
      <c r="C60" s="71" t="inlineStr">
        <is>
          <t>P2</t>
        </is>
      </c>
      <c r="D60" s="71" t="inlineStr">
        <is>
          <t>08. Kỹ thuật / bảo mật</t>
        </is>
      </c>
      <c r="E60" s="71" t="inlineStr">
        <is>
          <t>Giai đoạn đầu có cần tích hợp Zalo thông báo lệnh cắm/rút tự động không?</t>
        </is>
      </c>
      <c r="F60" s="71" t="inlineStr">
        <is>
          <t>A</t>
        </is>
      </c>
      <c r="G60" s="71" t="inlineStr">
        <is>
          <t>A B C</t>
        </is>
      </c>
      <c r="H60" s="71" t="inlineStr">
        <is>
          <t>F=A không gửi Zalo tự động trong V1 nhưng G “A B C”; cần tách thông báo PWA/gửi thủ công và tích hợp sau.</t>
        </is>
      </c>
      <c r="I60" s="25" t="n"/>
      <c r="J60" s="25" t="inlineStr">
        <is>
          <t>Chờ bổ sung</t>
        </is>
      </c>
    </row>
    <row r="61" ht="15.75" customHeight="1" s="81"/>
    <row r="62" ht="15.75" customHeight="1" s="81"/>
    <row r="63" ht="15.75" customHeight="1" s="81"/>
    <row r="64" ht="15.75" customHeight="1" s="81"/>
    <row r="65" ht="15.75" customHeight="1" s="81"/>
    <row r="66" ht="15.75" customHeight="1" s="81"/>
    <row r="67" ht="15.75" customHeight="1" s="81"/>
    <row r="68" ht="15.75" customHeight="1" s="81"/>
    <row r="69" ht="15.75" customHeight="1" s="81"/>
    <row r="70" ht="15.75" customHeight="1" s="81"/>
    <row r="71" ht="15.75" customHeight="1" s="81"/>
    <row r="72" ht="15.75" customHeight="1" s="81"/>
    <row r="73" ht="15.75" customHeight="1" s="81"/>
    <row r="74" ht="15.75" customHeight="1" s="81"/>
    <row r="75" ht="15.75" customHeight="1" s="81"/>
    <row r="76" ht="15.75" customHeight="1" s="81"/>
    <row r="77" ht="15.75" customHeight="1" s="81"/>
    <row r="78" ht="15.75" customHeight="1" s="81"/>
    <row r="79" ht="15.75" customHeight="1" s="81"/>
    <row r="80" ht="15.75" customHeight="1" s="81"/>
    <row r="81" ht="15.75" customHeight="1" s="81"/>
    <row r="82" ht="15.75" customHeight="1" s="81"/>
    <row r="83" ht="15.75" customHeight="1" s="81"/>
    <row r="84" ht="15.75" customHeight="1" s="81"/>
    <row r="85" ht="15.75" customHeight="1" s="81"/>
    <row r="86" ht="15.75" customHeight="1" s="81"/>
    <row r="87" ht="15.75" customHeight="1" s="81"/>
    <row r="88" ht="15.75" customHeight="1" s="81"/>
    <row r="89" ht="15.75" customHeight="1" s="81"/>
    <row r="90" ht="15.75" customHeight="1" s="81"/>
    <row r="91" ht="15.75" customHeight="1" s="81"/>
    <row r="92" ht="15.75" customHeight="1" s="81"/>
    <row r="93" ht="15.75" customHeight="1" s="81"/>
    <row r="94" ht="15.75" customHeight="1" s="81"/>
    <row r="95" ht="15.75" customHeight="1" s="81"/>
    <row r="96" ht="15.75" customHeight="1" s="81"/>
    <row r="97" ht="15.75" customHeight="1" s="81"/>
    <row r="98" ht="15.75" customHeight="1" s="81"/>
    <row r="99" ht="15.75" customHeight="1" s="81"/>
    <row r="100" ht="15.75" customHeight="1" s="81"/>
    <row r="101" ht="15.75" customHeight="1" s="81"/>
    <row r="102" ht="15.75" customHeight="1" s="81"/>
    <row r="103" ht="15.75" customHeight="1" s="81"/>
    <row r="104" ht="15.75" customHeight="1" s="81"/>
    <row r="105" ht="15.75" customHeight="1" s="81"/>
    <row r="106" ht="15.75" customHeight="1" s="81"/>
    <row r="107" ht="15.75" customHeight="1" s="81"/>
    <row r="108" ht="15.75" customHeight="1" s="81"/>
    <row r="109" ht="15.75" customHeight="1" s="81"/>
    <row r="110" ht="15.75" customHeight="1" s="81"/>
    <row r="111" ht="15.75" customHeight="1" s="81"/>
    <row r="112" ht="15.75" customHeight="1" s="81"/>
    <row r="113" ht="15.75" customHeight="1" s="81"/>
    <row r="114" ht="15.75" customHeight="1" s="81"/>
    <row r="115" ht="15.75" customHeight="1" s="81"/>
    <row r="116" ht="15.75" customHeight="1" s="81"/>
    <row r="117" ht="15.75" customHeight="1" s="81"/>
    <row r="118" ht="15.75" customHeight="1" s="81"/>
    <row r="119" ht="15.75" customHeight="1" s="81"/>
    <row r="120" ht="15.75" customHeight="1" s="81"/>
    <row r="121" ht="15.75" customHeight="1" s="81"/>
    <row r="122" ht="15.75" customHeight="1" s="81"/>
    <row r="123" ht="15.75" customHeight="1" s="81"/>
    <row r="124" ht="15.75" customHeight="1" s="81"/>
    <row r="125" ht="15.75" customHeight="1" s="81"/>
    <row r="126" ht="15.75" customHeight="1" s="81"/>
    <row r="127" ht="15.75" customHeight="1" s="81"/>
    <row r="128" ht="15.75" customHeight="1" s="81"/>
    <row r="129" ht="15.75" customHeight="1" s="81"/>
    <row r="130" ht="15.75" customHeight="1" s="81"/>
    <row r="131" ht="15.75" customHeight="1" s="81"/>
    <row r="132" ht="15.75" customHeight="1" s="81"/>
    <row r="133" ht="15.75" customHeight="1" s="81"/>
    <row r="134" ht="15.75" customHeight="1" s="81"/>
    <row r="135" ht="15.75" customHeight="1" s="81"/>
    <row r="136" ht="15.75" customHeight="1" s="81"/>
    <row r="137" ht="15.75" customHeight="1" s="81"/>
    <row r="138" ht="15.75" customHeight="1" s="81"/>
    <row r="139" ht="15.75" customHeight="1" s="81"/>
    <row r="140" ht="15.75" customHeight="1" s="81"/>
    <row r="141" ht="15.75" customHeight="1" s="81"/>
    <row r="142" ht="15.75" customHeight="1" s="81"/>
    <row r="143" ht="15.75" customHeight="1" s="81"/>
    <row r="144" ht="15.75" customHeight="1" s="81"/>
    <row r="145" ht="15.75" customHeight="1" s="81"/>
    <row r="146" ht="15.75" customHeight="1" s="81"/>
    <row r="147" ht="15.75" customHeight="1" s="81"/>
    <row r="148" ht="15.75" customHeight="1" s="81"/>
    <row r="149" ht="15.75" customHeight="1" s="81"/>
    <row r="150" ht="15.75" customHeight="1" s="81"/>
    <row r="151" ht="15.75" customHeight="1" s="81"/>
    <row r="152" ht="15.75" customHeight="1" s="81"/>
    <row r="153" ht="15.75" customHeight="1" s="81"/>
    <row r="154" ht="15.75" customHeight="1" s="81"/>
    <row r="155" ht="15.75" customHeight="1" s="81"/>
    <row r="156" ht="15.75" customHeight="1" s="81"/>
    <row r="157" ht="15.75" customHeight="1" s="81"/>
    <row r="158" ht="15.75" customHeight="1" s="81"/>
    <row r="159" ht="15.75" customHeight="1" s="81"/>
    <row r="160" ht="15.75" customHeight="1" s="81"/>
    <row r="161" ht="15.75" customHeight="1" s="81"/>
    <row r="162" ht="15.75" customHeight="1" s="81"/>
    <row r="163" ht="15.75" customHeight="1" s="81"/>
    <row r="164" ht="15.75" customHeight="1" s="81"/>
    <row r="165" ht="15.75" customHeight="1" s="81"/>
    <row r="166" ht="15.75" customHeight="1" s="81"/>
    <row r="167" ht="15.75" customHeight="1" s="81"/>
    <row r="168" ht="15.75" customHeight="1" s="81"/>
    <row r="169" ht="15.75" customHeight="1" s="81"/>
    <row r="170" ht="15.75" customHeight="1" s="81"/>
    <row r="171" ht="15.75" customHeight="1" s="81"/>
    <row r="172" ht="15.75" customHeight="1" s="81"/>
    <row r="173" ht="15.75" customHeight="1" s="81"/>
    <row r="174" ht="15.75" customHeight="1" s="81"/>
    <row r="175" ht="15.75" customHeight="1" s="81"/>
    <row r="176" ht="15.75" customHeight="1" s="81"/>
    <row r="177" ht="15.75" customHeight="1" s="81"/>
    <row r="178" ht="15.75" customHeight="1" s="81"/>
    <row r="179" ht="15.75" customHeight="1" s="81"/>
    <row r="180" ht="15.75" customHeight="1" s="81"/>
    <row r="181" ht="15.75" customHeight="1" s="81"/>
    <row r="182" ht="15.75" customHeight="1" s="81"/>
    <row r="183" ht="15.75" customHeight="1" s="81"/>
    <row r="184" ht="15.75" customHeight="1" s="81"/>
    <row r="185" ht="15.75" customHeight="1" s="81"/>
    <row r="186" ht="15.75" customHeight="1" s="81"/>
    <row r="187" ht="15.75" customHeight="1" s="81"/>
    <row r="188" ht="15.75" customHeight="1" s="81"/>
    <row r="189" ht="15.75" customHeight="1" s="81"/>
    <row r="190" ht="15.75" customHeight="1" s="81"/>
    <row r="191" ht="15.75" customHeight="1" s="81"/>
    <row r="192" ht="15.75" customHeight="1" s="81"/>
    <row r="193" ht="15.75" customHeight="1" s="81"/>
    <row r="194" ht="15.75" customHeight="1" s="81"/>
    <row r="195" ht="15.75" customHeight="1" s="81"/>
    <row r="196" ht="15.75" customHeight="1" s="81"/>
    <row r="197" ht="15.75" customHeight="1" s="81"/>
    <row r="198" ht="15.75" customHeight="1" s="81"/>
    <row r="199" ht="15.75" customHeight="1" s="81"/>
    <row r="200" ht="15.75" customHeight="1" s="81"/>
    <row r="201" ht="15.75" customHeight="1" s="81"/>
    <row r="202" ht="15.75" customHeight="1" s="81"/>
    <row r="203" ht="15.75" customHeight="1" s="81"/>
    <row r="204" ht="15.75" customHeight="1" s="81"/>
    <row r="205" ht="15.75" customHeight="1" s="81"/>
    <row r="206" ht="15.75" customHeight="1" s="81"/>
    <row r="207" ht="15.75" customHeight="1" s="81"/>
    <row r="208" ht="15.75" customHeight="1" s="81"/>
    <row r="209" ht="15.75" customHeight="1" s="81"/>
    <row r="210" ht="15.75" customHeight="1" s="81"/>
    <row r="211" ht="15.75" customHeight="1" s="81"/>
    <row r="212" ht="15.75" customHeight="1" s="81"/>
    <row r="213" ht="15.75" customHeight="1" s="81"/>
    <row r="214" ht="15.75" customHeight="1" s="81"/>
    <row r="215" ht="15.75" customHeight="1" s="81"/>
    <row r="216" ht="15.75" customHeight="1" s="81"/>
    <row r="217" ht="15.75" customHeight="1" s="81"/>
    <row r="218" ht="15.75" customHeight="1" s="81"/>
    <row r="219" ht="15.75" customHeight="1" s="81"/>
    <row r="220" ht="15.75" customHeight="1" s="81"/>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autoFilter ref="$A$4:$J$60"/>
  <mergeCells count="2">
    <mergeCell ref="A1:J1"/>
    <mergeCell ref="A2:J2"/>
  </mergeCells>
  <dataValidations count="1">
    <dataValidation sqref="J5:J60" showDropDown="0" showInputMessage="0" showErrorMessage="0" allowBlank="1" type="list">
      <formula1>"Chờ bổ sung,Đang rà soát,Đã xác nhận,Tạm hoãn"</formula1>
    </dataValidation>
  </dataValidation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fitToPage="1"/>
  </sheetPr>
  <dimension ref="A1:M102"/>
  <sheetViews>
    <sheetView showGridLines="0" workbookViewId="0">
      <pane xSplit="4" ySplit="4" topLeftCell="E5" activePane="bottomRight" state="frozen"/>
      <selection pane="topRight" activeCell="E1" sqref="E1"/>
      <selection pane="bottomLeft" activeCell="A5" sqref="A5"/>
      <selection pane="bottomRight" activeCell="E5" sqref="E5"/>
    </sheetView>
  </sheetViews>
  <sheetFormatPr baseColWidth="8" defaultColWidth="14.43" defaultRowHeight="15" customHeight="1"/>
  <cols>
    <col width="12" customWidth="1" style="81" min="1" max="1"/>
    <col width="29" customWidth="1" style="81" min="2" max="2"/>
    <col width="13" customWidth="1" style="81" min="3" max="3"/>
    <col width="73" customWidth="1" style="81" min="4" max="5"/>
    <col width="18" customWidth="1" style="81" min="6" max="6"/>
    <col width="78" customWidth="1" style="81" min="7" max="7"/>
    <col width="22" customWidth="1" style="81" min="8" max="8"/>
    <col width="29" customWidth="1" style="81" min="9" max="9"/>
    <col width="22" customWidth="1" style="81" min="10" max="10"/>
    <col width="18" customWidth="1" style="81" min="11" max="11"/>
    <col width="40" customWidth="1" style="81" min="12" max="12"/>
    <col width="49" customWidth="1" style="81" min="13" max="13"/>
    <col width="8.710000000000001" customWidth="1" style="81" min="14" max="26"/>
  </cols>
  <sheetData>
    <row r="1" ht="33.75" customHeight="1" s="81">
      <c r="A1" s="89" t="inlineStr">
        <is>
          <t>BẢN LƯU CHIẾU CÂU HỎI &amp; CÂU TRẢ LỜI V1 (KHÔNG SỬA)</t>
        </is>
      </c>
    </row>
    <row r="2" ht="51.75" customHeight="1" s="81">
      <c r="A2" s="90" t="inlineStr">
        <is>
          <t>Sao chép nguyên giá trị 13 cột từ file Untitled spreadsheet (1).xlsx do bạn gửi ngày 11/10/2026.</t>
        </is>
      </c>
    </row>
    <row r="4" ht="49.5" customHeight="1" s="81">
      <c r="A4" s="11" t="inlineStr">
        <is>
          <t>Mã</t>
        </is>
      </c>
      <c r="B4" s="11" t="inlineStr">
        <is>
          <t>Nhóm nghiệp vụ</t>
        </is>
      </c>
      <c r="C4" s="11" t="inlineStr">
        <is>
          <t>Ưu tiên</t>
        </is>
      </c>
      <c r="D4" s="11" t="inlineStr">
        <is>
          <t>Câu hỏi cần chốt</t>
        </is>
      </c>
      <c r="E4" s="11" t="inlineStr">
        <is>
          <t>Phương án gợi ý / cách điền</t>
        </is>
      </c>
      <c r="F4" s="11" t="inlineStr">
        <is>
          <t>Lựa chọn (điền)</t>
        </is>
      </c>
      <c r="G4" s="11" t="inlineStr">
        <is>
          <t>Quyết định/Thông số cụ thể (điền)</t>
        </is>
      </c>
      <c r="H4" s="11" t="inlineStr">
        <is>
          <t>Trạng thái (điền)</t>
        </is>
      </c>
      <c r="I4" s="11" t="inlineStr">
        <is>
          <t>Đơn vị xác nhận đề xuất</t>
        </is>
      </c>
      <c r="J4" s="11" t="inlineStr">
        <is>
          <t>Người xác nhận (điền)</t>
        </is>
      </c>
      <c r="K4" s="11" t="inlineStr">
        <is>
          <t>Ngày chốt (điền)</t>
        </is>
      </c>
      <c r="L4" s="11" t="inlineStr">
        <is>
          <t>Ghi chú bổ sung (điền)</t>
        </is>
      </c>
      <c r="M4" s="11" t="inlineStr">
        <is>
          <t>Căn cứ / nguồn</t>
        </is>
      </c>
    </row>
    <row r="5" ht="54" customHeight="1" s="81">
      <c r="A5" s="68" t="inlineStr">
        <is>
          <t>V01</t>
        </is>
      </c>
      <c r="B5" s="68" t="inlineStr">
        <is>
          <t>01. Vé xe / cổng</t>
        </is>
      </c>
      <c r="C5" s="68" t="inlineStr">
        <is>
          <t>P0</t>
        </is>
      </c>
      <c r="D5" s="68" t="inlineStr">
        <is>
          <t>Đầu kéo vào KHÔNG có container (vé vào 0đ), sau đó kéo container ra: có thu thêm 250.000đ ở lượt ra không?</t>
        </is>
      </c>
      <c r="E5" s="68" t="inlineStr">
        <is>
          <t>A. Không, giữ giá tại cổng vào; B. Có, bổ sung phí khi ra có kéo cont; C. Chính sách khác.</t>
        </is>
      </c>
      <c r="F5" s="79" t="inlineStr">
        <is>
          <t>A</t>
        </is>
      </c>
      <c r="G5" s="79" t="n"/>
      <c r="H5" s="79" t="inlineStr">
        <is>
          <t>Đã chốt</t>
        </is>
      </c>
      <c r="I5" s="68" t="inlineStr">
        <is>
          <t>Ban quản lý Sơn Cảng</t>
        </is>
      </c>
      <c r="J5" s="68" t="n"/>
      <c r="K5" s="68" t="n"/>
      <c r="L5" s="68" t="n"/>
      <c r="M5" s="68" t="inlineStr">
        <is>
          <t>PRICE_LIST + luồng xe nhận container</t>
        </is>
      </c>
    </row>
    <row r="6" ht="54" customHeight="1" s="81">
      <c r="A6" s="71" t="inlineStr">
        <is>
          <t>V02</t>
        </is>
      </c>
      <c r="B6" s="71" t="inlineStr">
        <is>
          <t>01. Vé xe / cổng</t>
        </is>
      </c>
      <c r="C6" s="71" t="inlineStr">
        <is>
          <t>P0</t>
        </is>
      </c>
      <c r="D6" s="71" t="inlineStr">
        <is>
          <t>Vé vào có bắt buộc thu ngay trước khi cho xe qua cổng vào, hay được phép ghi Chưa thu để bổ sung sau?</t>
        </is>
      </c>
      <c r="E6" s="71" t="inlineStr">
        <is>
          <t>A. Bắt buộc thu đủ; B. Cho ghi Chưa thu có điều kiện; C. Chỉ ngoại lệ cần phê duyệt.</t>
        </is>
      </c>
      <c r="F6" s="80" t="inlineStr">
        <is>
          <t>A</t>
        </is>
      </c>
      <c r="G6" s="80" t="inlineStr">
        <is>
          <t>Nhưng cũng có trường họp thu sau(ít)</t>
        </is>
      </c>
      <c r="H6" s="80" t="inlineStr">
        <is>
          <t>Đã chốt</t>
        </is>
      </c>
      <c r="I6" s="71" t="inlineStr">
        <is>
          <t>Trưởng BP An ninh + CCKB</t>
        </is>
      </c>
      <c r="J6" s="71" t="n"/>
      <c r="K6" s="71" t="n"/>
      <c r="L6" s="71" t="n"/>
      <c r="M6" s="71" t="inlineStr">
        <is>
          <t>Trao đổi nghiệp vụ Sơn Cảng, 10-11/10/2026</t>
        </is>
      </c>
    </row>
    <row r="7" ht="54" customHeight="1" s="81">
      <c r="A7" s="68" t="inlineStr">
        <is>
          <t>V03</t>
        </is>
      </c>
      <c r="B7" s="68" t="inlineStr">
        <is>
          <t>01. Vé xe / cổng</t>
        </is>
      </c>
      <c r="C7" s="68" t="inlineStr">
        <is>
          <t>P0</t>
        </is>
      </c>
      <c r="D7" s="68" t="inlineStr">
        <is>
          <t>Xe container KHÔNG lạnh/container khô hiện có được tiếp nhận không? Nếu có mã xe và đơn giá vé nào?</t>
        </is>
      </c>
      <c r="E7" s="68" t="inlineStr">
        <is>
          <t>A. Dùng CONT_LANH nếu chung 250.000đ; B. Tạo mã giá xe container khác; C. Không sử dụng loại này.</t>
        </is>
      </c>
      <c r="F7" s="79" t="inlineStr">
        <is>
          <t>Khác</t>
        </is>
      </c>
      <c r="G7" s="79" t="inlineStr">
        <is>
          <t>Chỉ có xe cont(250K) và xe đầu kéo k còn(0Đ)</t>
        </is>
      </c>
      <c r="H7" s="79" t="inlineStr">
        <is>
          <t>Đã chốt</t>
        </is>
      </c>
      <c r="I7" s="68" t="inlineStr">
        <is>
          <t>Trưởng BP An ninh</t>
        </is>
      </c>
      <c r="J7" s="68" t="n"/>
      <c r="K7" s="68" t="n"/>
      <c r="L7" s="68" t="n"/>
      <c r="M7" s="68" t="inlineStr">
        <is>
          <t>Trao đổi nghiệp vụ Sơn Cảng, 10-11/10/2026</t>
        </is>
      </c>
    </row>
    <row r="8" ht="54" customHeight="1" s="81">
      <c r="A8" s="71" t="inlineStr">
        <is>
          <t>V04</t>
        </is>
      </c>
      <c r="B8" s="71" t="inlineStr">
        <is>
          <t>01. Vé xe / cổng</t>
        </is>
      </c>
      <c r="C8" s="71" t="inlineStr">
        <is>
          <t>P1</t>
        </is>
      </c>
      <c r="D8" s="71" t="inlineStr">
        <is>
          <t>Xe bo ba bánh không có biển số được phân biệt lượt bằng mã vé; có cần thêm tên lái xe/đặc điểm xe/ảnh xe không?</t>
        </is>
      </c>
      <c r="E8" s="71" t="inlineStr">
        <is>
          <t>A. Chỉ mã vé tự sinh; B. Thêm thông tin nhận diện; C. Có thể nhập biển số khi có.</t>
        </is>
      </c>
      <c r="F8" s="80" t="inlineStr">
        <is>
          <t>A</t>
        </is>
      </c>
      <c r="G8" s="80" t="inlineStr">
        <is>
          <t>chỉ sinh cũng được nhưng đến lúc ra cũng chịu à, hoặc có thể sinh mã r điền vào vé thôi</t>
        </is>
      </c>
      <c r="H8" s="80" t="inlineStr">
        <is>
          <t>Đã chốt</t>
        </is>
      </c>
      <c r="I8" s="71" t="inlineStr">
        <is>
          <t>Trưởng BP An ninh</t>
        </is>
      </c>
      <c r="J8" s="71" t="n"/>
      <c r="K8" s="71" t="n"/>
      <c r="L8" s="71" t="n"/>
      <c r="M8" s="71" t="inlineStr">
        <is>
          <t>Trao đổi nghiệp vụ Sơn Cảng, 10-11/10/2026</t>
        </is>
      </c>
    </row>
    <row r="9" ht="54" customHeight="1" s="81">
      <c r="A9" s="68" t="inlineStr">
        <is>
          <t>V05</t>
        </is>
      </c>
      <c r="B9" s="68" t="inlineStr">
        <is>
          <t>01. Vé xe / cổng</t>
        </is>
      </c>
      <c r="C9" s="68" t="inlineStr">
        <is>
          <t>P0</t>
        </is>
      </c>
      <c r="D9" s="68" t="inlineStr">
        <is>
          <t>Vé giấy 2 liên có cần nhập/kiểm soát SỐ VÉ GIẤY bắt buộc khi ghi nhận xe vào không?</t>
        </is>
      </c>
      <c r="E9" s="68" t="inlineStr">
        <is>
          <t>A. Bắt buộc; B. Khuyến khích, không bắt buộc; C. Chuyển sang in/QR từ PWA.</t>
        </is>
      </c>
      <c r="F9" s="79" t="inlineStr">
        <is>
          <t>B</t>
        </is>
      </c>
      <c r="G9" s="79" t="inlineStr">
        <is>
          <t xml:space="preserve">sau này sẽ in </t>
        </is>
      </c>
      <c r="H9" s="79" t="inlineStr">
        <is>
          <t>Đã chốt</t>
        </is>
      </c>
      <c r="I9" s="68" t="inlineStr">
        <is>
          <t>Trưởng BP An ninh</t>
        </is>
      </c>
      <c r="J9" s="68" t="n"/>
      <c r="K9" s="68" t="n"/>
      <c r="L9" s="68" t="n"/>
      <c r="M9" s="68" t="inlineStr">
        <is>
          <t>Trao đổi nghiệp vụ Sơn Cảng, 10-11/10/2026</t>
        </is>
      </c>
    </row>
    <row r="10" ht="54" customHeight="1" s="81">
      <c r="A10" s="71" t="inlineStr">
        <is>
          <t>V06</t>
        </is>
      </c>
      <c r="B10" s="71" t="inlineStr">
        <is>
          <t>01. Vé xe / cổng</t>
        </is>
      </c>
      <c r="C10" s="71" t="inlineStr">
        <is>
          <t>P0</t>
        </is>
      </c>
      <c r="D10" s="71" t="inlineStr">
        <is>
          <t>Mất liên 02, phạt 250.000đ: bộ phận nào xác nhận, thu tiền và đánh dấu đã xử lý?</t>
        </is>
      </c>
      <c r="E10" s="71" t="inlineStr">
        <is>
          <t>A. An ninh nhận phạt; B. CCKB thu; C. An ninh xác nhận mất, CCKB thu; ghi rõ ngoại lệ.</t>
        </is>
      </c>
      <c r="F10" s="80" t="inlineStr">
        <is>
          <t>A</t>
        </is>
      </c>
      <c r="G10" s="80" t="n"/>
      <c r="H10" s="80" t="inlineStr">
        <is>
          <t>Đã chốt</t>
        </is>
      </c>
      <c r="I10" s="71" t="inlineStr">
        <is>
          <t>Trưởng BP An ninh + CCKB</t>
        </is>
      </c>
      <c r="J10" s="71" t="n"/>
      <c r="K10" s="71" t="n"/>
      <c r="L10" s="71" t="n"/>
      <c r="M10" s="71" t="inlineStr">
        <is>
          <t>Thông báo vé giấy Sơn Cảng</t>
        </is>
      </c>
    </row>
    <row r="11" ht="54" customHeight="1" s="81">
      <c r="A11" s="68" t="inlineStr">
        <is>
          <t>V07</t>
        </is>
      </c>
      <c r="B11" s="68" t="inlineStr">
        <is>
          <t>01. Vé xe / cổng</t>
        </is>
      </c>
      <c r="C11" s="68" t="inlineStr">
        <is>
          <t>P1</t>
        </is>
      </c>
      <c r="D11" s="68" t="inlineStr">
        <is>
          <t>Trường hợp khách có vé nhưng số vé/biển số không khớp: cho sửa vé tại cổng hay báo Trưởng BP xử lý?</t>
        </is>
      </c>
      <c r="E11" s="68" t="inlineStr">
        <is>
          <t>A. Chặn và yêu cầu phê duyệt; B. Cho xác minh bằng chứng từ; C. Quy trình khác.</t>
        </is>
      </c>
      <c r="F11" s="79" t="inlineStr">
        <is>
          <t>A</t>
        </is>
      </c>
      <c r="G11" s="79" t="n"/>
      <c r="H11" s="79" t="inlineStr">
        <is>
          <t>Đã chốt</t>
        </is>
      </c>
      <c r="I11" s="68" t="inlineStr">
        <is>
          <t>Trưởng BP An ninh</t>
        </is>
      </c>
      <c r="J11" s="68" t="n"/>
      <c r="K11" s="68" t="n"/>
      <c r="L11" s="68" t="n"/>
      <c r="M11" s="68" t="inlineStr">
        <is>
          <t>Trao đổi nghiệp vụ Sơn Cảng, 10-11/10/2026</t>
        </is>
      </c>
    </row>
    <row r="12" ht="54" customHeight="1" s="81">
      <c r="A12" s="71" t="inlineStr">
        <is>
          <t>V08</t>
        </is>
      </c>
      <c r="B12" s="71" t="inlineStr">
        <is>
          <t>01. Vé xe / cổng</t>
        </is>
      </c>
      <c r="C12" s="71" t="inlineStr">
        <is>
          <t>P1</t>
        </is>
      </c>
      <c r="D12" s="71" t="inlineStr">
        <is>
          <t>Xe sang tải (tạp), đầu kéo 0đ có cần ghi nhận phiếu/vé giấy và xác nhận trạng thái Miễn phí hay không?</t>
        </is>
      </c>
      <c r="E12" s="71" t="inlineStr">
        <is>
          <t>A. Có kiểm soát đủ; B. Chỉ ghi lượt; C. Trường hợp khác.</t>
        </is>
      </c>
      <c r="F12" s="80" t="inlineStr">
        <is>
          <t>A</t>
        </is>
      </c>
      <c r="G12" s="80" t="n"/>
      <c r="H12" s="80" t="inlineStr">
        <is>
          <t>Đã chốt</t>
        </is>
      </c>
      <c r="I12" s="71" t="inlineStr">
        <is>
          <t>Trưởng BP An ninh</t>
        </is>
      </c>
      <c r="J12" s="71" t="n"/>
      <c r="K12" s="71" t="n"/>
      <c r="L12" s="71" t="n"/>
      <c r="M12" s="71" t="inlineStr">
        <is>
          <t>Trao đổi nghiệp vụ Sơn Cảng, 10-11/10/2026</t>
        </is>
      </c>
    </row>
    <row r="13" ht="54" customHeight="1" s="81">
      <c r="A13" s="68" t="inlineStr">
        <is>
          <t>V09</t>
        </is>
      </c>
      <c r="B13" s="68" t="inlineStr">
        <is>
          <t>01. Vé xe / cổng</t>
        </is>
      </c>
      <c r="C13" s="68" t="inlineStr">
        <is>
          <t>P1</t>
        </is>
      </c>
      <c r="D13" s="68" t="inlineStr">
        <is>
          <t>Khi xe vào có kéo container, được phép nhập số container tạm/chưa rõ chính xác hay luôn bắt buộc số hợp lệ?</t>
        </is>
      </c>
      <c r="E13" s="68" t="inlineStr">
        <is>
          <t>A. Bắt buộc mã chính xác; B. Cho tạo tạm có phê duyệt; C. Được sửa trong thời hạn.</t>
        </is>
      </c>
      <c r="F13" s="79" t="inlineStr">
        <is>
          <t>A</t>
        </is>
      </c>
      <c r="G13" s="79" t="n"/>
      <c r="H13" s="79" t="inlineStr">
        <is>
          <t>Đã chốt</t>
        </is>
      </c>
      <c r="I13" s="68" t="inlineStr">
        <is>
          <t>Trưởng BP An ninh + Điều phối</t>
        </is>
      </c>
      <c r="J13" s="68" t="n"/>
      <c r="K13" s="68" t="n"/>
      <c r="L13" s="68" t="n"/>
      <c r="M13" s="68" t="inlineStr">
        <is>
          <t>Trao đổi nghiệp vụ Sơn Cảng, 10-11/10/2026</t>
        </is>
      </c>
    </row>
    <row r="14" ht="54" customHeight="1" s="81">
      <c r="A14" s="71" t="inlineStr">
        <is>
          <t>V10</t>
        </is>
      </c>
      <c r="B14" s="71" t="inlineStr">
        <is>
          <t>01. Vé xe / cổng</t>
        </is>
      </c>
      <c r="C14" s="71" t="inlineStr">
        <is>
          <t>P0</t>
        </is>
      </c>
      <c r="D14" s="71" t="inlineStr">
        <is>
          <t>Một lượt xe có thể chở trên 01 container cùng lúc không, đặc biệt với xe nhỏ hoặc phương tiện đặc biệt?</t>
        </is>
      </c>
      <c r="E14" s="71" t="inlineStr">
        <is>
          <t>A. Chỉ 01; B. Cho nhiều container; C. Tùy loại xe.</t>
        </is>
      </c>
      <c r="F14" s="80" t="inlineStr">
        <is>
          <t>A</t>
        </is>
      </c>
      <c r="G14" s="80" t="n"/>
      <c r="H14" s="80" t="inlineStr">
        <is>
          <t>Đã chốt</t>
        </is>
      </c>
      <c r="I14" s="71" t="inlineStr">
        <is>
          <t>Trưởng BP An ninh + Điều phối</t>
        </is>
      </c>
      <c r="J14" s="71" t="n"/>
      <c r="K14" s="71" t="n"/>
      <c r="L14" s="71" t="n"/>
      <c r="M14" s="71" t="inlineStr">
        <is>
          <t>Trao đổi nghiệp vụ Sơn Cảng, 10-11/10/2026</t>
        </is>
      </c>
    </row>
    <row r="15" ht="54" customHeight="1" s="81">
      <c r="A15" s="68" t="inlineStr">
        <is>
          <t>V11</t>
        </is>
      </c>
      <c r="B15" s="68" t="inlineStr">
        <is>
          <t>01. Vé xe / cổng</t>
        </is>
      </c>
      <c r="C15" s="68" t="inlineStr">
        <is>
          <t>P1</t>
        </is>
      </c>
      <c r="D15" s="68" t="inlineStr">
        <is>
          <t>Khi xe ra không kéo container (đã hạ), có yêu cầu xác nhận riêng tại cổng hay chỉ chọn phương án ra không cont?</t>
        </is>
      </c>
      <c r="E15" s="68" t="inlineStr">
        <is>
          <t>A. Bắt buộc xác nhận; B. Theo trạng thái cont thực tế; C. Quy trình khác.</t>
        </is>
      </c>
      <c r="F15" s="79" t="inlineStr">
        <is>
          <t>A</t>
        </is>
      </c>
      <c r="G15" s="79" t="n"/>
      <c r="H15" s="79" t="inlineStr">
        <is>
          <t>Đã chốt</t>
        </is>
      </c>
      <c r="I15" s="68" t="inlineStr">
        <is>
          <t>Trưởng BP An ninh</t>
        </is>
      </c>
      <c r="J15" s="68" t="n"/>
      <c r="K15" s="68" t="n"/>
      <c r="L15" s="68" t="n"/>
      <c r="M15" s="68" t="inlineStr">
        <is>
          <t>Trao đổi nghiệp vụ Sơn Cảng, 10-11/10/2026</t>
        </is>
      </c>
    </row>
    <row r="16" ht="54" customHeight="1" s="81">
      <c r="A16" s="71" t="inlineStr">
        <is>
          <t>V12</t>
        </is>
      </c>
      <c r="B16" s="71" t="inlineStr">
        <is>
          <t>01. Vé xe / cổng</t>
        </is>
      </c>
      <c r="C16" s="71" t="inlineStr">
        <is>
          <t>P1</t>
        </is>
      </c>
      <c r="D16" s="71" t="inlineStr">
        <is>
          <t>Sửa GIO_VAO/GIO_RA, biển số hoặc loại xe: ai được sửa, giới hạn thời gian và cần bằng chứng gì?</t>
        </is>
      </c>
      <c r="E16" s="71" t="inlineStr">
        <is>
          <t>A. Nhân viên sửa trước ra; B. TBP duyệt khi đã ra; C. Mọi sửa phải TBP duyệt.</t>
        </is>
      </c>
      <c r="F16" s="80" t="inlineStr">
        <is>
          <t>C</t>
        </is>
      </c>
      <c r="G16" s="80" t="inlineStr">
        <is>
          <t>cho phép sửa linh hoạt nhưng có log</t>
        </is>
      </c>
      <c r="H16" s="80" t="inlineStr">
        <is>
          <t>Đã chốt</t>
        </is>
      </c>
      <c r="I16" s="71" t="inlineStr">
        <is>
          <t>Trưởng BP An ninh</t>
        </is>
      </c>
      <c r="J16" s="71" t="n"/>
      <c r="K16" s="71" t="n"/>
      <c r="L16" s="71" t="n"/>
      <c r="M16" s="71" t="inlineStr">
        <is>
          <t>Trao đổi nghiệp vụ Sơn Cảng, 10-11/10/2026</t>
        </is>
      </c>
    </row>
    <row r="17" ht="54" customHeight="1" s="81">
      <c r="A17" s="68" t="inlineStr">
        <is>
          <t>L01</t>
        </is>
      </c>
      <c r="B17" s="68" t="inlineStr">
        <is>
          <t>02. Lưu container</t>
        </is>
      </c>
      <c r="C17" s="68" t="inlineStr">
        <is>
          <t>P0</t>
        </is>
      </c>
      <c r="D17" s="68" t="inlineStr">
        <is>
          <t>Nếu container vào trước 22:00 và ra đúng 22:00, có ghi nhận 1 đêm hay chưa?</t>
        </is>
      </c>
      <c r="E17" s="68" t="inlineStr">
        <is>
          <t>A. Tính 1 đêm (&gt;=22:00); B. Chưa tính nếu ra đúng 22:00; C. Theo công thức AppSheet V1 đã nghiệm thu.</t>
        </is>
      </c>
      <c r="F17" s="79" t="inlineStr">
        <is>
          <t>A</t>
        </is>
      </c>
      <c r="G17" s="79" t="n"/>
      <c r="H17" s="79" t="inlineStr">
        <is>
          <t>Đã chốt</t>
        </is>
      </c>
      <c r="I17" s="68" t="inlineStr">
        <is>
          <t>Trưởng BP CCKB</t>
        </is>
      </c>
      <c r="J17" s="68" t="n"/>
      <c r="K17" s="68" t="n"/>
      <c r="L17" s="68" t="n"/>
      <c r="M17" s="68" t="inlineStr">
        <is>
          <t>Thông báo 22:00–06:00</t>
        </is>
      </c>
    </row>
    <row r="18" ht="54" customHeight="1" s="81">
      <c r="A18" s="71" t="inlineStr">
        <is>
          <t>L02</t>
        </is>
      </c>
      <c r="B18" s="71" t="inlineStr">
        <is>
          <t>02. Lưu container</t>
        </is>
      </c>
      <c r="C18" s="71" t="inlineStr">
        <is>
          <t>P0</t>
        </is>
      </c>
      <c r="D18" s="71" t="inlineStr">
        <is>
          <t>Nếu container vào đúng 06:00 hoặc ra đúng 06:00, quy tắc gán cho kỳ đêm nào?</t>
        </is>
      </c>
      <c r="E18" s="71" t="inlineStr">
        <is>
          <t>A. Kỳ đêm kết thúc tại 06:00, ra 06:00 có tính; B. Kết thúc trước 06:00 mới tính; C. Theo V1.</t>
        </is>
      </c>
      <c r="F18" s="80" t="inlineStr">
        <is>
          <t>A</t>
        </is>
      </c>
      <c r="G18" s="80" t="n"/>
      <c r="H18" s="80" t="inlineStr">
        <is>
          <t>Đã chốt</t>
        </is>
      </c>
      <c r="I18" s="71" t="inlineStr">
        <is>
          <t>Trưởng BP CCKB</t>
        </is>
      </c>
      <c r="J18" s="71" t="n"/>
      <c r="K18" s="71" t="n"/>
      <c r="L18" s="71" t="n"/>
      <c r="M18" s="71" t="inlineStr">
        <is>
          <t>Trao đổi nghiệp vụ Sơn Cảng, 10-11/10/2026</t>
        </is>
      </c>
    </row>
    <row r="19" ht="54" customHeight="1" s="81">
      <c r="A19" s="68" t="inlineStr">
        <is>
          <t>L03</t>
        </is>
      </c>
      <c r="B19" s="68" t="inlineStr">
        <is>
          <t>02. Lưu container</t>
        </is>
      </c>
      <c r="C19" s="68" t="inlineStr">
        <is>
          <t>P0</t>
        </is>
      </c>
      <c r="D19" s="68" t="inlineStr">
        <is>
          <t>Xe vào sau 22:00 (ví dụ 23:30) và ra trước 06:00 (02:00), đêm đó vẫn là 1 đêm miễn phí đúng không?</t>
        </is>
      </c>
      <c r="E19" s="68" t="inlineStr">
        <is>
          <t>A. Đúng; B. Chỉ khi qua mốc 06:00; C. Khác.</t>
        </is>
      </c>
      <c r="F19" s="79" t="inlineStr">
        <is>
          <t>A</t>
        </is>
      </c>
      <c r="G19" s="79" t="n"/>
      <c r="H19" s="79" t="inlineStr">
        <is>
          <t>Đã chốt</t>
        </is>
      </c>
      <c r="I19" s="68" t="inlineStr">
        <is>
          <t>Trưởng BP CCKB</t>
        </is>
      </c>
      <c r="J19" s="68" t="n"/>
      <c r="K19" s="68" t="n"/>
      <c r="L19" s="68" t="n"/>
      <c r="M19" s="68" t="inlineStr">
        <is>
          <t>Trao đổi nghiệp vụ Sơn Cảng, 10-11/10/2026</t>
        </is>
      </c>
    </row>
    <row r="20" ht="54" customHeight="1" s="81">
      <c r="A20" s="71" t="inlineStr">
        <is>
          <t>L04</t>
        </is>
      </c>
      <c r="B20" s="71" t="inlineStr">
        <is>
          <t>02. Lưu container</t>
        </is>
      </c>
      <c r="C20" s="71" t="inlineStr">
        <is>
          <t>P0</t>
        </is>
      </c>
      <c r="D20" s="71" t="inlineStr">
        <is>
          <t>CCKB đã duyệt thanh toán trước 22:00, nhưng container thực tế xuất sau 22:00 và phát sinh thêm kỳ đêm: quy trình cập nhật phí?</t>
        </is>
      </c>
      <c r="E20" s="71" t="inlineStr">
        <is>
          <t>A. Hủy hiệu lực xác nhận cũ, tính và thu thêm; B. Khóa phí tại giờ CCKB duyệt; C. Trường hợp ngoại lệ riêng.</t>
        </is>
      </c>
      <c r="F20" s="80" t="inlineStr">
        <is>
          <t>B</t>
        </is>
      </c>
      <c r="G20" s="80" t="inlineStr">
        <is>
          <t>Vì nhiều lúc thanh toán và rút rồi nhưng chưa ra nhé</t>
        </is>
      </c>
      <c r="H20" s="80" t="inlineStr">
        <is>
          <t>Đã chốt</t>
        </is>
      </c>
      <c r="I20" s="71" t="inlineStr">
        <is>
          <t>Trưởng BP CCKB + An ninh</t>
        </is>
      </c>
      <c r="J20" s="71" t="n"/>
      <c r="K20" s="71" t="n"/>
      <c r="L20" s="71" t="n"/>
      <c r="M20" s="71" t="inlineStr">
        <is>
          <t>Trao đổi nghiệp vụ Sơn Cảng, 10-11/10/2026</t>
        </is>
      </c>
    </row>
    <row r="21" ht="54" customHeight="1" s="81">
      <c r="A21" s="68" t="inlineStr">
        <is>
          <t>L05</t>
        </is>
      </c>
      <c r="B21" s="68" t="inlineStr">
        <is>
          <t>02. Lưu container</t>
        </is>
      </c>
      <c r="C21" s="68" t="inlineStr">
        <is>
          <t>P1</t>
        </is>
      </c>
      <c r="D21" s="68" t="inlineStr">
        <is>
          <t>Container vào ra trong cùng ngày, chưa qua 22:00: SO_DEM_LUU hiển thị 0 hay tối thiểu 1 (miễn phí)?</t>
        </is>
      </c>
      <c r="E21" s="68" t="inlineStr">
        <is>
          <t>A. Hiển thị 0; B. Hiển thị 1 (miễn); C. Tách đêm thực tế / đêm tính tiền.</t>
        </is>
      </c>
      <c r="F21" s="79" t="inlineStr">
        <is>
          <t>B</t>
        </is>
      </c>
      <c r="G21" s="79" t="n"/>
      <c r="H21" s="79" t="inlineStr">
        <is>
          <t>Đã chốt</t>
        </is>
      </c>
      <c r="I21" s="68" t="inlineStr">
        <is>
          <t>Trưởng BP CCKB</t>
        </is>
      </c>
      <c r="J21" s="68" t="n"/>
      <c r="K21" s="68" t="n"/>
      <c r="L21" s="68" t="n"/>
      <c r="M21" s="68" t="inlineStr">
        <is>
          <t>Trao đổi nghiệp vụ Sơn Cảng, 10-11/10/2026</t>
        </is>
      </c>
    </row>
    <row r="22" ht="54" customHeight="1" s="81">
      <c r="A22" s="71" t="inlineStr">
        <is>
          <t>L06</t>
        </is>
      </c>
      <c r="B22" s="71" t="inlineStr">
        <is>
          <t>02. Lưu container</t>
        </is>
      </c>
      <c r="C22" s="71" t="inlineStr">
        <is>
          <t>P1</t>
        </is>
      </c>
      <c r="D22" s="71" t="inlineStr">
        <is>
          <t>Ai được sửa GIO_CONT_VAO/GIO_CONT_RA khi nhập muộn hoặc phát hiện sai? Việc sửa đã thu cần xử lý ra sao?</t>
        </is>
      </c>
      <c r="E22" s="71" t="inlineStr">
        <is>
          <t>A. Nhân viên đề xuất/TBP duyệt sau thu; B. TBP tự sửa có lý do; C. Quy trình khác.</t>
        </is>
      </c>
      <c r="F22" s="80" t="inlineStr">
        <is>
          <t>A</t>
        </is>
      </c>
      <c r="G22" s="80" t="inlineStr">
        <is>
          <t>A và B luôn</t>
        </is>
      </c>
      <c r="H22" s="80" t="inlineStr">
        <is>
          <t>Đã chốt</t>
        </is>
      </c>
      <c r="I22" s="71" t="inlineStr">
        <is>
          <t>Trưởng BP CCKB + An ninh</t>
        </is>
      </c>
      <c r="J22" s="71" t="n"/>
      <c r="K22" s="71" t="n"/>
      <c r="L22" s="71" t="n"/>
      <c r="M22" s="71" t="inlineStr">
        <is>
          <t>Trao đổi nghiệp vụ Sơn Cảng, 10-11/10/2026</t>
        </is>
      </c>
    </row>
    <row r="23" ht="54" customHeight="1" s="81">
      <c r="A23" s="68" t="inlineStr">
        <is>
          <t>L07</t>
        </is>
      </c>
      <c r="B23" s="68" t="inlineStr">
        <is>
          <t>02. Lưu container</t>
        </is>
      </c>
      <c r="C23" s="68" t="inlineStr">
        <is>
          <t>P0</t>
        </is>
      </c>
      <c r="D23" s="68" t="inlineStr">
        <is>
          <t>Xe gốc đã ra nhưng container còn lại: CCKB duyệt tài chính cho lượt xe ra không kéo cont như thế nào?</t>
        </is>
      </c>
      <c r="E23" s="68" t="inlineStr">
        <is>
          <t>A. Chỉ cần vé xe; B. Cần xác nhận container tiếp tục ở bãi; C. Cần thêm xác nhận riêng.</t>
        </is>
      </c>
      <c r="F23" s="79" t="inlineStr">
        <is>
          <t>Khác</t>
        </is>
      </c>
      <c r="G23" s="79" t="inlineStr">
        <is>
          <t>duyệt theo container CCKB k quan tâ tới biểu số xe chỉ số cont</t>
        </is>
      </c>
      <c r="H23" s="79" t="inlineStr">
        <is>
          <t>Đã chốt</t>
        </is>
      </c>
      <c r="I23" s="68" t="inlineStr">
        <is>
          <t>Trưởng BP CCKB + An ninh</t>
        </is>
      </c>
      <c r="J23" s="68" t="n"/>
      <c r="K23" s="68" t="n"/>
      <c r="L23" s="68" t="n"/>
      <c r="M23" s="68" t="inlineStr">
        <is>
          <t>Trao đổi nghiệp vụ Sơn Cảng, 10-11/10/2026</t>
        </is>
      </c>
    </row>
    <row r="24" ht="54" customHeight="1" s="81">
      <c r="A24" s="71" t="inlineStr">
        <is>
          <t>L08</t>
        </is>
      </c>
      <c r="B24" s="71" t="inlineStr">
        <is>
          <t>02. Lưu container</t>
        </is>
      </c>
      <c r="C24" s="71" t="inlineStr">
        <is>
          <t>P1</t>
        </is>
      </c>
      <c r="D24" s="71" t="inlineStr">
        <is>
          <t>Nếu khách muốn trả trước một phần phí lưu container trong khi cont còn ở bãi, có cho phép ghi nhận không?</t>
        </is>
      </c>
      <c r="E24" s="71" t="inlineStr">
        <is>
          <t>A. Không; B. Có thanh toán trước, đối trừ khi ra; C. Chỉ nếu TBP duyệt.</t>
        </is>
      </c>
      <c r="F24" s="80" t="inlineStr">
        <is>
          <t>A</t>
        </is>
      </c>
      <c r="G24" s="80" t="n"/>
      <c r="H24" s="80" t="inlineStr">
        <is>
          <t>Đã chốt</t>
        </is>
      </c>
      <c r="I24" s="71" t="inlineStr">
        <is>
          <t>Trưởng BP CCKB</t>
        </is>
      </c>
      <c r="J24" s="71" t="n"/>
      <c r="K24" s="71" t="n"/>
      <c r="L24" s="71" t="n"/>
      <c r="M24" s="71" t="inlineStr">
        <is>
          <t>Trao đổi nghiệp vụ Sơn Cảng, 10-11/10/2026</t>
        </is>
      </c>
    </row>
    <row r="25" ht="54" customHeight="1" s="81">
      <c r="A25" s="68" t="inlineStr">
        <is>
          <t>L09</t>
        </is>
      </c>
      <c r="B25" s="68" t="inlineStr">
        <is>
          <t>02. Lưu container</t>
        </is>
      </c>
      <c r="C25" s="68" t="inlineStr">
        <is>
          <t>P1</t>
        </is>
      </c>
      <c r="D25" s="68" t="inlineStr">
        <is>
          <t>Đơn giá phí lưu khi thay PRICE_LIST trong thời gian một container đang lưu: giữ giá lúc vào hay áp dụng theo từng kỳ ngày?</t>
        </is>
      </c>
      <c r="E25" s="68" t="inlineStr">
        <is>
          <t>A. Chốt tại GIO_CONT_VAO; B. Mỗi kỳ đêm theo bảng giá hiệu lực; C. Điều chỉnh bằng quyết định cụ thể.</t>
        </is>
      </c>
      <c r="F25" s="79" t="inlineStr">
        <is>
          <t>B</t>
        </is>
      </c>
      <c r="G25" s="79" t="inlineStr">
        <is>
          <t xml:space="preserve">Cái này khó nhỉ? A và B đi cho linh hoạt </t>
        </is>
      </c>
      <c r="H25" s="79" t="inlineStr">
        <is>
          <t>Đã chốt</t>
        </is>
      </c>
      <c r="I25" s="68" t="inlineStr">
        <is>
          <t>Trưởng BP CCKB + Quản trị</t>
        </is>
      </c>
      <c r="J25" s="68" t="n"/>
      <c r="K25" s="68" t="n"/>
      <c r="L25" s="68" t="n"/>
      <c r="M25" s="68" t="inlineStr">
        <is>
          <t>Trao đổi nghiệp vụ Sơn Cảng, 10-11/10/2026</t>
        </is>
      </c>
    </row>
    <row r="26" ht="54" customHeight="1" s="81">
      <c r="A26" s="71" t="inlineStr">
        <is>
          <t>L10</t>
        </is>
      </c>
      <c r="B26" s="71" t="inlineStr">
        <is>
          <t>02. Lưu container</t>
        </is>
      </c>
      <c r="C26" s="71" t="inlineStr">
        <is>
          <t>P1</t>
        </is>
      </c>
      <c r="D26" s="71" t="inlineStr">
        <is>
          <t>Có cần tính phí lưu cho container chưa xác định HÀNG/RỖNG, hay phải chờ Điều phối xác nhận?</t>
        </is>
      </c>
      <c r="E26" s="71" t="inlineStr">
        <is>
          <t>A. Vẫn tính; B. Chặn thanh toán đến khi rõ trạng thái; C. Khác.</t>
        </is>
      </c>
      <c r="F26" s="80" t="inlineStr">
        <is>
          <t>A</t>
        </is>
      </c>
      <c r="G26" s="80" t="inlineStr">
        <is>
          <t>Vẫn tính, có thể phân quyền lại cho user nào đó đi đếm nhé k nhất thiết điều phôi</t>
        </is>
      </c>
      <c r="H26" s="80" t="inlineStr">
        <is>
          <t>Đã chốt</t>
        </is>
      </c>
      <c r="I26" s="71" t="inlineStr">
        <is>
          <t>Trưởng BP CCKB + Điều phối</t>
        </is>
      </c>
      <c r="J26" s="71" t="n"/>
      <c r="K26" s="71" t="n"/>
      <c r="L26" s="71" t="n"/>
      <c r="M26" s="71" t="inlineStr">
        <is>
          <t>Trao đổi nghiệp vụ Sơn Cảng, 10-11/10/2026</t>
        </is>
      </c>
    </row>
    <row r="27" ht="54" customHeight="1" s="81">
      <c r="A27" s="68" t="inlineStr">
        <is>
          <t>E01</t>
        </is>
      </c>
      <c r="B27" s="68" t="inlineStr">
        <is>
          <t>03. Cắm/rút điện</t>
        </is>
      </c>
      <c r="C27" s="68" t="inlineStr">
        <is>
          <t>P0</t>
        </is>
      </c>
      <c r="D27" s="68" t="inlineStr">
        <is>
          <t>CCKB được tạo phiên cắm/rút và nhập giờ sau khi An ninh báo qua Zalo mà KHÔNG lập trước lệnh trong PWA chứ?</t>
        </is>
      </c>
      <c r="E27" s="68" t="inlineStr">
        <is>
          <t>A. Có, được nhập hồi tố và ghi giờ báo; B. Luôn phải lập yêu cầu trước; C. Kết hợp cả hai.</t>
        </is>
      </c>
      <c r="F27" s="79" t="inlineStr">
        <is>
          <t>C</t>
        </is>
      </c>
      <c r="G27" s="79" t="inlineStr">
        <is>
          <t>Cả 2 đi cho thoải mái</t>
        </is>
      </c>
      <c r="H27" s="79" t="inlineStr">
        <is>
          <t>Đã chốt</t>
        </is>
      </c>
      <c r="I27" s="68" t="inlineStr">
        <is>
          <t>Trưởng BP CCKB + An ninh</t>
        </is>
      </c>
      <c r="J27" s="68" t="n"/>
      <c r="K27" s="68" t="n"/>
      <c r="L27" s="68" t="n"/>
      <c r="M27" s="68" t="inlineStr">
        <is>
          <t>Trao đổi nghiệp vụ Sơn Cảng, 10-11/10/2026</t>
        </is>
      </c>
    </row>
    <row r="28" ht="54" customHeight="1" s="81">
      <c r="A28" s="71" t="inlineStr">
        <is>
          <t>E02</t>
        </is>
      </c>
      <c r="B28" s="71" t="inlineStr">
        <is>
          <t>03. Cắm/rút điện</t>
        </is>
      </c>
      <c r="C28" s="71" t="inlineStr">
        <is>
          <t>P0</t>
        </is>
      </c>
      <c r="D28" s="71" t="inlineStr">
        <is>
          <t>Trường hợp khách yêu cầu cắm/rút trực tiếp với An ninh mà chưa báo CCKB: xử lý nhập và xác minh ra sao?</t>
        </is>
      </c>
      <c r="E28" s="71" t="inlineStr">
        <is>
          <t>A. An ninh báo CCKB, nhập sau; B. Không làm khi chưa có CCKB; C. Ngoại lệ theo ca.</t>
        </is>
      </c>
      <c r="F28" s="80" t="inlineStr">
        <is>
          <t>Khác</t>
        </is>
      </c>
      <c r="G28" s="80" t="inlineStr">
        <is>
          <t>A và B</t>
        </is>
      </c>
      <c r="H28" s="80" t="inlineStr">
        <is>
          <t>Đã chốt</t>
        </is>
      </c>
      <c r="I28" s="71" t="inlineStr">
        <is>
          <t>Trưởng BP CCKB + An ninh</t>
        </is>
      </c>
      <c r="J28" s="71" t="n"/>
      <c r="K28" s="71" t="n"/>
      <c r="L28" s="71" t="n"/>
      <c r="M28" s="71" t="inlineStr">
        <is>
          <t>Trao đổi nghiệp vụ Sơn Cảng, 10-11/10/2026</t>
        </is>
      </c>
    </row>
    <row r="29" ht="54" customHeight="1" s="81">
      <c r="A29" s="68" t="inlineStr">
        <is>
          <t>E03</t>
        </is>
      </c>
      <c r="B29" s="68" t="inlineStr">
        <is>
          <t>03. Cắm/rút điện</t>
        </is>
      </c>
      <c r="C29" s="68" t="inlineStr">
        <is>
          <t>P1</t>
        </is>
      </c>
      <c r="D29" s="68" t="inlineStr">
        <is>
          <t>Hình thức Theo giờ và Cắm liên tục có khác nhau ở cách vận hành/thanh toán hay hiện chỉ khác danh mục yêu cầu?</t>
        </is>
      </c>
      <c r="E29" s="68" t="inlineStr">
        <is>
          <t>A. Chỉ khác tên; B. Có quy tắc riêng, ghi cụ thể; C. Sẽ phân biệt ở giai đoạn sau.</t>
        </is>
      </c>
      <c r="F29" s="79" t="inlineStr">
        <is>
          <t>A</t>
        </is>
      </c>
      <c r="G29" s="79" t="inlineStr">
        <is>
          <t>CHỉ khác là 1 cái biết giờ rút 1 cái chưa</t>
        </is>
      </c>
      <c r="H29" s="79" t="inlineStr">
        <is>
          <t>Đã chốt</t>
        </is>
      </c>
      <c r="I29" s="68" t="inlineStr">
        <is>
          <t>Trưởng BP CCKB</t>
        </is>
      </c>
      <c r="J29" s="68" t="n"/>
      <c r="K29" s="68" t="n"/>
      <c r="L29" s="68" t="n"/>
      <c r="M29" s="68" t="inlineStr">
        <is>
          <t>Trao đổi nghiệp vụ Sơn Cảng, 10-11/10/2026</t>
        </is>
      </c>
    </row>
    <row r="30" ht="54" customHeight="1" s="81">
      <c r="A30" s="71" t="inlineStr">
        <is>
          <t>E04</t>
        </is>
      </c>
      <c r="B30" s="71" t="inlineStr">
        <is>
          <t>03. Cắm/rút điện</t>
        </is>
      </c>
      <c r="C30" s="71" t="inlineStr">
        <is>
          <t>P0</t>
        </is>
      </c>
      <c r="D30" s="71" t="inlineStr">
        <is>
          <t>CCKB nhập GIO_CAM_THUC_TE khi container đã rút rồi: cho phép nhập cả giờ cắm và rút trong một biểu mẫu không?</t>
        </is>
      </c>
      <c r="E30" s="71" t="inlineStr">
        <is>
          <t>A. Có; B. Tách thành hai bước bắt buộc; C. Chỉ TBP nhập hồi tố.</t>
        </is>
      </c>
      <c r="F30" s="80" t="inlineStr">
        <is>
          <t>A</t>
        </is>
      </c>
      <c r="G30" s="80" t="inlineStr">
        <is>
          <t>có cho thoải mái giờ chưa kiểm soát chặt lắm</t>
        </is>
      </c>
      <c r="H30" s="80" t="inlineStr">
        <is>
          <t>Đã chốt</t>
        </is>
      </c>
      <c r="I30" s="71" t="inlineStr">
        <is>
          <t>Trưởng BP CCKB</t>
        </is>
      </c>
      <c r="J30" s="71" t="n"/>
      <c r="K30" s="71" t="n"/>
      <c r="L30" s="71" t="n"/>
      <c r="M30" s="71" t="inlineStr">
        <is>
          <t>Trao đổi nghiệp vụ Sơn Cảng, 10-11/10/2026</t>
        </is>
      </c>
    </row>
    <row r="31" ht="54" customHeight="1" s="81">
      <c r="A31" s="68" t="inlineStr">
        <is>
          <t>E05</t>
        </is>
      </c>
      <c r="B31" s="68" t="inlineStr">
        <is>
          <t>03. Cắm/rút điện</t>
        </is>
      </c>
      <c r="C31" s="68" t="inlineStr">
        <is>
          <t>P0</t>
        </is>
      </c>
      <c r="D31" s="68" t="inlineStr">
        <is>
          <t>Khi An ninh báo giờ cắm/rút không chính xác, CCKB xác minh bằng cách nào trước khi sửa?</t>
        </is>
      </c>
      <c r="E31" s="68" t="inlineStr">
        <is>
          <t>A. CCKB chỉnh có ghi chú; B. Cần ảnh tin nhắn Zalo; C. Phải có TBP xác nhận khi chênh lệch lớn.</t>
        </is>
      </c>
      <c r="F31" s="79" t="inlineStr">
        <is>
          <t>Khác</t>
        </is>
      </c>
      <c r="G31" s="79" t="inlineStr">
        <is>
          <t>Hienj tại khi cắm rút thì an ninh sẽ quay bằng camera time stamp, rồi gửi nhóm</t>
        </is>
      </c>
      <c r="H31" s="79" t="inlineStr">
        <is>
          <t>Đã chốt</t>
        </is>
      </c>
      <c r="I31" s="68" t="inlineStr">
        <is>
          <t>Trưởng BP CCKB</t>
        </is>
      </c>
      <c r="J31" s="68" t="n"/>
      <c r="K31" s="68" t="n"/>
      <c r="L31" s="68" t="n"/>
      <c r="M31" s="68" t="inlineStr">
        <is>
          <t>Trao đổi nghiệp vụ Sơn Cảng, 10-11/10/2026</t>
        </is>
      </c>
    </row>
    <row r="32" ht="54" customHeight="1" s="81">
      <c r="A32" s="71" t="inlineStr">
        <is>
          <t>E06</t>
        </is>
      </c>
      <c r="B32" s="71" t="inlineStr">
        <is>
          <t>03. Cắm/rút điện</t>
        </is>
      </c>
      <c r="C32" s="71" t="inlineStr">
        <is>
          <t>P0</t>
        </is>
      </c>
      <c r="D32" s="71" t="inlineStr">
        <is>
          <t>Sau khi đã thu tiền điện, CCKB được sửa giờ tới mức nào và quy trình phê duyệt chênh lệch?</t>
        </is>
      </c>
      <c r="E32" s="71" t="inlineStr">
        <is>
          <t>A. NV tạo đề nghị/TBP CCKB duyệt; B. TBP sửa trực tiếp có nhật ký; C. NV được sửa và ghi lý do (không duyệt).</t>
        </is>
      </c>
      <c r="F32" s="80" t="inlineStr">
        <is>
          <t>B</t>
        </is>
      </c>
      <c r="G32" s="80" t="inlineStr">
        <is>
          <t>A Và B</t>
        </is>
      </c>
      <c r="H32" s="80" t="inlineStr">
        <is>
          <t>Đã chốt</t>
        </is>
      </c>
      <c r="I32" s="71" t="inlineStr">
        <is>
          <t>Trưởng BP CCKB</t>
        </is>
      </c>
      <c r="J32" s="71" t="n"/>
      <c r="K32" s="71" t="n"/>
      <c r="L32" s="71" t="n"/>
      <c r="M32" s="71" t="inlineStr">
        <is>
          <t>Đồng thuận sơ bộ: cần phê duyệt điều chỉnh sau thu</t>
        </is>
      </c>
    </row>
    <row r="33" ht="54" customHeight="1" s="81">
      <c r="A33" s="68" t="inlineStr">
        <is>
          <t>E07</t>
        </is>
      </c>
      <c r="B33" s="68" t="inlineStr">
        <is>
          <t>03. Cắm/rút điện</t>
        </is>
      </c>
      <c r="C33" s="68" t="inlineStr">
        <is>
          <t>P0</t>
        </is>
      </c>
      <c r="D33" s="68" t="inlineStr">
        <is>
          <t>Phiên điện còn trạng thái Đang cắm trên PWA nhưng thực tế đã rút, container có được xuất không?</t>
        </is>
      </c>
      <c r="E33" s="68" t="inlineStr">
        <is>
          <t>A. CCKB bắt buộc hoàn thành ghi nhận trước khi ra; B. TBP duyệt xuất ngoại lệ; C. Khác.</t>
        </is>
      </c>
      <c r="F33" s="79" t="inlineStr">
        <is>
          <t>A</t>
        </is>
      </c>
      <c r="G33" s="79" t="inlineStr">
        <is>
          <t xml:space="preserve">Làm cách nào thoai r mái hon, CCKB cứ xác định xe đã được ra thì ra, nếu xe ra đến cổng mà chưa thấy được ra thì gọi hoặc nhắn nhóm có CCKB </t>
        </is>
      </c>
      <c r="H33" s="79" t="inlineStr">
        <is>
          <t>Đã chốt</t>
        </is>
      </c>
      <c r="I33" s="68" t="inlineStr">
        <is>
          <t>Trưởng BP CCKB + An ninh</t>
        </is>
      </c>
      <c r="J33" s="68" t="n"/>
      <c r="K33" s="68" t="n"/>
      <c r="L33" s="68" t="n"/>
      <c r="M33" s="68" t="inlineStr">
        <is>
          <t>Trao đổi nghiệp vụ Sơn Cảng, 10-11/10/2026</t>
        </is>
      </c>
    </row>
    <row r="34" ht="54" customHeight="1" s="81">
      <c r="A34" s="71" t="inlineStr">
        <is>
          <t>E08</t>
        </is>
      </c>
      <c r="B34" s="71" t="inlineStr">
        <is>
          <t>03. Cắm/rút điện</t>
        </is>
      </c>
      <c r="C34" s="71" t="inlineStr">
        <is>
          <t>P1</t>
        </is>
      </c>
      <c r="D34" s="71" t="inlineStr">
        <is>
          <t>Khi không có mạng/không thể cập nhật giờ rút, cần quy trình bàn giao ngoài hệ thống và bổ sung dữ liệu như thế nào?</t>
        </is>
      </c>
      <c r="E34" s="71" t="inlineStr">
        <is>
          <t>A. Nhật ký giấy/Zalo rồi nhập lại có giờ nguồn; B. Không cho xuất cho đến khi hệ thống hoạt động; C. Ngoại lệ TBP.</t>
        </is>
      </c>
      <c r="F34" s="80" t="inlineStr">
        <is>
          <t>A</t>
        </is>
      </c>
      <c r="G34" s="80" t="inlineStr">
        <is>
          <t>chỗ này chưa hiểu</t>
        </is>
      </c>
      <c r="H34" s="80" t="inlineStr">
        <is>
          <t>Đã chốt</t>
        </is>
      </c>
      <c r="I34" s="71" t="inlineStr">
        <is>
          <t>Trưởng BP CCKB + Quản trị</t>
        </is>
      </c>
      <c r="J34" s="71" t="n"/>
      <c r="K34" s="71" t="n"/>
      <c r="L34" s="71" t="n"/>
      <c r="M34" s="71" t="inlineStr">
        <is>
          <t>Trao đổi nghiệp vụ Sơn Cảng, 10-11/10/2026</t>
        </is>
      </c>
    </row>
    <row r="35" ht="54" customHeight="1" s="81">
      <c r="A35" s="68" t="inlineStr">
        <is>
          <t>E09</t>
        </is>
      </c>
      <c r="B35" s="68" t="inlineStr">
        <is>
          <t>03. Cắm/rút điện</t>
        </is>
      </c>
      <c r="C35" s="68" t="inlineStr">
        <is>
          <t>P1</t>
        </is>
      </c>
      <c r="D35" s="68" t="inlineStr">
        <is>
          <t>Tổng thời gian thực tế tính bằng giây hay phút? Ví dụ 4 giờ 00 phút 01 giây có làm tròn thành 4 giờ 15 phút không?</t>
        </is>
      </c>
      <c r="E35" s="68" t="inlineStr">
        <is>
          <t>A. Bỏ giây/lấy phút; B. Giữ giây rồi làm tròn block 15 phút; C. Khác.</t>
        </is>
      </c>
      <c r="F35" s="79" t="inlineStr">
        <is>
          <t>Khác</t>
        </is>
      </c>
      <c r="G35" s="79" t="inlineStr">
        <is>
          <t>Hieện tại CCKB tự làm tròn</t>
        </is>
      </c>
      <c r="H35" s="79" t="inlineStr">
        <is>
          <t>Đã chốt</t>
        </is>
      </c>
      <c r="I35" s="68" t="inlineStr">
        <is>
          <t>Trưởng BP CCKB</t>
        </is>
      </c>
      <c r="J35" s="68" t="n"/>
      <c r="K35" s="68" t="n"/>
      <c r="L35" s="68" t="n"/>
      <c r="M35" s="68" t="inlineStr">
        <is>
          <t>Trao đổi nghiệp vụ Sơn Cảng, 10-11/10/2026</t>
        </is>
      </c>
    </row>
    <row r="36" ht="54" customHeight="1" s="81">
      <c r="A36" s="71" t="inlineStr">
        <is>
          <t>E10</t>
        </is>
      </c>
      <c r="B36" s="71" t="inlineStr">
        <is>
          <t>03. Cắm/rút điện</t>
        </is>
      </c>
      <c r="C36" s="71" t="inlineStr">
        <is>
          <t>P1</t>
        </is>
      </c>
      <c r="D36" s="71" t="inlineStr">
        <is>
          <t>Phiên cắm ngắn dưới 15 phút hoặc vô tình cắm 0 phút: tính tối thiểu 15 phút khi có cắm thực tế không?</t>
        </is>
      </c>
      <c r="E36" s="71" t="inlineStr">
        <is>
          <t>A. &gt;0 phút tính 15 phút; B. Có mức tối thiểu khác; C. Không thu dưới ngưỡng.</t>
        </is>
      </c>
      <c r="F36" s="80" t="inlineStr">
        <is>
          <t>Khác</t>
        </is>
      </c>
      <c r="G36" s="80" t="inlineStr">
        <is>
          <t>Hieện tại CCKB tự làm tròn</t>
        </is>
      </c>
      <c r="H36" s="80" t="inlineStr">
        <is>
          <t>Đã chốt</t>
        </is>
      </c>
      <c r="I36" s="71" t="inlineStr">
        <is>
          <t>Trưởng BP CCKB</t>
        </is>
      </c>
      <c r="J36" s="71" t="n"/>
      <c r="K36" s="71" t="n"/>
      <c r="L36" s="71" t="n"/>
      <c r="M36" s="71" t="inlineStr">
        <is>
          <t>Trao đổi nghiệp vụ Sơn Cảng, 10-11/10/2026</t>
        </is>
      </c>
    </row>
    <row r="37" ht="54" customHeight="1" s="81">
      <c r="A37" s="68" t="inlineStr">
        <is>
          <t>E11</t>
        </is>
      </c>
      <c r="B37" s="68" t="inlineStr">
        <is>
          <t>03. Cắm/rút điện</t>
        </is>
      </c>
      <c r="C37" s="68" t="inlineStr">
        <is>
          <t>P1</t>
        </is>
      </c>
      <c r="D37" s="68" t="inlineStr">
        <is>
          <t>Một container cắm/rút nhiều phiên trong cùng một lần vào bãi: làm tròn 15 phút riêng mỗi phiên hay gộp trước khi làm tròn?</t>
        </is>
      </c>
      <c r="E37" s="68" t="inlineStr">
        <is>
          <t>A. Riêng từng phiên; B. Gộp thời gian nhiều phiên; C. Theo hình thức dịch vụ.</t>
        </is>
      </c>
      <c r="F37" s="79" t="inlineStr">
        <is>
          <t>A</t>
        </is>
      </c>
      <c r="G37" s="79" t="n"/>
      <c r="H37" s="79" t="inlineStr">
        <is>
          <t>Đã chốt</t>
        </is>
      </c>
      <c r="I37" s="68" t="inlineStr">
        <is>
          <t>Trưởng BP CCKB</t>
        </is>
      </c>
      <c r="J37" s="68" t="n"/>
      <c r="K37" s="68" t="n"/>
      <c r="L37" s="68" t="n"/>
      <c r="M37" s="68" t="inlineStr">
        <is>
          <t>Trao đổi nghiệp vụ Sơn Cảng, 10-11/10/2026</t>
        </is>
      </c>
    </row>
    <row r="38" ht="54" customHeight="1" s="81">
      <c r="A38" s="71" t="inlineStr">
        <is>
          <t>E12</t>
        </is>
      </c>
      <c r="B38" s="71" t="inlineStr">
        <is>
          <t>03. Cắm/rút điện</t>
        </is>
      </c>
      <c r="C38" s="71" t="inlineStr">
        <is>
          <t>P1</t>
        </is>
      </c>
      <c r="D38" s="71" t="inlineStr">
        <is>
          <t>Có cho một container ghi nhận hai phiên cắm điện đồng thời hay bắt buộc mỗi thời điểm chỉ có một phiên?</t>
        </is>
      </c>
      <c r="E38" s="71" t="inlineStr">
        <is>
          <t>A. Chỉ một phiên hoạt động; B. Có nhiều ổ cắm/điểm cấp điện song song; C. Ngoại lệ.</t>
        </is>
      </c>
      <c r="F38" s="80" t="inlineStr">
        <is>
          <t>A</t>
        </is>
      </c>
      <c r="G38" s="80" t="n"/>
      <c r="H38" s="80" t="inlineStr">
        <is>
          <t>Đã chốt</t>
        </is>
      </c>
      <c r="I38" s="71" t="inlineStr">
        <is>
          <t>Trưởng BP CCKB</t>
        </is>
      </c>
      <c r="J38" s="71" t="n"/>
      <c r="K38" s="71" t="n"/>
      <c r="L38" s="71" t="n"/>
      <c r="M38" s="71" t="inlineStr">
        <is>
          <t>Trao đổi nghiệp vụ Sơn Cảng, 10-11/10/2026</t>
        </is>
      </c>
    </row>
    <row r="39" ht="54" customHeight="1" s="81">
      <c r="A39" s="68" t="inlineStr">
        <is>
          <t>E13</t>
        </is>
      </c>
      <c r="B39" s="68" t="inlineStr">
        <is>
          <t>03. Cắm/rút điện</t>
        </is>
      </c>
      <c r="C39" s="68" t="inlineStr">
        <is>
          <t>P1</t>
        </is>
      </c>
      <c r="D39" s="68" t="inlineStr">
        <is>
          <t>Khi cập nhật giá điện trong lúc phiên cắm đang chạy: giữ giá lúc bắt đầu hay áp giá mới khi rút?</t>
        </is>
      </c>
      <c r="E39" s="68" t="inlineStr">
        <is>
          <t>A. Giữ giá lúc cắm; B. Theo giá lúc rút; C. Chia theo thời điểm đổi giá.</t>
        </is>
      </c>
      <c r="F39" s="79" t="inlineStr">
        <is>
          <t>B</t>
        </is>
      </c>
      <c r="G39" s="79" t="inlineStr">
        <is>
          <t>tùy A và B</t>
        </is>
      </c>
      <c r="H39" s="79" t="inlineStr">
        <is>
          <t>Đã chốt</t>
        </is>
      </c>
      <c r="I39" s="68" t="inlineStr">
        <is>
          <t>Trưởng BP CCKB + Quản trị</t>
        </is>
      </c>
      <c r="J39" s="68" t="n"/>
      <c r="K39" s="68" t="n"/>
      <c r="L39" s="68" t="n"/>
      <c r="M39" s="68" t="inlineStr">
        <is>
          <t>Trao đổi nghiệp vụ Sơn Cảng, 10-11/10/2026</t>
        </is>
      </c>
    </row>
    <row r="40" ht="54" customHeight="1" s="81">
      <c r="A40" s="71" t="inlineStr">
        <is>
          <t>E14</t>
        </is>
      </c>
      <c r="B40" s="71" t="inlineStr">
        <is>
          <t>03. Cắm/rút điện</t>
        </is>
      </c>
      <c r="C40" s="71" t="inlineStr">
        <is>
          <t>P1</t>
        </is>
      </c>
      <c r="D40" s="71" t="inlineStr">
        <is>
          <t>Có yêu cầu lưu vị trí/ổ cắm/số công tơ/ảnh khi cắm, hay chỉ theo container và giờ thực tế?</t>
        </is>
      </c>
      <c r="E40" s="71" t="inlineStr">
        <is>
          <t>A. Chỉ cont và giờ; B. Thêm vị trí ổ cắm; C. Thêm ảnh/công tơ; ghi rõ.</t>
        </is>
      </c>
      <c r="F40" s="80" t="inlineStr">
        <is>
          <t>A</t>
        </is>
      </c>
      <c r="G40" s="80" t="inlineStr">
        <is>
          <t>có thể cho an ninh điền cái này cx được để họ nhớ, sau này làm sơ đồ cũng dễ</t>
        </is>
      </c>
      <c r="H40" s="80" t="inlineStr">
        <is>
          <t>Đã chốt</t>
        </is>
      </c>
      <c r="I40" s="71" t="inlineStr">
        <is>
          <t>Trưởng BP CCKB + An ninh</t>
        </is>
      </c>
      <c r="J40" s="71" t="n"/>
      <c r="K40" s="71" t="n"/>
      <c r="L40" s="71" t="n"/>
      <c r="M40" s="71" t="inlineStr">
        <is>
          <t>Trao đổi nghiệp vụ Sơn Cảng, 10-11/10/2026</t>
        </is>
      </c>
    </row>
    <row r="41" ht="54" customHeight="1" s="81">
      <c r="A41" s="68" t="inlineStr">
        <is>
          <t>E15</t>
        </is>
      </c>
      <c r="B41" s="68" t="inlineStr">
        <is>
          <t>03. Cắm/rút điện</t>
        </is>
      </c>
      <c r="C41" s="68" t="inlineStr">
        <is>
          <t>P1</t>
        </is>
      </c>
      <c r="D41" s="68" t="inlineStr">
        <is>
          <t>Ai là người được phép sửa danh mục đơn giá cắm điện và có cần TBP/BLĐ phê duyệt mức giá mới?</t>
        </is>
      </c>
      <c r="E41" s="68" t="inlineStr">
        <is>
          <t>A. Quản trị; B. Trưởng BP CCKB; C. CCKB đề xuất, Quản trị duyệt; khác.</t>
        </is>
      </c>
      <c r="F41" s="79" t="inlineStr">
        <is>
          <t>A</t>
        </is>
      </c>
      <c r="G41" s="79" t="n"/>
      <c r="H41" s="79" t="inlineStr">
        <is>
          <t>Đã chốt</t>
        </is>
      </c>
      <c r="I41" s="68" t="inlineStr">
        <is>
          <t>Trưởng BP CCKB + Quản trị</t>
        </is>
      </c>
      <c r="J41" s="68" t="n"/>
      <c r="K41" s="68" t="n"/>
      <c r="L41" s="68" t="n"/>
      <c r="M41" s="68" t="inlineStr">
        <is>
          <t>Trao đổi nghiệp vụ Sơn Cảng, 10-11/10/2026</t>
        </is>
      </c>
    </row>
    <row r="42" ht="54" customHeight="1" s="81">
      <c r="A42" s="71" t="inlineStr">
        <is>
          <t>E16</t>
        </is>
      </c>
      <c r="B42" s="71" t="inlineStr">
        <is>
          <t>03. Cắm/rút điện</t>
        </is>
      </c>
      <c r="C42" s="71" t="inlineStr">
        <is>
          <t>P1</t>
        </is>
      </c>
      <c r="D42" s="71" t="inlineStr">
        <is>
          <t>CCKB có cần chọn người An ninh đã trực tiếp cắm/rút, dù người nhập giờ là CCKB không?</t>
        </is>
      </c>
      <c r="E42" s="71" t="inlineStr">
        <is>
          <t>A. Có, bắt buộc chọn; B. Ghi chú tự do; C. Không cần.</t>
        </is>
      </c>
      <c r="F42" s="80" t="inlineStr">
        <is>
          <t>B</t>
        </is>
      </c>
      <c r="G42" s="80" t="n"/>
      <c r="H42" s="80" t="inlineStr">
        <is>
          <t>Đã chốt</t>
        </is>
      </c>
      <c r="I42" s="71" t="inlineStr">
        <is>
          <t>Trưởng BP CCKB + An ninh</t>
        </is>
      </c>
      <c r="J42" s="71" t="n"/>
      <c r="K42" s="71" t="n"/>
      <c r="L42" s="71" t="n"/>
      <c r="M42" s="71" t="inlineStr">
        <is>
          <t>Trao đổi nghiệp vụ Sơn Cảng, 10-11/10/2026</t>
        </is>
      </c>
    </row>
    <row r="43" ht="54" customHeight="1" s="81">
      <c r="A43" s="68" t="inlineStr">
        <is>
          <t>T01</t>
        </is>
      </c>
      <c r="B43" s="68" t="inlineStr">
        <is>
          <t>04. Thanh toán</t>
        </is>
      </c>
      <c r="C43" s="68" t="inlineStr">
        <is>
          <t>P0</t>
        </is>
      </c>
      <c r="D43" s="68" t="inlineStr">
        <is>
          <t>Có cho thanh toán từng phần phí điện/lưu hoặc nộp trước khi container xuất không?</t>
        </is>
      </c>
      <c r="E43" s="68" t="inlineStr">
        <is>
          <t>A. Không, thanh toán đủ theo khoản; B. Có, cho thanh toán một phần; C. Chỉ theo phê duyệt.</t>
        </is>
      </c>
      <c r="F43" s="79" t="inlineStr">
        <is>
          <t>B</t>
        </is>
      </c>
      <c r="G43" s="79" t="inlineStr">
        <is>
          <t>Linh hoạt thu cả hoặc thu từng phần</t>
        </is>
      </c>
      <c r="H43" s="79" t="inlineStr">
        <is>
          <t>Đã chốt</t>
        </is>
      </c>
      <c r="I43" s="68" t="inlineStr">
        <is>
          <t>Trưởng BP CCKB</t>
        </is>
      </c>
      <c r="J43" s="68" t="n"/>
      <c r="K43" s="68" t="n"/>
      <c r="L43" s="68" t="n"/>
      <c r="M43" s="68" t="inlineStr">
        <is>
          <t>Trao đổi nghiệp vụ Sơn Cảng, 10-11/10/2026</t>
        </is>
      </c>
    </row>
    <row r="44" ht="54" customHeight="1" s="81">
      <c r="A44" s="71" t="inlineStr">
        <is>
          <t>T02</t>
        </is>
      </c>
      <c r="B44" s="71" t="inlineStr">
        <is>
          <t>04. Thanh toán</t>
        </is>
      </c>
      <c r="C44" s="71" t="inlineStr">
        <is>
          <t>P0</t>
        </is>
      </c>
      <c r="D44" s="71" t="inlineStr">
        <is>
          <t>Một lần thanh toán có thể kết hợp tiền mặt và chuyển khoản không?</t>
        </is>
      </c>
      <c r="E44" s="71" t="inlineStr">
        <is>
          <t>A. Có, ghi mỗi phương thức một phần; B. Không, một giao dịch một phương thức; C. Tùy khoản.</t>
        </is>
      </c>
      <c r="F44" s="80" t="inlineStr">
        <is>
          <t>A</t>
        </is>
      </c>
      <c r="G44" s="80" t="n"/>
      <c r="H44" s="80" t="inlineStr">
        <is>
          <t>Đã chốt</t>
        </is>
      </c>
      <c r="I44" s="71" t="inlineStr">
        <is>
          <t>Trưởng BP CCKB</t>
        </is>
      </c>
      <c r="J44" s="71" t="n"/>
      <c r="K44" s="71" t="n"/>
      <c r="L44" s="71" t="n"/>
      <c r="M44" s="71" t="inlineStr">
        <is>
          <t>Trao đổi nghiệp vụ Sơn Cảng, 10-11/10/2026</t>
        </is>
      </c>
    </row>
    <row r="45" ht="54" customHeight="1" s="81">
      <c r="A45" s="68" t="inlineStr">
        <is>
          <t>T03</t>
        </is>
      </c>
      <c r="B45" s="68" t="inlineStr">
        <is>
          <t>04. Thanh toán</t>
        </is>
      </c>
      <c r="C45" s="68" t="inlineStr">
        <is>
          <t>P0</t>
        </is>
      </c>
      <c r="D45" s="68" t="inlineStr">
        <is>
          <t>Xác nhận chuyển khoản dựa trên ảnh khách gửi hay bắt buộc kiểm tra tài khoản công ty thực nhận?</t>
        </is>
      </c>
      <c r="E45" s="68" t="inlineStr">
        <is>
          <t>A. Kiểm tra tiền về; B. Ảnh biên lai được chấp nhận; C. Theo ngưỡng tiền và quyền.</t>
        </is>
      </c>
      <c r="F45" s="79" t="inlineStr">
        <is>
          <t>A</t>
        </is>
      </c>
      <c r="G45" s="79" t="inlineStr">
        <is>
          <t>CCKB tự xác định tiền cắm còn Lưu đêm và vé vào thì an ninh</t>
        </is>
      </c>
      <c r="H45" s="79" t="inlineStr">
        <is>
          <t>Đã chốt</t>
        </is>
      </c>
      <c r="I45" s="68" t="inlineStr">
        <is>
          <t>Trưởng BP CCKB + Kế toán</t>
        </is>
      </c>
      <c r="J45" s="68" t="n"/>
      <c r="K45" s="68" t="n"/>
      <c r="L45" s="68" t="n"/>
      <c r="M45" s="68" t="inlineStr">
        <is>
          <t>Trao đổi nghiệp vụ Sơn Cảng, 10-11/10/2026</t>
        </is>
      </c>
    </row>
    <row r="46" ht="54" customHeight="1" s="81">
      <c r="A46" s="71" t="inlineStr">
        <is>
          <t>T04</t>
        </is>
      </c>
      <c r="B46" s="71" t="inlineStr">
        <is>
          <t>04. Thanh toán</t>
        </is>
      </c>
      <c r="C46" s="71" t="inlineStr">
        <is>
          <t>P0</t>
        </is>
      </c>
      <c r="D46" s="71" t="inlineStr">
        <is>
          <t>Ảnh bằng chứng thu tiền cần bắt buộc với giao dịch nào (vé, lưu cont, điện, mất vé)?</t>
        </is>
      </c>
      <c r="E46" s="71" t="inlineStr">
        <is>
          <t>A. Mọi chuyển khoản; B. Mọi giao dịch; C. Chỉ theo quy định từng loại.</t>
        </is>
      </c>
      <c r="F46" s="80" t="inlineStr">
        <is>
          <t>Khác</t>
        </is>
      </c>
      <c r="G46" s="80" t="inlineStr">
        <is>
          <t>Xây dưng nhưng chưa ap dụng</t>
        </is>
      </c>
      <c r="H46" s="80" t="inlineStr">
        <is>
          <t>Đã chốt</t>
        </is>
      </c>
      <c r="I46" s="71" t="inlineStr">
        <is>
          <t>Trưởng BP An ninh + CCKB</t>
        </is>
      </c>
      <c r="J46" s="71" t="n"/>
      <c r="K46" s="71" t="n"/>
      <c r="L46" s="71" t="n"/>
      <c r="M46" s="71" t="inlineStr">
        <is>
          <t>Trao đổi nghiệp vụ Sơn Cảng, 10-11/10/2026</t>
        </is>
      </c>
    </row>
    <row r="47" ht="54" customHeight="1" s="81">
      <c r="A47" s="68" t="inlineStr">
        <is>
          <t>T05</t>
        </is>
      </c>
      <c r="B47" s="68" t="inlineStr">
        <is>
          <t>04. Thanh toán</t>
        </is>
      </c>
      <c r="C47" s="68" t="inlineStr">
        <is>
          <t>P1</t>
        </is>
      </c>
      <c r="D47" s="68" t="inlineStr">
        <is>
          <t>Khoản phạt mất vé được thanh toán và đối soát như một dòng phí riêng hay gộp cùng tiền vé ban đầu?</t>
        </is>
      </c>
      <c r="E47" s="68" t="inlineStr">
        <is>
          <t>A. Tách khoản phí riêng; B. Gộp vào vé; C. Tùy thời điểm phát hiện.</t>
        </is>
      </c>
      <c r="F47" s="79" t="inlineStr">
        <is>
          <t>A</t>
        </is>
      </c>
      <c r="G47" s="79" t="n"/>
      <c r="H47" s="79" t="inlineStr">
        <is>
          <t>Đã chốt</t>
        </is>
      </c>
      <c r="I47" s="68" t="inlineStr">
        <is>
          <t>Trưởng BP An ninh + CCKB</t>
        </is>
      </c>
      <c r="J47" s="68" t="n"/>
      <c r="K47" s="68" t="n"/>
      <c r="L47" s="68" t="n"/>
      <c r="M47" s="68" t="inlineStr">
        <is>
          <t>Trao đổi nghiệp vụ Sơn Cảng, 10-11/10/2026</t>
        </is>
      </c>
    </row>
    <row r="48" ht="54" customHeight="1" s="81">
      <c r="A48" s="71" t="inlineStr">
        <is>
          <t>T06</t>
        </is>
      </c>
      <c r="B48" s="71" t="inlineStr">
        <is>
          <t>04. Thanh toán</t>
        </is>
      </c>
      <c r="C48" s="71" t="inlineStr">
        <is>
          <t>P0</t>
        </is>
      </c>
      <c r="D48" s="71" t="inlineStr">
        <is>
          <t>Nếu đã thu thiếu hoặc thừa tiền so với hệ thống: cách điều chỉnh/hoàn trả, ai duyệt?</t>
        </is>
      </c>
      <c r="E48" s="71" t="inlineStr">
        <is>
          <t>A. NV lập phiếu, TBP duyệt; B. Chỉ Quản trị; C. Quy trình khác.</t>
        </is>
      </c>
      <c r="F48" s="80" t="inlineStr">
        <is>
          <t>Khác</t>
        </is>
      </c>
      <c r="G48" s="80" t="inlineStr">
        <is>
          <t>Xây dưng nhưng chưa ap dụng</t>
        </is>
      </c>
      <c r="H48" s="80" t="inlineStr">
        <is>
          <t>Đã chốt</t>
        </is>
      </c>
      <c r="I48" s="71" t="inlineStr">
        <is>
          <t>Trưởng BP CCKB</t>
        </is>
      </c>
      <c r="J48" s="71" t="n"/>
      <c r="K48" s="71" t="n"/>
      <c r="L48" s="71" t="n"/>
      <c r="M48" s="71" t="inlineStr">
        <is>
          <t>Trao đổi nghiệp vụ Sơn Cảng, 10-11/10/2026</t>
        </is>
      </c>
    </row>
    <row r="49" ht="54" customHeight="1" s="81">
      <c r="A49" s="68" t="inlineStr">
        <is>
          <t>T07</t>
        </is>
      </c>
      <c r="B49" s="68" t="inlineStr">
        <is>
          <t>04. Thanh toán</t>
        </is>
      </c>
      <c r="C49" s="68" t="inlineStr">
        <is>
          <t>P0</t>
        </is>
      </c>
      <c r="D49" s="68" t="inlineStr">
        <is>
          <t>Có được miễn/giảm giá vé, phí lưu, tiền điện? Ai là người có quyền duyệt?</t>
        </is>
      </c>
      <c r="E49" s="68" t="inlineStr">
        <is>
          <t>A. TBP theo bộ phận; B. Quản trị; C. Ban lãnh đạo; tùy loại phí.</t>
        </is>
      </c>
      <c r="F49" s="79" t="inlineStr">
        <is>
          <t>Khác</t>
        </is>
      </c>
      <c r="G49" s="79" t="inlineStr">
        <is>
          <t>Xây dưng nhưng chưa ap dụng</t>
        </is>
      </c>
      <c r="H49" s="79" t="inlineStr">
        <is>
          <t>Đã chốt</t>
        </is>
      </c>
      <c r="I49" s="68" t="inlineStr">
        <is>
          <t>Ban quản lý Sơn Cảng</t>
        </is>
      </c>
      <c r="J49" s="68" t="n"/>
      <c r="K49" s="68" t="n"/>
      <c r="L49" s="68" t="n"/>
      <c r="M49" s="68" t="inlineStr">
        <is>
          <t>Trao đổi nghiệp vụ Sơn Cảng, 10-11/10/2026</t>
        </is>
      </c>
    </row>
    <row r="50" ht="54" customHeight="1" s="81">
      <c r="A50" s="71" t="inlineStr">
        <is>
          <t>T08</t>
        </is>
      </c>
      <c r="B50" s="71" t="inlineStr">
        <is>
          <t>04. Thanh toán</t>
        </is>
      </c>
      <c r="C50" s="71" t="inlineStr">
        <is>
          <t>P0</t>
        </is>
      </c>
      <c r="D50" s="71" t="inlineStr">
        <is>
          <t>Có cho xuất container khi còn nợ phí hoặc đã gửi chứng từ nhưng chưa xác minh nhận tiền không?</t>
        </is>
      </c>
      <c r="E50" s="71" t="inlineStr">
        <is>
          <t>A. Không; B. Cho phép nếu TBP phê duyệt; C. Công nợ khách hàng theo danh sách.</t>
        </is>
      </c>
      <c r="F50" s="80" t="inlineStr">
        <is>
          <t>Khác</t>
        </is>
      </c>
      <c r="G50" s="80" t="inlineStr">
        <is>
          <t>CCKB sẽ xác nhận cho ra hay k và có thể báo cho ra nhưng tiền chưa thusex hiện cảnh báo, 1 là tự động nếu cckb đã điền đủ thanh toán và có cái xác nhận cho xe ra bằng tay mà tiền chưa ghi nhận</t>
        </is>
      </c>
      <c r="H50" s="80" t="inlineStr">
        <is>
          <t>Đã chốt</t>
        </is>
      </c>
      <c r="I50" s="71" t="inlineStr">
        <is>
          <t>Trưởng BP CCKB</t>
        </is>
      </c>
      <c r="J50" s="71" t="n"/>
      <c r="K50" s="71" t="n"/>
      <c r="L50" s="71" t="n"/>
      <c r="M50" s="71" t="inlineStr">
        <is>
          <t>Trao đổi nghiệp vụ Sơn Cảng, 10-11/10/2026</t>
        </is>
      </c>
    </row>
    <row r="51" ht="54" customHeight="1" s="81">
      <c r="A51" s="68" t="inlineStr">
        <is>
          <t>T09</t>
        </is>
      </c>
      <c r="B51" s="68" t="inlineStr">
        <is>
          <t>04. Thanh toán</t>
        </is>
      </c>
      <c r="C51" s="68" t="inlineStr">
        <is>
          <t>P0</t>
        </is>
      </c>
      <c r="D51" s="68" t="inlineStr">
        <is>
          <t>Tại cổng ra, trạng thái tài chính hợp lệ có thời hạn bao lâu trước khi phải tính lại phí lưu?</t>
        </is>
      </c>
      <c r="E51" s="68" t="inlineStr">
        <is>
          <t>A. Luôn tính lại lúc xe/cont thực ra; B. CCKB xác nhận hiệu lực n phút; C. Chốt theo giờ duyệt.</t>
        </is>
      </c>
      <c r="F51" s="79" t="inlineStr">
        <is>
          <t>A</t>
        </is>
      </c>
      <c r="G51" s="79" t="inlineStr">
        <is>
          <t>Phí lưu chỉ có AN ninh tính tại lúc ra</t>
        </is>
      </c>
      <c r="H51" s="79" t="inlineStr">
        <is>
          <t>Đã chốt</t>
        </is>
      </c>
      <c r="I51" s="68" t="inlineStr">
        <is>
          <t>Trưởng BP CCKB + An ninh</t>
        </is>
      </c>
      <c r="J51" s="68" t="n"/>
      <c r="K51" s="68" t="n"/>
      <c r="L51" s="68" t="n"/>
      <c r="M51" s="68" t="inlineStr">
        <is>
          <t>Trao đổi nghiệp vụ Sơn Cảng, 10-11/10/2026</t>
        </is>
      </c>
    </row>
    <row r="52" ht="54" customHeight="1" s="81">
      <c r="A52" s="71" t="inlineStr">
        <is>
          <t>T10</t>
        </is>
      </c>
      <c r="B52" s="71" t="inlineStr">
        <is>
          <t>04. Thanh toán</t>
        </is>
      </c>
      <c r="C52" s="71" t="inlineStr">
        <is>
          <t>P1</t>
        </is>
      </c>
      <c r="D52" s="71" t="inlineStr">
        <is>
          <t>Khi xe ra không kéo container, An ninh có cần CCKB xác nhận tài chính riêng cho LƯỢT XE không?</t>
        </is>
      </c>
      <c r="E52" s="71" t="inlineStr">
        <is>
          <t>A. Chỉ kiểm tra vé đã thu; B. CCKB duyệt tất cả lượt ra; C. Chỉ duyệt xe có cont.</t>
        </is>
      </c>
      <c r="F52" s="80" t="inlineStr">
        <is>
          <t>A</t>
        </is>
      </c>
      <c r="G52" s="80" t="inlineStr">
        <is>
          <t>K cần xác nhận nếu k có cont ra vì CCKB chỉ quan tâm cont chứ xe k quan tâm</t>
        </is>
      </c>
      <c r="H52" s="80" t="inlineStr">
        <is>
          <t>Đã chốt</t>
        </is>
      </c>
      <c r="I52" s="71" t="inlineStr">
        <is>
          <t>Trưởng BP CCKB + An ninh</t>
        </is>
      </c>
      <c r="J52" s="71" t="n"/>
      <c r="K52" s="71" t="n"/>
      <c r="L52" s="71" t="n"/>
      <c r="M52" s="71" t="inlineStr">
        <is>
          <t>Trao đổi nghiệp vụ Sơn Cảng, 10-11/10/2026</t>
        </is>
      </c>
    </row>
    <row r="53" ht="54" customHeight="1" s="81">
      <c r="A53" s="68" t="inlineStr">
        <is>
          <t>T11</t>
        </is>
      </c>
      <c r="B53" s="68" t="inlineStr">
        <is>
          <t>04. Thanh toán</t>
        </is>
      </c>
      <c r="C53" s="68" t="inlineStr">
        <is>
          <t>P1</t>
        </is>
      </c>
      <c r="D53" s="68" t="inlineStr">
        <is>
          <t>CCKB có được thu hộ nhiều container/xe trong một lần chuyển khoản và phân bổ vào nhiều khoản phí không?</t>
        </is>
      </c>
      <c r="E53" s="68" t="inlineStr">
        <is>
          <t>A. Có, phân bổ khoản; B. Không, mỗi lần cho một đối tượng; C. Có điều kiện.</t>
        </is>
      </c>
      <c r="F53" s="79" t="inlineStr">
        <is>
          <t>A</t>
        </is>
      </c>
      <c r="G53" s="79" t="inlineStr">
        <is>
          <t>Linh hoạt như nào dễ cho ng dùng thì làm</t>
        </is>
      </c>
      <c r="H53" s="79" t="inlineStr">
        <is>
          <t>Đã chốt</t>
        </is>
      </c>
      <c r="I53" s="68" t="inlineStr">
        <is>
          <t>Trưởng BP CCKB</t>
        </is>
      </c>
      <c r="J53" s="68" t="n"/>
      <c r="K53" s="68" t="n"/>
      <c r="L53" s="68" t="n"/>
      <c r="M53" s="68" t="inlineStr">
        <is>
          <t>Trao đổi nghiệp vụ Sơn Cảng, 10-11/10/2026</t>
        </is>
      </c>
    </row>
    <row r="54" ht="54" customHeight="1" s="81">
      <c r="A54" s="71" t="inlineStr">
        <is>
          <t>T12</t>
        </is>
      </c>
      <c r="B54" s="71" t="inlineStr">
        <is>
          <t>04. Thanh toán</t>
        </is>
      </c>
      <c r="C54" s="71" t="inlineStr">
        <is>
          <t>P1</t>
        </is>
      </c>
      <c r="D54" s="71" t="inlineStr">
        <is>
          <t>Khi có khách hàng thường xuyên: có quản lý hồ sơ khách, mã số thuế, công nợ/hóa đơn không?</t>
        </is>
      </c>
      <c r="E54" s="71" t="inlineStr">
        <is>
          <t>A. V1 chỉ tên/số điện thoại; B. Quản lý danh mục khách hàng; C. Thêm công nợ/hóa đơn.</t>
        </is>
      </c>
      <c r="F54" s="80" t="inlineStr">
        <is>
          <t>Không áp dụng</t>
        </is>
      </c>
      <c r="G54" s="80" t="inlineStr">
        <is>
          <t>Sau này có nhé, vì bên Kế toán cũng muốn joint vào hệ thông này ví dụ ở trên vé vào hienejt ại an ninh điền thông tin lái xe hoặc thông tin công ty để xuất hóa đơn, có cái xuất có cái k xuất nhé, xong kế toán cũng cần tổng hợp và điền báo cáo nữa.) Các thông tin cần điền(Họ tên/Tên công ty, Mã só thuế/số CCCD, thương trú, có thể sđt n, e mail nữa</t>
        </is>
      </c>
      <c r="H54" s="80" t="inlineStr">
        <is>
          <t>Đã chốt</t>
        </is>
      </c>
      <c r="I54" s="71" t="inlineStr">
        <is>
          <t>Trưởng BP CCKB + Kế toán</t>
        </is>
      </c>
      <c r="J54" s="71" t="n"/>
      <c r="K54" s="71" t="n"/>
      <c r="L54" s="71" t="n"/>
      <c r="M54" s="71" t="inlineStr">
        <is>
          <t>Trao đổi nghiệp vụ Sơn Cảng, 10-11/10/2026</t>
        </is>
      </c>
    </row>
    <row r="55" ht="54" customHeight="1" s="81">
      <c r="A55" s="68" t="inlineStr">
        <is>
          <t>T13</t>
        </is>
      </c>
      <c r="B55" s="68" t="inlineStr">
        <is>
          <t>04. Thanh toán</t>
        </is>
      </c>
      <c r="C55" s="68" t="inlineStr">
        <is>
          <t>P1</t>
        </is>
      </c>
      <c r="D55" s="68" t="inlineStr">
        <is>
          <t>Có cho hủy giao dịch thu tiền do nhập nhầm? Yêu cầu lý do/phê duyệt và xử lý dòng đối ứng?</t>
        </is>
      </c>
      <c r="E55" s="68" t="inlineStr">
        <is>
          <t>A. Chỉ tạo giao dịch đảo; B. Cho hủy với duyệt; C. Khác.</t>
        </is>
      </c>
      <c r="F55" s="79" t="inlineStr">
        <is>
          <t>B</t>
        </is>
      </c>
      <c r="G55" s="79" t="inlineStr">
        <is>
          <t>Linh hoạt như nào dễ cho ng dùng thì làm</t>
        </is>
      </c>
      <c r="H55" s="79" t="inlineStr">
        <is>
          <t>Đã chốt</t>
        </is>
      </c>
      <c r="I55" s="68" t="inlineStr">
        <is>
          <t>Trưởng BP CCKB</t>
        </is>
      </c>
      <c r="J55" s="68" t="n"/>
      <c r="K55" s="68" t="n"/>
      <c r="L55" s="68" t="n"/>
      <c r="M55" s="68" t="inlineStr">
        <is>
          <t>Trao đổi nghiệp vụ Sơn Cảng, 10-11/10/2026</t>
        </is>
      </c>
    </row>
    <row r="56" ht="54" customHeight="1" s="81">
      <c r="A56" s="71" t="inlineStr">
        <is>
          <t>T14</t>
        </is>
      </c>
      <c r="B56" s="71" t="inlineStr">
        <is>
          <t>04. Thanh toán</t>
        </is>
      </c>
      <c r="C56" s="71" t="inlineStr">
        <is>
          <t>P1</t>
        </is>
      </c>
      <c r="D56" s="71" t="inlineStr">
        <is>
          <t>Doanh thu vé An ninh thu và doanh thu phí CCKB thu được đối soát cuối ca như thế nào?</t>
        </is>
      </c>
      <c r="E56" s="71" t="inlineStr">
        <is>
          <t>A. Theo cá nhân/ca; B. Theo bộ phận/ngày; C. Hai cấp đối soát; ghi quy định.</t>
        </is>
      </c>
      <c r="F56" s="80" t="inlineStr">
        <is>
          <t>Khác</t>
        </is>
      </c>
      <c r="G56" s="80" t="inlineStr">
        <is>
          <t>theo ca nhé, ca lammf việc của an ninh hiện tại là 6H-18H nhưng chốt doanh thu có thẻ là 16H và 8h30 9H kiểu vậy</t>
        </is>
      </c>
      <c r="H56" s="80" t="inlineStr">
        <is>
          <t>Đã chốt</t>
        </is>
      </c>
      <c r="I56" s="71" t="inlineStr">
        <is>
          <t>Trưởng BP An ninh + CCKB + Kế toán</t>
        </is>
      </c>
      <c r="J56" s="71" t="n"/>
      <c r="K56" s="71" t="n"/>
      <c r="L56" s="71" t="n"/>
      <c r="M56" s="71" t="inlineStr">
        <is>
          <t>Trao đổi nghiệp vụ Sơn Cảng, 10-11/10/2026</t>
        </is>
      </c>
    </row>
    <row r="57" ht="54" customHeight="1" s="81">
      <c r="A57" s="68" t="inlineStr">
        <is>
          <t>T15</t>
        </is>
      </c>
      <c r="B57" s="68" t="inlineStr">
        <is>
          <t>04. Thanh toán</t>
        </is>
      </c>
      <c r="C57" s="68" t="inlineStr">
        <is>
          <t>P1</t>
        </is>
      </c>
      <c r="D57" s="68" t="inlineStr">
        <is>
          <t>Sau khi CCKB đã cấp đủ điều kiện thanh toán, An ninh phát hiện sai số cont/biển số: có quyền hủy xác nhận và gửi duyệt lại không?</t>
        </is>
      </c>
      <c r="E57" s="68" t="inlineStr">
        <is>
          <t>A. Tự hủy và yêu cầu kiểm tra; B. Chỉ CCKB thu hồi; C. TBP duyệt.</t>
        </is>
      </c>
      <c r="F57" s="79" t="inlineStr">
        <is>
          <t>Không áp dụng</t>
        </is>
      </c>
      <c r="G57" s="79" t="n"/>
      <c r="H57" s="79" t="inlineStr">
        <is>
          <t>Đã chốt</t>
        </is>
      </c>
      <c r="I57" s="68" t="inlineStr">
        <is>
          <t>Trưởng BP An ninh + CCKB</t>
        </is>
      </c>
      <c r="J57" s="68" t="n"/>
      <c r="K57" s="68" t="n"/>
      <c r="L57" s="68" t="n"/>
      <c r="M57" s="68" t="inlineStr">
        <is>
          <t>Trao đổi nghiệp vụ Sơn Cảng, 10-11/10/2026</t>
        </is>
      </c>
    </row>
    <row r="58" ht="54" customHeight="1" s="81">
      <c r="A58" s="71" t="inlineStr">
        <is>
          <t>P01</t>
        </is>
      </c>
      <c r="B58" s="71" t="inlineStr">
        <is>
          <t>05. Phân quyền</t>
        </is>
      </c>
      <c r="C58" s="71" t="inlineStr">
        <is>
          <t>P0</t>
        </is>
      </c>
      <c r="D58" s="71" t="inlineStr">
        <is>
          <t>Các vai trò chính xác cần tạo là 6 vai trò NV/TBP của 3 bộ phận + Quản trị, hay bổ sung Nhà cân/Kế toán?</t>
        </is>
      </c>
      <c r="E58" s="71" t="inlineStr">
        <is>
          <t>A. 7 vai trò; B. Thêm Nhà cân; C. Thêm Kế toán; ghi rõ.</t>
        </is>
      </c>
      <c r="F58" s="80" t="inlineStr">
        <is>
          <t>C</t>
        </is>
      </c>
      <c r="G58" s="80" t="n"/>
      <c r="H58" s="80" t="inlineStr">
        <is>
          <t>Đã chốt</t>
        </is>
      </c>
      <c r="I58" s="71" t="inlineStr">
        <is>
          <t>Quản trị + Các TBP</t>
        </is>
      </c>
      <c r="J58" s="71" t="n"/>
      <c r="K58" s="71" t="n"/>
      <c r="L58" s="71" t="n"/>
      <c r="M58" s="71" t="inlineStr">
        <is>
          <t>Trao đổi nghiệp vụ Sơn Cảng, 10-11/10/2026</t>
        </is>
      </c>
    </row>
    <row r="59" ht="54" customHeight="1" s="81">
      <c r="A59" s="68" t="inlineStr">
        <is>
          <t>P02</t>
        </is>
      </c>
      <c r="B59" s="68" t="inlineStr">
        <is>
          <t>05. Phân quyền</t>
        </is>
      </c>
      <c r="C59" s="68" t="inlineStr">
        <is>
          <t>P0</t>
        </is>
      </c>
      <c r="D59" s="68" t="inlineStr">
        <is>
          <t>TBP An ninh có được sửa GIO_VAO/GIO_RA và xuất xe thay NV An ninh không?</t>
        </is>
      </c>
      <c r="E59" s="68" t="inlineStr">
        <is>
          <t>A. Có; B. Chỉ duyệt sửa, không thực hiện; C. Tùy chức năng.</t>
        </is>
      </c>
      <c r="F59" s="79" t="inlineStr">
        <is>
          <t>A</t>
        </is>
      </c>
      <c r="G59" s="79" t="inlineStr">
        <is>
          <t>ghi lại audit</t>
        </is>
      </c>
      <c r="H59" s="79" t="inlineStr">
        <is>
          <t>Đã chốt</t>
        </is>
      </c>
      <c r="I59" s="68" t="inlineStr">
        <is>
          <t>Trưởng BP An ninh</t>
        </is>
      </c>
      <c r="J59" s="68" t="n"/>
      <c r="K59" s="68" t="n"/>
      <c r="L59" s="68" t="n"/>
      <c r="M59" s="68" t="inlineStr">
        <is>
          <t>Trao đổi nghiệp vụ Sơn Cảng, 10-11/10/2026</t>
        </is>
      </c>
    </row>
    <row r="60" ht="54" customHeight="1" s="81">
      <c r="A60" s="71" t="inlineStr">
        <is>
          <t>P03</t>
        </is>
      </c>
      <c r="B60" s="71" t="inlineStr">
        <is>
          <t>05. Phân quyền</t>
        </is>
      </c>
      <c r="C60" s="71" t="inlineStr">
        <is>
          <t>P0</t>
        </is>
      </c>
      <c r="D60" s="71" t="inlineStr">
        <is>
          <t>TBP CCKB có quyền duyệt điều chỉnh sau thu, duyệt miễn giảm và duyệt xuất ngoại lệ đến hạn mức nào?</t>
        </is>
      </c>
      <c r="E60" s="71" t="inlineStr">
        <is>
          <t>A. Toàn bộ; B. Giới hạn theo số tiền; C. Phải chuyển Quản trị/BLĐ.</t>
        </is>
      </c>
      <c r="F60" s="80" t="inlineStr">
        <is>
          <t>A</t>
        </is>
      </c>
      <c r="G60" s="80" t="inlineStr">
        <is>
          <t>ghi lại audit</t>
        </is>
      </c>
      <c r="H60" s="80" t="inlineStr">
        <is>
          <t>Đã chốt</t>
        </is>
      </c>
      <c r="I60" s="71" t="inlineStr">
        <is>
          <t>Trưởng BP CCKB</t>
        </is>
      </c>
      <c r="J60" s="71" t="n"/>
      <c r="K60" s="71" t="n"/>
      <c r="L60" s="71" t="n"/>
      <c r="M60" s="71" t="inlineStr">
        <is>
          <t>Trao đổi nghiệp vụ Sơn Cảng, 10-11/10/2026</t>
        </is>
      </c>
    </row>
    <row r="61" ht="54" customHeight="1" s="81">
      <c r="A61" s="68" t="inlineStr">
        <is>
          <t>P04</t>
        </is>
      </c>
      <c r="B61" s="68" t="inlineStr">
        <is>
          <t>05. Phân quyền</t>
        </is>
      </c>
      <c r="C61" s="68" t="inlineStr">
        <is>
          <t>P1</t>
        </is>
      </c>
      <c r="D61" s="68" t="inlineStr">
        <is>
          <t>NV CCKB có được sửa giờ điện trước thanh toán không giới hạn hay chỉ trong ca/24 giờ?</t>
        </is>
      </c>
      <c r="E61" s="68" t="inlineStr">
        <is>
          <t>A. Không giới hạn trước thu; B. Trong ca; C. Theo thời hạn khác.</t>
        </is>
      </c>
      <c r="F61" s="79" t="inlineStr">
        <is>
          <t>A</t>
        </is>
      </c>
      <c r="G61" s="79" t="inlineStr">
        <is>
          <t>được</t>
        </is>
      </c>
      <c r="H61" s="79" t="inlineStr">
        <is>
          <t>Đã chốt</t>
        </is>
      </c>
      <c r="I61" s="68" t="inlineStr">
        <is>
          <t>Trưởng BP CCKB</t>
        </is>
      </c>
      <c r="J61" s="68" t="n"/>
      <c r="K61" s="68" t="n"/>
      <c r="L61" s="68" t="n"/>
      <c r="M61" s="68" t="inlineStr">
        <is>
          <t>Trao đổi nghiệp vụ Sơn Cảng, 10-11/10/2026</t>
        </is>
      </c>
    </row>
    <row r="62" ht="54" customHeight="1" s="81">
      <c r="A62" s="71" t="inlineStr">
        <is>
          <t>P05</t>
        </is>
      </c>
      <c r="B62" s="71" t="inlineStr">
        <is>
          <t>05. Phân quyền</t>
        </is>
      </c>
      <c r="C62" s="71" t="inlineStr">
        <is>
          <t>P1</t>
        </is>
      </c>
      <c r="D62" s="71" t="inlineStr">
        <is>
          <t>TBP Điều phối có được sửa HÀNG/RỖNG sau khi container xuất bãi không?</t>
        </is>
      </c>
      <c r="E62" s="71" t="inlineStr">
        <is>
          <t>A. Có, kèm lý do; B. Chỉ trước khi xuất; C. Quản trị sửa sau xuất.</t>
        </is>
      </c>
      <c r="F62" s="80" t="inlineStr">
        <is>
          <t>A</t>
        </is>
      </c>
      <c r="G62" s="80" t="n"/>
      <c r="H62" s="80" t="inlineStr">
        <is>
          <t>Đã chốt</t>
        </is>
      </c>
      <c r="I62" s="71" t="inlineStr">
        <is>
          <t>Trưởng BP Điều phối</t>
        </is>
      </c>
      <c r="J62" s="71" t="n"/>
      <c r="K62" s="71" t="n"/>
      <c r="L62" s="71" t="n"/>
      <c r="M62" s="71" t="inlineStr">
        <is>
          <t>Trao đổi nghiệp vụ Sơn Cảng, 10-11/10/2026</t>
        </is>
      </c>
    </row>
    <row r="63" ht="54" customHeight="1" s="81">
      <c r="A63" s="68" t="inlineStr">
        <is>
          <t>P06</t>
        </is>
      </c>
      <c r="B63" s="68" t="inlineStr">
        <is>
          <t>05. Phân quyền</t>
        </is>
      </c>
      <c r="C63" s="68" t="inlineStr">
        <is>
          <t>P1</t>
        </is>
      </c>
      <c r="D63" s="68" t="inlineStr">
        <is>
          <t>Ai có quyền mở khóa/xử lý dữ liệu đã chốt sau ra cổng mà không làm thay đổi lịch sử thu tiền?</t>
        </is>
      </c>
      <c r="E63" s="68" t="inlineStr">
        <is>
          <t>A. Quản trị; B. TBP liên quan + xác nhận; C. Quy trình 2 cấp.</t>
        </is>
      </c>
      <c r="F63" s="79" t="inlineStr">
        <is>
          <t>B</t>
        </is>
      </c>
      <c r="G63" s="79" t="n"/>
      <c r="H63" s="79" t="inlineStr">
        <is>
          <t>Đã chốt</t>
        </is>
      </c>
      <c r="I63" s="68" t="inlineStr">
        <is>
          <t>Quản trị + Các TBP</t>
        </is>
      </c>
      <c r="J63" s="68" t="n"/>
      <c r="K63" s="68" t="n"/>
      <c r="L63" s="68" t="n"/>
      <c r="M63" s="68" t="inlineStr">
        <is>
          <t>Trao đổi nghiệp vụ Sơn Cảng, 10-11/10/2026</t>
        </is>
      </c>
    </row>
    <row r="64" ht="54" customHeight="1" s="81">
      <c r="A64" s="71" t="inlineStr">
        <is>
          <t>P07</t>
        </is>
      </c>
      <c r="B64" s="71" t="inlineStr">
        <is>
          <t>05. Phân quyền</t>
        </is>
      </c>
      <c r="C64" s="71" t="inlineStr">
        <is>
          <t>P1</t>
        </is>
      </c>
      <c r="D64" s="71" t="inlineStr">
        <is>
          <t>Một nhân viên có thể kiêm 2 bộ phận/vai trò trên một tài khoản không?</t>
        </is>
      </c>
      <c r="E64" s="71" t="inlineStr">
        <is>
          <t>A. Một tài khoản nhiều vai trò; B. Một vai trò; C. Theo ca.</t>
        </is>
      </c>
      <c r="F64" s="80" t="inlineStr">
        <is>
          <t>Khác</t>
        </is>
      </c>
      <c r="G64" s="80" t="inlineStr">
        <is>
          <t>Cài này có lúc theo ca có lúc 1 tk nhiêu role nhưng cứ xây dựng giai đoạn đầu máy sẽ cố định tại bốt cont CCKB thì sẽ đăng nhập tk cá nhân(Sau này muốn phát triển ai có ca mới được vào)</t>
        </is>
      </c>
      <c r="H64" s="80" t="inlineStr">
        <is>
          <t>Đã chốt</t>
        </is>
      </c>
      <c r="I64" s="71" t="inlineStr">
        <is>
          <t>Quản trị</t>
        </is>
      </c>
      <c r="J64" s="71" t="n"/>
      <c r="K64" s="71" t="n"/>
      <c r="L64" s="71" t="n"/>
      <c r="M64" s="71" t="inlineStr">
        <is>
          <t>Trao đổi nghiệp vụ Sơn Cảng, 10-11/10/2026</t>
        </is>
      </c>
    </row>
    <row r="65" ht="54" customHeight="1" s="81">
      <c r="A65" s="68" t="inlineStr">
        <is>
          <t>P08</t>
        </is>
      </c>
      <c r="B65" s="68" t="inlineStr">
        <is>
          <t>05. Phân quyền</t>
        </is>
      </c>
      <c r="C65" s="68" t="inlineStr">
        <is>
          <t>P1</t>
        </is>
      </c>
      <c r="D65" s="68" t="inlineStr">
        <is>
          <t>Cần tạo tài khoản mới bằng email công ty hay dùng email Gmail hiện có để đăng nhập?</t>
        </is>
      </c>
      <c r="E65" s="68" t="inlineStr">
        <is>
          <t>A. Google login email sẵn có; B. Email công ty; C. Email/mật khẩu độc lập.</t>
        </is>
      </c>
      <c r="F65" s="79" t="inlineStr">
        <is>
          <t>C</t>
        </is>
      </c>
      <c r="G65" s="79" t="n"/>
      <c r="H65" s="79" t="inlineStr">
        <is>
          <t>Đã chốt</t>
        </is>
      </c>
      <c r="I65" s="68" t="inlineStr">
        <is>
          <t>Quản trị</t>
        </is>
      </c>
      <c r="J65" s="68" t="n"/>
      <c r="K65" s="68" t="n"/>
      <c r="L65" s="68" t="n"/>
      <c r="M65" s="68" t="inlineStr">
        <is>
          <t>Trao đổi nghiệp vụ Sơn Cảng, 10-11/10/2026</t>
        </is>
      </c>
    </row>
    <row r="66" ht="54" customHeight="1" s="81">
      <c r="A66" s="71" t="inlineStr">
        <is>
          <t>P09</t>
        </is>
      </c>
      <c r="B66" s="71" t="inlineStr">
        <is>
          <t>05. Phân quyền</t>
        </is>
      </c>
      <c r="C66" s="71" t="inlineStr">
        <is>
          <t>P1</t>
        </is>
      </c>
      <c r="D66" s="71" t="inlineStr">
        <is>
          <t>Người dùng bị khóa/nghỉ việc thì dữ liệu lịch sử và quyền đăng nhập được xử lý thế nào?</t>
        </is>
      </c>
      <c r="E66" s="71" t="inlineStr">
        <is>
          <t>A. Vô hiệu hóa, giữ lịch sử; B. Quy trình khác.</t>
        </is>
      </c>
      <c r="F66" s="80" t="inlineStr">
        <is>
          <t>A</t>
        </is>
      </c>
      <c r="G66" s="80" t="n"/>
      <c r="H66" s="80" t="inlineStr">
        <is>
          <t>Đã chốt</t>
        </is>
      </c>
      <c r="I66" s="71" t="inlineStr">
        <is>
          <t>Quản trị</t>
        </is>
      </c>
      <c r="J66" s="71" t="n"/>
      <c r="K66" s="71" t="n"/>
      <c r="L66" s="71" t="n"/>
      <c r="M66" s="71" t="inlineStr">
        <is>
          <t>Trao đổi nghiệp vụ Sơn Cảng, 10-11/10/2026</t>
        </is>
      </c>
    </row>
    <row r="67" ht="54" customHeight="1" s="81">
      <c r="A67" s="68" t="inlineStr">
        <is>
          <t>P10</t>
        </is>
      </c>
      <c r="B67" s="68" t="inlineStr">
        <is>
          <t>05. Phân quyền</t>
        </is>
      </c>
      <c r="C67" s="68" t="inlineStr">
        <is>
          <t>P1</t>
        </is>
      </c>
      <c r="D67" s="68" t="inlineStr">
        <is>
          <t>CCKB có quyền xem và điều chỉnh trạng thái vé An ninh thu hay chỉ đọc?</t>
        </is>
      </c>
      <c r="E67" s="68" t="inlineStr">
        <is>
          <t>A. Chỉ xem; B. Có quyền báo sai lệch; C. Được chỉnh sau duyệt.</t>
        </is>
      </c>
      <c r="F67" s="79" t="inlineStr">
        <is>
          <t>A</t>
        </is>
      </c>
      <c r="G67" s="79" t="n"/>
      <c r="H67" s="79" t="inlineStr">
        <is>
          <t>Đã chốt</t>
        </is>
      </c>
      <c r="I67" s="68" t="inlineStr">
        <is>
          <t>Trưởng BP An ninh + CCKB</t>
        </is>
      </c>
      <c r="J67" s="68" t="n"/>
      <c r="K67" s="68" t="n"/>
      <c r="L67" s="68" t="n"/>
      <c r="M67" s="68" t="inlineStr">
        <is>
          <t>Trao đổi nghiệp vụ Sơn Cảng, 10-11/10/2026</t>
        </is>
      </c>
    </row>
    <row r="68" ht="54" customHeight="1" s="81">
      <c r="A68" s="71" t="inlineStr">
        <is>
          <t>D01</t>
        </is>
      </c>
      <c r="B68" s="71" t="inlineStr">
        <is>
          <t>06. Điều phối / container</t>
        </is>
      </c>
      <c r="C68" s="71" t="inlineStr">
        <is>
          <t>P0</t>
        </is>
      </c>
      <c r="D68" s="71" t="inlineStr">
        <is>
          <t>Điều phối nhập HÀNG/RỖNG lúc nào và có được để trống khi container vừa vào không?</t>
        </is>
      </c>
      <c r="E68" s="71" t="inlineStr">
        <is>
          <t>A. Bắt buộc trước khi tiếp nhận; B. Được trống, hoàn thiện trước ra; C. Linh hoạt theo ca.</t>
        </is>
      </c>
      <c r="F68" s="80" t="inlineStr">
        <is>
          <t>B</t>
        </is>
      </c>
      <c r="G68" s="80" t="inlineStr">
        <is>
          <t>được trống</t>
        </is>
      </c>
      <c r="H68" s="80" t="inlineStr">
        <is>
          <t>Đã chốt</t>
        </is>
      </c>
      <c r="I68" s="71" t="inlineStr">
        <is>
          <t>Trưởng BP Điều phối</t>
        </is>
      </c>
      <c r="J68" s="71" t="n"/>
      <c r="K68" s="71" t="n"/>
      <c r="L68" s="71" t="n"/>
      <c r="M68" s="71" t="inlineStr">
        <is>
          <t>Trao đổi nghiệp vụ Sơn Cảng, 10-11/10/2026</t>
        </is>
      </c>
    </row>
    <row r="69" ht="54" customHeight="1" s="81">
      <c r="A69" s="68" t="inlineStr">
        <is>
          <t>D02</t>
        </is>
      </c>
      <c r="B69" s="68" t="inlineStr">
        <is>
          <t>06. Điều phối / container</t>
        </is>
      </c>
      <c r="C69" s="68" t="inlineStr">
        <is>
          <t>P1</t>
        </is>
      </c>
      <c r="D69" s="68" t="inlineStr">
        <is>
          <t>Nếu Điều phối thay đổi HÀNG thành RỖNG (hoặc ngược lại), có cần ghi lý do/người xác nhận không?</t>
        </is>
      </c>
      <c r="E69" s="68" t="inlineStr">
        <is>
          <t>A. Có; B. Chỉ khi đã chốt; C. Khác.</t>
        </is>
      </c>
      <c r="F69" s="79" t="inlineStr">
        <is>
          <t>A</t>
        </is>
      </c>
      <c r="G69" s="79" t="inlineStr">
        <is>
          <t>ghi lí do k bắt bược</t>
        </is>
      </c>
      <c r="H69" s="79" t="inlineStr">
        <is>
          <t>Đã chốt</t>
        </is>
      </c>
      <c r="I69" s="68" t="inlineStr">
        <is>
          <t>Trưởng BP Điều phối</t>
        </is>
      </c>
      <c r="J69" s="68" t="n"/>
      <c r="K69" s="68" t="n"/>
      <c r="L69" s="68" t="n"/>
      <c r="M69" s="68" t="inlineStr">
        <is>
          <t>Trao đổi nghiệp vụ Sơn Cảng, 10-11/10/2026</t>
        </is>
      </c>
    </row>
    <row r="70" ht="54" customHeight="1" s="81">
      <c r="A70" s="71" t="inlineStr">
        <is>
          <t>D03</t>
        </is>
      </c>
      <c r="B70" s="71" t="inlineStr">
        <is>
          <t>06. Điều phối / container</t>
        </is>
      </c>
      <c r="C70" s="71" t="inlineStr">
        <is>
          <t>P0</t>
        </is>
      </c>
      <c r="D70" s="71" t="inlineStr">
        <is>
          <t>Xe vào mang container A, ra nhận container B: ai ghép ID_CONTAINER_RA với lượt xe ở bước cuối?</t>
        </is>
      </c>
      <c r="E70" s="71" t="inlineStr">
        <is>
          <t>A. An ninh chọn; B. Điều phối chỉ định, An ninh xác nhận; C. CCKB chọn.</t>
        </is>
      </c>
      <c r="F70" s="80" t="inlineStr">
        <is>
          <t>A</t>
        </is>
      </c>
      <c r="G70" s="80" t="n"/>
      <c r="H70" s="80" t="inlineStr">
        <is>
          <t>Đã chốt</t>
        </is>
      </c>
      <c r="I70" s="71" t="inlineStr">
        <is>
          <t>Trưởng BP An ninh + Điều phối</t>
        </is>
      </c>
      <c r="J70" s="71" t="n"/>
      <c r="K70" s="71" t="n"/>
      <c r="L70" s="71" t="n"/>
      <c r="M70" s="71" t="inlineStr">
        <is>
          <t>Trao đổi nghiệp vụ Sơn Cảng, 10-11/10/2026</t>
        </is>
      </c>
    </row>
    <row r="71" ht="54" customHeight="1" s="81">
      <c r="A71" s="68" t="inlineStr">
        <is>
          <t>D04</t>
        </is>
      </c>
      <c r="B71" s="68" t="inlineStr">
        <is>
          <t>06. Điều phối / container</t>
        </is>
      </c>
      <c r="C71" s="68" t="inlineStr">
        <is>
          <t>P1</t>
        </is>
      </c>
      <c r="D71" s="68" t="inlineStr">
        <is>
          <t>Có quản lý vị trí container (khu/bãi/dãy/ô) khi hạ, khi xếp lên xe hay chỉ kiểm soát có/không trong bãi?</t>
        </is>
      </c>
      <c r="E71" s="68" t="inlineStr">
        <is>
          <t>A. Chỉ trong bãi; B. Khu vực; C. Định vị ô/kệ.</t>
        </is>
      </c>
      <c r="F71" s="79" t="inlineStr">
        <is>
          <t>Khác</t>
        </is>
      </c>
      <c r="G71" s="79" t="inlineStr">
        <is>
          <t>Cả 3 luôn nhưng giai đoạn đâu chưa, phát triển phase sau</t>
        </is>
      </c>
      <c r="H71" s="79" t="inlineStr">
        <is>
          <t>Đã chốt</t>
        </is>
      </c>
      <c r="I71" s="68" t="inlineStr">
        <is>
          <t>Trưởng BP Điều phối</t>
        </is>
      </c>
      <c r="J71" s="68" t="n"/>
      <c r="K71" s="68" t="n"/>
      <c r="L71" s="68" t="n"/>
      <c r="M71" s="68" t="inlineStr">
        <is>
          <t>Trao đổi nghiệp vụ Sơn Cảng, 10-11/10/2026</t>
        </is>
      </c>
    </row>
    <row r="72" ht="54" customHeight="1" s="81">
      <c r="A72" s="71" t="inlineStr">
        <is>
          <t>D05</t>
        </is>
      </c>
      <c r="B72" s="71" t="inlineStr">
        <is>
          <t>06. Điều phối / container</t>
        </is>
      </c>
      <c r="C72" s="71" t="inlineStr">
        <is>
          <t>P1</t>
        </is>
      </c>
      <c r="D72" s="71" t="inlineStr">
        <is>
          <t>Một số container có thể vào/ra bãi nhiều lần: hệ thống có cần hiển thị lịch sử theo số cont và phân biệt bằng lượt ID không?</t>
        </is>
      </c>
      <c r="E72" s="71" t="inlineStr">
        <is>
          <t>A. Có, lịch sử nhiều lượt; B. Quy tắc khác.</t>
        </is>
      </c>
      <c r="F72" s="80" t="inlineStr">
        <is>
          <t>A</t>
        </is>
      </c>
      <c r="G72" s="80" t="n"/>
      <c r="H72" s="80" t="inlineStr">
        <is>
          <t>Đã chốt</t>
        </is>
      </c>
      <c r="I72" s="71" t="inlineStr">
        <is>
          <t>Trưởng BP Điều phối + Quản trị</t>
        </is>
      </c>
      <c r="J72" s="71" t="n"/>
      <c r="K72" s="71" t="n"/>
      <c r="L72" s="71" t="n"/>
      <c r="M72" s="71" t="inlineStr">
        <is>
          <t>Trao đổi nghiệp vụ Sơn Cảng, 10-11/10/2026</t>
        </is>
      </c>
    </row>
    <row r="73" ht="54" customHeight="1" s="81">
      <c r="A73" s="68" t="inlineStr">
        <is>
          <t>D06</t>
        </is>
      </c>
      <c r="B73" s="68" t="inlineStr">
        <is>
          <t>06. Điều phối / container</t>
        </is>
      </c>
      <c r="C73" s="68" t="inlineStr">
        <is>
          <t>P1</t>
        </is>
      </c>
      <c r="D73" s="68" t="inlineStr">
        <is>
          <t>Khi số container gõ nhầm hoặc khác so với trên vé, người nào được xác nhận sửa thông tin?</t>
        </is>
      </c>
      <c r="E73" s="68" t="inlineStr">
        <is>
          <t>A. An ninh sửa trước ra; B. Điều phối duyệt; C. TBP An ninh duyệt.</t>
        </is>
      </c>
      <c r="F73" s="79" t="inlineStr">
        <is>
          <t>A</t>
        </is>
      </c>
      <c r="G73" s="79" t="inlineStr">
        <is>
          <t>TBP thì sửa trực tiếp</t>
        </is>
      </c>
      <c r="H73" s="79" t="inlineStr">
        <is>
          <t>Đã chốt</t>
        </is>
      </c>
      <c r="I73" s="68" t="inlineStr">
        <is>
          <t>Trưởng BP Điều phối + An ninh</t>
        </is>
      </c>
      <c r="J73" s="68" t="n"/>
      <c r="K73" s="68" t="n"/>
      <c r="L73" s="68" t="n"/>
      <c r="M73" s="68" t="inlineStr">
        <is>
          <t>Trao đổi nghiệp vụ Sơn Cảng, 10-11/10/2026</t>
        </is>
      </c>
    </row>
    <row r="74" ht="54" customHeight="1" s="81">
      <c r="A74" s="71" t="inlineStr">
        <is>
          <t>R01</t>
        </is>
      </c>
      <c r="B74" s="71" t="inlineStr">
        <is>
          <t>07. Báo cáo / đối soát</t>
        </is>
      </c>
      <c r="C74" s="71" t="inlineStr">
        <is>
          <t>P1</t>
        </is>
      </c>
      <c r="D74" s="71" t="inlineStr">
        <is>
          <t>Báo cáo doanh thu yêu cầu chi tiết theo ca, ngày, tháng, loại phí, nhân viên, bộ phận hay tổng hợp nào?</t>
        </is>
      </c>
      <c r="E74" s="71" t="inlineStr">
        <is>
          <t>A. Tất cả; B. Theo nhóm được chọn; C. Báo cáo mẫu riêng.</t>
        </is>
      </c>
      <c r="F74" s="80" t="inlineStr">
        <is>
          <t>A</t>
        </is>
      </c>
      <c r="G74" s="80" t="n"/>
      <c r="H74" s="80" t="inlineStr">
        <is>
          <t>Đã chốt</t>
        </is>
      </c>
      <c r="I74" s="71" t="inlineStr">
        <is>
          <t>Các TBP + Kế toán</t>
        </is>
      </c>
      <c r="J74" s="71" t="n"/>
      <c r="K74" s="71" t="n"/>
      <c r="L74" s="71" t="n"/>
      <c r="M74" s="71" t="inlineStr">
        <is>
          <t>Trao đổi nghiệp vụ Sơn Cảng, 10-11/10/2026</t>
        </is>
      </c>
    </row>
    <row r="75" ht="54" customHeight="1" s="81">
      <c r="A75" s="68" t="inlineStr">
        <is>
          <t>R02</t>
        </is>
      </c>
      <c r="B75" s="68" t="inlineStr">
        <is>
          <t>07. Báo cáo / đối soát</t>
        </is>
      </c>
      <c r="C75" s="68" t="inlineStr">
        <is>
          <t>P1</t>
        </is>
      </c>
      <c r="D75" s="68" t="inlineStr">
        <is>
          <t>Cần giao ca trên PWA với số dư tiền mặt, biên bản đối soát, người bàn giao/người nhận không?</t>
        </is>
      </c>
      <c r="E75" s="68" t="inlineStr">
        <is>
          <t>A. Có; B. Chỉ báo cáo cuối ca; C. Giao ca ngoài hệ thống.</t>
        </is>
      </c>
      <c r="F75" s="79" t="inlineStr">
        <is>
          <t>C</t>
        </is>
      </c>
      <c r="G75" s="79" t="inlineStr">
        <is>
          <t>Trc mắt ngoài hệ thống</t>
        </is>
      </c>
      <c r="H75" s="79" t="inlineStr">
        <is>
          <t>Đã chốt</t>
        </is>
      </c>
      <c r="I75" s="68" t="inlineStr">
        <is>
          <t>Trưởng BP An ninh + CCKB</t>
        </is>
      </c>
      <c r="J75" s="68" t="n"/>
      <c r="K75" s="68" t="n"/>
      <c r="L75" s="68" t="n"/>
      <c r="M75" s="68" t="inlineStr">
        <is>
          <t>Trao đổi nghiệp vụ Sơn Cảng, 10-11/10/2026</t>
        </is>
      </c>
    </row>
    <row r="76" ht="54" customHeight="1" s="81">
      <c r="A76" s="71" t="inlineStr">
        <is>
          <t>R03</t>
        </is>
      </c>
      <c r="B76" s="71" t="inlineStr">
        <is>
          <t>07. Báo cáo / đối soát</t>
        </is>
      </c>
      <c r="C76" s="71" t="inlineStr">
        <is>
          <t>P1</t>
        </is>
      </c>
      <c r="D76" s="71" t="inlineStr">
        <is>
          <t>Cần bảng theo dõi xe quá hạn, container còn lưu nhiều ngày, điện chưa rút, chưa thu tiền và thông báo tự động không?</t>
        </is>
      </c>
      <c r="E76" s="71" t="inlineStr">
        <is>
          <t>A. Có tất cả; B. Chỉ danh sách; C. Chọn cảnh báo cụ thể.</t>
        </is>
      </c>
      <c r="F76" s="80" t="inlineStr">
        <is>
          <t>A</t>
        </is>
      </c>
      <c r="G76" s="80" t="n"/>
      <c r="H76" s="80" t="inlineStr">
        <is>
          <t>Đã chốt</t>
        </is>
      </c>
      <c r="I76" s="71" t="inlineStr">
        <is>
          <t>Các TBP</t>
        </is>
      </c>
      <c r="J76" s="71" t="n"/>
      <c r="K76" s="71" t="n"/>
      <c r="L76" s="71" t="n"/>
      <c r="M76" s="71" t="inlineStr">
        <is>
          <t>Trao đổi nghiệp vụ Sơn Cảng, 10-11/10/2026</t>
        </is>
      </c>
    </row>
    <row r="77" ht="54" customHeight="1" s="81">
      <c r="A77" s="68" t="inlineStr">
        <is>
          <t>R04</t>
        </is>
      </c>
      <c r="B77" s="68" t="inlineStr">
        <is>
          <t>07. Báo cáo / đối soát</t>
        </is>
      </c>
      <c r="C77" s="68" t="inlineStr">
        <is>
          <t>P2</t>
        </is>
      </c>
      <c r="D77" s="68" t="inlineStr">
        <is>
          <t>Các báo cáo xuất Excel/PDF có cần theo mẫu nội bộ và phân quyền người tải xuống?</t>
        </is>
      </c>
      <c r="E77" s="68" t="inlineStr">
        <is>
          <t>A. Excel; B. Excel + PDF; C. Có mẫu ban hành.</t>
        </is>
      </c>
      <c r="F77" s="79" t="inlineStr">
        <is>
          <t>B</t>
        </is>
      </c>
      <c r="G77" s="79" t="n"/>
      <c r="H77" s="79" t="inlineStr">
        <is>
          <t>Đã chốt</t>
        </is>
      </c>
      <c r="I77" s="68" t="inlineStr">
        <is>
          <t>Các TBP</t>
        </is>
      </c>
      <c r="J77" s="68" t="n"/>
      <c r="K77" s="68" t="n"/>
      <c r="L77" s="68" t="n"/>
      <c r="M77" s="68" t="inlineStr">
        <is>
          <t>Trao đổi nghiệp vụ Sơn Cảng, 10-11/10/2026</t>
        </is>
      </c>
    </row>
    <row r="78" ht="54" customHeight="1" s="81">
      <c r="A78" s="71" t="inlineStr">
        <is>
          <t>R05</t>
        </is>
      </c>
      <c r="B78" s="71" t="inlineStr">
        <is>
          <t>07. Báo cáo / đối soát</t>
        </is>
      </c>
      <c r="C78" s="71" t="inlineStr">
        <is>
          <t>P1</t>
        </is>
      </c>
      <c r="D78" s="71" t="inlineStr">
        <is>
          <t>Người quản lý muốn dashboard thời gian thực chỉ số nào: xe trong bãi, cont trong bãi, cont đang cắm, doanh thu, công nợ?</t>
        </is>
      </c>
      <c r="E78" s="71" t="inlineStr">
        <is>
          <t>A. Tất cả; B. Chọn KPI cụ thể; C. Xem theo bộ phận.</t>
        </is>
      </c>
      <c r="F78" s="80" t="inlineStr">
        <is>
          <t>A</t>
        </is>
      </c>
      <c r="G78" s="80" t="n"/>
      <c r="H78" s="80" t="inlineStr">
        <is>
          <t>Đã chốt</t>
        </is>
      </c>
      <c r="I78" s="71" t="inlineStr">
        <is>
          <t>Ban quản lý Sơn Cảng</t>
        </is>
      </c>
      <c r="J78" s="71" t="n"/>
      <c r="K78" s="71" t="n"/>
      <c r="L78" s="71" t="n"/>
      <c r="M78" s="71" t="inlineStr">
        <is>
          <t>Trao đổi nghiệp vụ Sơn Cảng, 10-11/10/2026</t>
        </is>
      </c>
    </row>
    <row r="79" ht="54" customHeight="1" s="81">
      <c r="A79" s="68" t="inlineStr">
        <is>
          <t>R06</t>
        </is>
      </c>
      <c r="B79" s="68" t="inlineStr">
        <is>
          <t>07. Báo cáo / đối soát</t>
        </is>
      </c>
      <c r="C79" s="68" t="inlineStr">
        <is>
          <t>P1</t>
        </is>
      </c>
      <c r="D79" s="68" t="inlineStr">
        <is>
          <t>Có bắt buộc đối chiếu sao kê chuyển khoản với chứng từ và ghi lịch sử xác minh trên PWA không?</t>
        </is>
      </c>
      <c r="E79" s="68" t="inlineStr">
        <is>
          <t>A. Có; B. Đối soát ngoài hệ thống; C. Theo hạn mức.</t>
        </is>
      </c>
      <c r="F79" s="79" t="inlineStr">
        <is>
          <t>B</t>
        </is>
      </c>
      <c r="G79" s="79" t="n"/>
      <c r="H79" s="79" t="inlineStr">
        <is>
          <t>Đã chốt</t>
        </is>
      </c>
      <c r="I79" s="68" t="inlineStr">
        <is>
          <t>Trưởng BP CCKB + Kế toán</t>
        </is>
      </c>
      <c r="J79" s="68" t="n"/>
      <c r="K79" s="68" t="n"/>
      <c r="L79" s="68" t="n"/>
      <c r="M79" s="68" t="inlineStr">
        <is>
          <t>Trao đổi nghiệp vụ Sơn Cảng, 10-11/10/2026</t>
        </is>
      </c>
    </row>
    <row r="80" ht="54" customHeight="1" s="81">
      <c r="A80" s="71" t="inlineStr">
        <is>
          <t>R07</t>
        </is>
      </c>
      <c r="B80" s="71" t="inlineStr">
        <is>
          <t>07. Báo cáo / đối soát</t>
        </is>
      </c>
      <c r="C80" s="71" t="inlineStr">
        <is>
          <t>P2</t>
        </is>
      </c>
      <c r="D80" s="71" t="inlineStr">
        <is>
          <t>Các báo cáo cần tự động gửi qua email/Zalo theo lịch hay chỉ xem khi đăng nhập?</t>
        </is>
      </c>
      <c r="E80" s="71" t="inlineStr">
        <is>
          <t>A. Chỉ trong app; B. Gửi email; C. Tích hợp Zalo sau.</t>
        </is>
      </c>
      <c r="F80" s="80" t="inlineStr">
        <is>
          <t>B</t>
        </is>
      </c>
      <c r="G80" s="80" t="inlineStr">
        <is>
          <t>cả 3, zalo thì sau</t>
        </is>
      </c>
      <c r="H80" s="80" t="inlineStr">
        <is>
          <t>Đã chốt</t>
        </is>
      </c>
      <c r="I80" s="71" t="inlineStr">
        <is>
          <t>Ban quản lý Sơn Cảng</t>
        </is>
      </c>
      <c r="J80" s="71" t="n"/>
      <c r="K80" s="71" t="n"/>
      <c r="L80" s="71" t="n"/>
      <c r="M80" s="71" t="inlineStr">
        <is>
          <t>Trao đổi nghiệp vụ Sơn Cảng, 10-11/10/2026</t>
        </is>
      </c>
    </row>
    <row r="81" ht="54" customHeight="1" s="81">
      <c r="A81" s="68" t="inlineStr">
        <is>
          <t>K01</t>
        </is>
      </c>
      <c r="B81" s="68" t="inlineStr">
        <is>
          <t>08. Kỹ thuật / bảo mật</t>
        </is>
      </c>
      <c r="C81" s="68" t="inlineStr">
        <is>
          <t>P0</t>
        </is>
      </c>
      <c r="D81" s="68" t="inlineStr">
        <is>
          <t>Phần mềm chạy trên tên miền/subdomain nào và ai chịu trách nhiệm quản trị máy chủ?</t>
        </is>
      </c>
      <c r="E81" s="68" t="inlineStr">
        <is>
          <t>A. Subdomain talunglogistics.com; B. Domain riêng; C. Chưa quyết.</t>
        </is>
      </c>
      <c r="F81" s="79" t="n"/>
      <c r="G81" s="79" t="n"/>
      <c r="H81" s="79" t="inlineStr">
        <is>
          <t>Đã chốt</t>
        </is>
      </c>
      <c r="I81" s="68" t="inlineStr">
        <is>
          <t>Quản trị + CNTT</t>
        </is>
      </c>
      <c r="J81" s="68" t="n"/>
      <c r="K81" s="68" t="n"/>
      <c r="L81" s="68" t="n"/>
      <c r="M81" s="68" t="inlineStr">
        <is>
          <t>Trao đổi nghiệp vụ Sơn Cảng, 10-11/10/2026</t>
        </is>
      </c>
    </row>
    <row r="82" ht="54" customHeight="1" s="81">
      <c r="A82" s="71" t="inlineStr">
        <is>
          <t>K02</t>
        </is>
      </c>
      <c r="B82" s="71" t="inlineStr">
        <is>
          <t>08. Kỹ thuật / bảo mật</t>
        </is>
      </c>
      <c r="C82" s="71" t="inlineStr">
        <is>
          <t>P0</t>
        </is>
      </c>
      <c r="D82" s="71" t="inlineStr">
        <is>
          <t>Cơ sở dữ liệu, backend, hosting chọn theo phương án nào? Có yêu cầu dữ liệu lưu tại Việt Nam không?</t>
        </is>
      </c>
      <c r="E82" s="71" t="inlineStr">
        <is>
          <t>A. Đề xuất Next.js + PostgreSQL; B. Hạ tầng đang có; C. Phương án khác (cần thẩm định).</t>
        </is>
      </c>
      <c r="F82" s="80" t="inlineStr">
        <is>
          <t>A</t>
        </is>
      </c>
      <c r="G82" s="80" t="inlineStr">
        <is>
          <t>công cụ free supabase, vercel</t>
        </is>
      </c>
      <c r="H82" s="80" t="inlineStr">
        <is>
          <t>Đã chốt</t>
        </is>
      </c>
      <c r="I82" s="71" t="inlineStr">
        <is>
          <t>CNTT + Ban quản lý</t>
        </is>
      </c>
      <c r="J82" s="71" t="n"/>
      <c r="K82" s="71" t="n"/>
      <c r="L82" s="71" t="n"/>
      <c r="M82" s="71" t="inlineStr">
        <is>
          <t>Trao đổi nghiệp vụ Sơn Cảng, 10-11/10/2026</t>
        </is>
      </c>
    </row>
    <row r="83" ht="54" customHeight="1" s="81">
      <c r="A83" s="68" t="inlineStr">
        <is>
          <t>K03</t>
        </is>
      </c>
      <c r="B83" s="68" t="inlineStr">
        <is>
          <t>08. Kỹ thuật / bảo mật</t>
        </is>
      </c>
      <c r="C83" s="68" t="inlineStr">
        <is>
          <t>P0</t>
        </is>
      </c>
      <c r="D83" s="68" t="inlineStr">
        <is>
          <t>Khi mất Internet tại cổng: cho phép nhập lượt xe offline nhưng chặn xác nhận xuất, hay cho phép xuất theo quy trình ngoại lệ?</t>
        </is>
      </c>
      <c r="E83" s="68" t="inlineStr">
        <is>
          <t>A. Offline chỉ nhập/đợi đồng bộ; B. Cho xuất ngoại lệ có chứng từ/TBP; C. Chỉ online.</t>
        </is>
      </c>
      <c r="F83" s="79" t="inlineStr">
        <is>
          <t>A</t>
        </is>
      </c>
      <c r="G83" s="79" t="n"/>
      <c r="H83" s="79" t="inlineStr">
        <is>
          <t>Đã chốt</t>
        </is>
      </c>
      <c r="I83" s="68" t="inlineStr">
        <is>
          <t>CNTT + Trưởng BP An ninh + CCKB</t>
        </is>
      </c>
      <c r="J83" s="68" t="n"/>
      <c r="K83" s="68" t="n"/>
      <c r="L83" s="68" t="n"/>
      <c r="M83" s="68" t="inlineStr">
        <is>
          <t>Trao đổi nghiệp vụ Sơn Cảng, 10-11/10/2026</t>
        </is>
      </c>
    </row>
    <row r="84" ht="54" customHeight="1" s="81">
      <c r="A84" s="71" t="inlineStr">
        <is>
          <t>K04</t>
        </is>
      </c>
      <c r="B84" s="71" t="inlineStr">
        <is>
          <t>08. Kỹ thuật / bảo mật</t>
        </is>
      </c>
      <c r="C84" s="71" t="inlineStr">
        <is>
          <t>P0</t>
        </is>
      </c>
      <c r="D84" s="71" t="inlineStr">
        <is>
          <t>PWA dùng điện thoại cá nhân hay thiết bị công ty? Có yêu cầu camera chụp chứng từ/quét QR số container không?</t>
        </is>
      </c>
      <c r="E84" s="71" t="inlineStr">
        <is>
          <t>A. Điện thoại + PC; B. Thiết bị công ty; C. Cần đầu đọc/QR.</t>
        </is>
      </c>
      <c r="F84" s="80" t="inlineStr">
        <is>
          <t>A</t>
        </is>
      </c>
      <c r="G84" s="80" t="inlineStr">
        <is>
          <t>A và B</t>
        </is>
      </c>
      <c r="H84" s="80" t="inlineStr">
        <is>
          <t>Đã chốt</t>
        </is>
      </c>
      <c r="I84" s="71" t="inlineStr">
        <is>
          <t>CNTT + Các TBP</t>
        </is>
      </c>
      <c r="J84" s="71" t="n"/>
      <c r="K84" s="71" t="n"/>
      <c r="L84" s="71" t="n"/>
      <c r="M84" s="71" t="inlineStr">
        <is>
          <t>Trao đổi nghiệp vụ Sơn Cảng, 10-11/10/2026</t>
        </is>
      </c>
    </row>
    <row r="85" ht="54" customHeight="1" s="81">
      <c r="A85" s="68" t="inlineStr">
        <is>
          <t>K05</t>
        </is>
      </c>
      <c r="B85" s="68" t="inlineStr">
        <is>
          <t>08. Kỹ thuật / bảo mật</t>
        </is>
      </c>
      <c r="C85" s="68" t="inlineStr">
        <is>
          <t>P1</t>
        </is>
      </c>
      <c r="D85" s="68" t="inlineStr">
        <is>
          <t>Có cần bắt buộc đăng nhập 2 yếu tố với quản trị/TBP, phân quyền theo phiên đăng nhập/thiết bị không?</t>
        </is>
      </c>
      <c r="E85" s="68" t="inlineStr">
        <is>
          <t>A. 2FA cho TBP/Quản trị; B. Toàn bộ; C. SSO Google.</t>
        </is>
      </c>
      <c r="F85" s="79" t="inlineStr">
        <is>
          <t>Khác</t>
        </is>
      </c>
      <c r="G85" s="79" t="inlineStr">
        <is>
          <t>Chưa áp dụng nhưng có thì tốt</t>
        </is>
      </c>
      <c r="H85" s="79" t="inlineStr">
        <is>
          <t>Đã chốt</t>
        </is>
      </c>
      <c r="I85" s="68" t="inlineStr">
        <is>
          <t>CNTT</t>
        </is>
      </c>
      <c r="J85" s="68" t="n"/>
      <c r="K85" s="68" t="n"/>
      <c r="L85" s="68" t="n"/>
      <c r="M85" s="68" t="inlineStr">
        <is>
          <t>Trao đổi nghiệp vụ Sơn Cảng, 10-11/10/2026</t>
        </is>
      </c>
    </row>
    <row r="86" ht="54" customHeight="1" s="81">
      <c r="A86" s="71" t="inlineStr">
        <is>
          <t>K06</t>
        </is>
      </c>
      <c r="B86" s="71" t="inlineStr">
        <is>
          <t>08. Kỹ thuật / bảo mật</t>
        </is>
      </c>
      <c r="C86" s="71" t="inlineStr">
        <is>
          <t>P1</t>
        </is>
      </c>
      <c r="D86" s="71" t="inlineStr">
        <is>
          <t>Ảnh thu tiền và chứng từ cần lưu bao lâu, dung lượng giới hạn, ai có quyền xem/xóa?</t>
        </is>
      </c>
      <c r="E86" s="71" t="inlineStr">
        <is>
          <t>A. Theo thời hạn công ty; B. Tối thiểu 3 năm; C. Theo quy định cụ thể.</t>
        </is>
      </c>
      <c r="F86" s="80" t="inlineStr">
        <is>
          <t>A</t>
        </is>
      </c>
      <c r="G86" s="80" t="inlineStr">
        <is>
          <t>Chưa áp dụng, lưu trên đâu đó free, cloudflrae R2 10G</t>
        </is>
      </c>
      <c r="H86" s="80" t="inlineStr">
        <is>
          <t>Đã chốt</t>
        </is>
      </c>
      <c r="I86" s="71" t="inlineStr">
        <is>
          <t>CNTT + Kế toán</t>
        </is>
      </c>
      <c r="J86" s="71" t="n"/>
      <c r="K86" s="71" t="n"/>
      <c r="L86" s="71" t="n"/>
      <c r="M86" s="71" t="inlineStr">
        <is>
          <t>Trao đổi nghiệp vụ Sơn Cảng, 10-11/10/2026</t>
        </is>
      </c>
    </row>
    <row r="87" ht="54" customHeight="1" s="81">
      <c r="A87" s="68" t="inlineStr">
        <is>
          <t>K07</t>
        </is>
      </c>
      <c r="B87" s="68" t="inlineStr">
        <is>
          <t>08. Kỹ thuật / bảo mật</t>
        </is>
      </c>
      <c r="C87" s="68" t="inlineStr">
        <is>
          <t>P1</t>
        </is>
      </c>
      <c r="D87" s="68" t="inlineStr">
        <is>
          <t>Tần suất sao lưu, khôi phục sau sự cố và lưu bản sao dữ liệu ở đâu?</t>
        </is>
      </c>
      <c r="E87" s="68" t="inlineStr">
        <is>
          <t>A. Hằng ngày; B. Nhiều lần/ngày; C. Yêu cầu cụ thể.</t>
        </is>
      </c>
      <c r="F87" s="79" t="inlineStr">
        <is>
          <t>A</t>
        </is>
      </c>
      <c r="G87" s="79" t="n"/>
      <c r="H87" s="79" t="inlineStr">
        <is>
          <t>Đã chốt</t>
        </is>
      </c>
      <c r="I87" s="68" t="inlineStr">
        <is>
          <t>CNTT</t>
        </is>
      </c>
      <c r="J87" s="68" t="n"/>
      <c r="K87" s="68" t="n"/>
      <c r="L87" s="68" t="n"/>
      <c r="M87" s="68" t="inlineStr">
        <is>
          <t>Trao đổi nghiệp vụ Sơn Cảng, 10-11/10/2026</t>
        </is>
      </c>
    </row>
    <row r="88" ht="54" customHeight="1" s="81">
      <c r="A88" s="71" t="inlineStr">
        <is>
          <t>K08</t>
        </is>
      </c>
      <c r="B88" s="71" t="inlineStr">
        <is>
          <t>08. Kỹ thuật / bảo mật</t>
        </is>
      </c>
      <c r="C88" s="71" t="inlineStr">
        <is>
          <t>P1</t>
        </is>
      </c>
      <c r="D88" s="71" t="inlineStr">
        <is>
          <t>Cần môi trường thử nghiệm và chính thức riêng biệt, đồng thời có nhật ký thao tác chi tiết không?</t>
        </is>
      </c>
      <c r="E88" s="71" t="inlineStr">
        <is>
          <t>A. Có cả hai + audit; B. Một môi trường; C. Lộ trình khác.</t>
        </is>
      </c>
      <c r="F88" s="80" t="inlineStr">
        <is>
          <t>A</t>
        </is>
      </c>
      <c r="G88" s="80" t="n"/>
      <c r="H88" s="80" t="inlineStr">
        <is>
          <t>Đã chốt</t>
        </is>
      </c>
      <c r="I88" s="71" t="inlineStr">
        <is>
          <t>CNTT</t>
        </is>
      </c>
      <c r="J88" s="71" t="n"/>
      <c r="K88" s="71" t="n"/>
      <c r="L88" s="71" t="n"/>
      <c r="M88" s="71" t="inlineStr">
        <is>
          <t>Trao đổi nghiệp vụ Sơn Cảng, 10-11/10/2026</t>
        </is>
      </c>
    </row>
    <row r="89" ht="54" customHeight="1" s="81">
      <c r="A89" s="68" t="inlineStr">
        <is>
          <t>K09</t>
        </is>
      </c>
      <c r="B89" s="68" t="inlineStr">
        <is>
          <t>08. Kỹ thuật / bảo mật</t>
        </is>
      </c>
      <c r="C89" s="68" t="inlineStr">
        <is>
          <t>P2</t>
        </is>
      </c>
      <c r="D89" s="68" t="inlineStr">
        <is>
          <t>Giai đoạn đầu có cần tích hợp Zalo thông báo lệnh cắm/rút tự động không?</t>
        </is>
      </c>
      <c r="E89" s="68" t="inlineStr">
        <is>
          <t>A. Không, tiếp tục Zalo thủ công; B. Nhắc qua kênh khác; C. Tích hợp khi khả thi.</t>
        </is>
      </c>
      <c r="F89" s="79" t="inlineStr">
        <is>
          <t>A</t>
        </is>
      </c>
      <c r="G89" s="79" t="inlineStr">
        <is>
          <t>A B C</t>
        </is>
      </c>
      <c r="H89" s="79" t="inlineStr">
        <is>
          <t>Đã chốt</t>
        </is>
      </c>
      <c r="I89" s="68" t="inlineStr">
        <is>
          <t>CNTT + CCKB</t>
        </is>
      </c>
      <c r="J89" s="68" t="n"/>
      <c r="K89" s="68" t="n"/>
      <c r="L89" s="68" t="n"/>
      <c r="M89" s="68" t="inlineStr">
        <is>
          <t>Trao đổi nghiệp vụ Sơn Cảng, 10-11/10/2026</t>
        </is>
      </c>
    </row>
    <row r="90" ht="54" customHeight="1" s="81">
      <c r="A90" s="71" t="inlineStr">
        <is>
          <t>M01</t>
        </is>
      </c>
      <c r="B90" s="71" t="inlineStr">
        <is>
          <t>09. Chuyển dữ liệu</t>
        </is>
      </c>
      <c r="C90" s="71" t="inlineStr">
        <is>
          <t>P0</t>
        </is>
      </c>
      <c r="D90" s="71" t="inlineStr">
        <is>
          <t>Phạm vi chuyển dữ liệu AppSheet: toàn bộ lịch sử VEHICLE/CONTAINER hay chỉ bản ghi đang hoạt động + lưu kho lịch sử?</t>
        </is>
      </c>
      <c r="E90" s="71" t="inlineStr">
        <is>
          <t>A. Toàn bộ; B. Đang hoạt động + kho lưu lịch sử; C. Từ một mốc ngày.</t>
        </is>
      </c>
      <c r="F90" s="80" t="inlineStr">
        <is>
          <t>A</t>
        </is>
      </c>
      <c r="G90" s="80" t="n"/>
      <c r="H90" s="80" t="inlineStr">
        <is>
          <t>Đã chốt</t>
        </is>
      </c>
      <c r="I90" s="71" t="inlineStr">
        <is>
          <t>CNTT + Các TBP</t>
        </is>
      </c>
      <c r="J90" s="71" t="n"/>
      <c r="K90" s="71" t="n"/>
      <c r="L90" s="71" t="n"/>
      <c r="M90" s="71" t="inlineStr">
        <is>
          <t>Tập dữ liệu AppSheet do Sơn Cảng cung cấp</t>
        </is>
      </c>
    </row>
    <row r="91" ht="54" customHeight="1" s="81">
      <c r="A91" s="68" t="inlineStr">
        <is>
          <t>M02</t>
        </is>
      </c>
      <c r="B91" s="68" t="inlineStr">
        <is>
          <t>09. Chuyển dữ liệu</t>
        </is>
      </c>
      <c r="C91" s="68" t="inlineStr">
        <is>
          <t>P0</t>
        </is>
      </c>
      <c r="D91" s="68" t="inlineStr">
        <is>
          <t>Ngày/giờ chốt dữ liệu và đóng AppSheet để chuyển sang PWA là khi nào?</t>
        </is>
      </c>
      <c r="E91" s="68" t="inlineStr">
        <is>
          <t>A. Sau UAT; B. Chạy song song ngắn hạn; C. Cần kế hoạch chi tiết.</t>
        </is>
      </c>
      <c r="F91" s="79" t="inlineStr">
        <is>
          <t>A</t>
        </is>
      </c>
      <c r="G91" s="79" t="n"/>
      <c r="H91" s="79" t="inlineStr">
        <is>
          <t>Đã chốt</t>
        </is>
      </c>
      <c r="I91" s="68" t="inlineStr">
        <is>
          <t>CNTT + Ban quản lý</t>
        </is>
      </c>
      <c r="J91" s="68" t="n"/>
      <c r="K91" s="68" t="n"/>
      <c r="L91" s="68" t="n"/>
      <c r="M91" s="68" t="inlineStr">
        <is>
          <t>Trao đổi nghiệp vụ Sơn Cảng, 10-11/10/2026</t>
        </is>
      </c>
    </row>
    <row r="92" ht="54" customHeight="1" s="81">
      <c r="A92" s="71" t="inlineStr">
        <is>
          <t>M03</t>
        </is>
      </c>
      <c r="B92" s="71" t="inlineStr">
        <is>
          <t>09. Chuyển dữ liệu</t>
        </is>
      </c>
      <c r="C92" s="71" t="inlineStr">
        <is>
          <t>P0</t>
        </is>
      </c>
      <c r="D92" s="71" t="inlineStr">
        <is>
          <t>Các dòng dữ liệu cũ có ghi chú tiền thực thu khác tiền phải thu: ai là người kiểm tra, xác nhận kết quả trước chuyển?</t>
        </is>
      </c>
      <c r="E92" s="71" t="inlineStr">
        <is>
          <t>A. TBP CCKB; B. Kế toán + CCKB; C. Nhóm đối soát liên BP.</t>
        </is>
      </c>
      <c r="F92" s="80" t="inlineStr">
        <is>
          <t>Khác</t>
        </is>
      </c>
      <c r="G92" s="80" t="inlineStr">
        <is>
          <t>Tiền thì tạm thời bỏ qua vò giờ trên hệ thống nhiều xe quên chưa cho ra lắ</t>
        </is>
      </c>
      <c r="H92" s="80" t="inlineStr">
        <is>
          <t>Đã chốt</t>
        </is>
      </c>
      <c r="I92" s="71" t="inlineStr">
        <is>
          <t>Trưởng BP CCKB + Kế toán</t>
        </is>
      </c>
      <c r="J92" s="71" t="n"/>
      <c r="K92" s="71" t="n"/>
      <c r="L92" s="71" t="n"/>
      <c r="M92" s="71" t="inlineStr">
        <is>
          <t>CONTAINER V1: xem 08_DOI_SOAT</t>
        </is>
      </c>
    </row>
    <row r="93" ht="54" customHeight="1" s="81">
      <c r="A93" s="68" t="inlineStr">
        <is>
          <t>M04</t>
        </is>
      </c>
      <c r="B93" s="68" t="inlineStr">
        <is>
          <t>09. Chuyển dữ liệu</t>
        </is>
      </c>
      <c r="C93" s="68" t="inlineStr">
        <is>
          <t>P0</t>
        </is>
      </c>
      <c r="D93" s="68" t="inlineStr">
        <is>
          <t>Giờ ra xe/container thực tế khác dữ liệu nhập do bổ sung muộn: dùng mốc nào làm dữ liệu gốc khi chuyển?</t>
        </is>
      </c>
      <c r="E93" s="68" t="inlineStr">
        <is>
          <t>A. Giờ hệ thống; B. Giờ trên chứng từ đã xác minh; C. Tùy từng dòng có xác nhận.</t>
        </is>
      </c>
      <c r="F93" s="79" t="inlineStr">
        <is>
          <t>A</t>
        </is>
      </c>
      <c r="G93" s="79" t="inlineStr">
        <is>
          <t>quan trị viên cấp cao có thể sửa trực tiếp hết nhé, vì hiện tại tôi thấy lỗi nhieuf chính trên GG sheets đang đễ sau này sửa thì vào db sửa lại khó hơn</t>
        </is>
      </c>
      <c r="H93" s="79" t="inlineStr">
        <is>
          <t>Đã chốt</t>
        </is>
      </c>
      <c r="I93" s="68" t="inlineStr">
        <is>
          <t>An ninh + CCKB + CNTT</t>
        </is>
      </c>
      <c r="J93" s="68" t="n"/>
      <c r="K93" s="68" t="n"/>
      <c r="L93" s="68" t="n"/>
      <c r="M93" s="68" t="inlineStr">
        <is>
          <t>Dữ liệu VEHICLE/CONTAINER có ghi chú chỉnh ngày</t>
        </is>
      </c>
    </row>
    <row r="94" ht="54" customHeight="1" s="81">
      <c r="A94" s="71" t="inlineStr">
        <is>
          <t>M05</t>
        </is>
      </c>
      <c r="B94" s="71" t="inlineStr">
        <is>
          <t>09. Chuyển dữ liệu</t>
        </is>
      </c>
      <c r="C94" s="71" t="inlineStr">
        <is>
          <t>P1</t>
        </is>
      </c>
      <c r="D94" s="71" t="inlineStr">
        <is>
          <t>Mã ID cũ trong AppSheet cần giữ làm khóa tham chiếu hay chỉ lưu LEGACY_ID để tra cứu?</t>
        </is>
      </c>
      <c r="E94" s="71" t="inlineStr">
        <is>
          <t>A. Giữ ID cũ; B. Sinh ID mới và lưu LEGACY_ID; C. Khác.</t>
        </is>
      </c>
      <c r="F94" s="80" t="inlineStr">
        <is>
          <t>A</t>
        </is>
      </c>
      <c r="G94" s="80" t="n"/>
      <c r="H94" s="80" t="inlineStr">
        <is>
          <t>Đã chốt</t>
        </is>
      </c>
      <c r="I94" s="71" t="inlineStr">
        <is>
          <t>CNTT</t>
        </is>
      </c>
      <c r="J94" s="71" t="n"/>
      <c r="K94" s="71" t="n"/>
      <c r="L94" s="71" t="n"/>
      <c r="M94" s="71" t="inlineStr">
        <is>
          <t>Trao đổi nghiệp vụ Sơn Cảng, 10-11/10/2026</t>
        </is>
      </c>
    </row>
    <row r="95" ht="54" customHeight="1" s="81">
      <c r="A95" s="68" t="inlineStr">
        <is>
          <t>M06</t>
        </is>
      </c>
      <c r="B95" s="68" t="inlineStr">
        <is>
          <t>09. Chuyển dữ liệu</t>
        </is>
      </c>
      <c r="C95" s="68" t="inlineStr">
        <is>
          <t>P1</t>
        </is>
      </c>
      <c r="D95" s="68" t="inlineStr">
        <is>
          <t>Tài khoản Google cũ cần phân sang 7 vai trò PWA như thế nào và có vô hiệu hóa tài khoản nào không?</t>
        </is>
      </c>
      <c r="E95" s="68" t="inlineStr">
        <is>
          <t>A. Map theo bảng 07_TAI_KHOAN; B. Tạo tài khoản mới; C. Kết hợp.</t>
        </is>
      </c>
      <c r="F95" s="79" t="inlineStr">
        <is>
          <t>B</t>
        </is>
      </c>
      <c r="G95" s="79" t="n"/>
      <c r="H95" s="79" t="inlineStr">
        <is>
          <t>Đã chốt</t>
        </is>
      </c>
      <c r="I95" s="68" t="inlineStr">
        <is>
          <t>Quản trị + Các TBP</t>
        </is>
      </c>
      <c r="J95" s="68" t="n"/>
      <c r="K95" s="68" t="n"/>
      <c r="L95" s="68" t="n"/>
      <c r="M95" s="68" t="inlineStr">
        <is>
          <t>Trao đổi nghiệp vụ Sơn Cảng, 10-11/10/2026</t>
        </is>
      </c>
    </row>
    <row r="96" ht="54" customHeight="1" s="81">
      <c r="A96" s="71" t="inlineStr">
        <is>
          <t>M07</t>
        </is>
      </c>
      <c r="B96" s="71" t="inlineStr">
        <is>
          <t>09. Chuyển dữ liệu</t>
        </is>
      </c>
      <c r="C96" s="71" t="inlineStr">
        <is>
          <t>P1</t>
        </is>
      </c>
      <c r="D96" s="71" t="inlineStr">
        <is>
          <t>Các container cùng SO_CONTAINER xuất hiện ở nhiều lượt: muốn lưu lịch sử theo mỗi lượt hay hồ sơ container dùng lại nhiều lần?</t>
        </is>
      </c>
      <c r="E96" s="71" t="inlineStr">
        <is>
          <t>A. Hồ sơ container + lượt ra/vào; B. Mỗi lượt là một bản ghi; C. Thiết kế lai.</t>
        </is>
      </c>
      <c r="F96" s="80" t="inlineStr">
        <is>
          <t>A</t>
        </is>
      </c>
      <c r="G96" s="80" t="n"/>
      <c r="H96" s="80" t="inlineStr">
        <is>
          <t>Đã chốt</t>
        </is>
      </c>
      <c r="I96" s="71" t="inlineStr">
        <is>
          <t>CNTT + Điều phối</t>
        </is>
      </c>
      <c r="J96" s="71" t="n"/>
      <c r="K96" s="71" t="n"/>
      <c r="L96" s="71" t="n"/>
      <c r="M96" s="71" t="inlineStr">
        <is>
          <t>Trao đổi nghiệp vụ Sơn Cảng, 10-11/10/2026</t>
        </is>
      </c>
    </row>
    <row r="97" ht="54" customHeight="1" s="81">
      <c r="A97" s="68" t="inlineStr">
        <is>
          <t>M08</t>
        </is>
      </c>
      <c r="B97" s="68" t="inlineStr">
        <is>
          <t>09. Chuyển dữ liệu</t>
        </is>
      </c>
      <c r="C97" s="68" t="inlineStr">
        <is>
          <t>P1</t>
        </is>
      </c>
      <c r="D97" s="68" t="inlineStr">
        <is>
          <t>Dữ liệu cắm điện AppSheet trước đây có nhập vào PWA cùng lúc không, hay triển khai riêng từ ngày vận hành mới?</t>
        </is>
      </c>
      <c r="E97" s="68" t="inlineStr">
        <is>
          <t>A. Chuyển toàn bộ; B. Chỉ phiên đang cắm/chưa thu; C. Bắt đầu mới và lưu lịch sử cũ.</t>
        </is>
      </c>
      <c r="F97" s="79" t="inlineStr">
        <is>
          <t>Khác</t>
        </is>
      </c>
      <c r="G97" s="79" t="inlineStr">
        <is>
          <t>CHưa có những sẽ chuyneenr 1 số cái tồn</t>
        </is>
      </c>
      <c r="H97" s="79" t="inlineStr">
        <is>
          <t>Đã chốt</t>
        </is>
      </c>
      <c r="I97" s="68" t="inlineStr">
        <is>
          <t>CNTT + CCKB</t>
        </is>
      </c>
      <c r="J97" s="68" t="n"/>
      <c r="K97" s="68" t="n"/>
      <c r="L97" s="68" t="n"/>
      <c r="M97" s="68" t="inlineStr">
        <is>
          <t>Trao đổi nghiệp vụ Sơn Cảng, 10-11/10/2026</t>
        </is>
      </c>
    </row>
    <row r="98" ht="54" customHeight="1" s="81">
      <c r="A98" s="71" t="inlineStr">
        <is>
          <t>U01</t>
        </is>
      </c>
      <c r="B98" s="71" t="inlineStr">
        <is>
          <t>10. Nghiệm thu / triển khai</t>
        </is>
      </c>
      <c r="C98" s="71" t="inlineStr">
        <is>
          <t>P0</t>
        </is>
      </c>
      <c r="D98" s="71" t="inlineStr">
        <is>
          <t>Ai đại diện mỗi bộ phận ký nghiệm thu và xác nhận nghiệp vụ chuẩn trước chuyển hệ thống?</t>
        </is>
      </c>
      <c r="E98" s="71" t="inlineStr">
        <is>
          <t>A. 3 TBP + CNTT; B. Có Ban quản lý/BLĐ; C. Tổ UAT chỉ định.</t>
        </is>
      </c>
      <c r="F98" s="80" t="inlineStr">
        <is>
          <t>Không áp dụng</t>
        </is>
      </c>
      <c r="G98" s="80" t="n"/>
      <c r="H98" s="80" t="inlineStr">
        <is>
          <t>Đã chốt</t>
        </is>
      </c>
      <c r="I98" s="71" t="inlineStr">
        <is>
          <t>Ban quản lý Sơn Cảng</t>
        </is>
      </c>
      <c r="J98" s="71" t="n"/>
      <c r="K98" s="71" t="n"/>
      <c r="L98" s="71" t="n"/>
      <c r="M98" s="71" t="inlineStr">
        <is>
          <t>Trao đổi nghiệp vụ Sơn Cảng, 10-11/10/2026</t>
        </is>
      </c>
    </row>
    <row r="99" ht="54" customHeight="1" s="81">
      <c r="A99" s="68" t="inlineStr">
        <is>
          <t>U02</t>
        </is>
      </c>
      <c r="B99" s="68" t="inlineStr">
        <is>
          <t>10. Nghiệm thu / triển khai</t>
        </is>
      </c>
      <c r="C99" s="68" t="inlineStr">
        <is>
          <t>P0</t>
        </is>
      </c>
      <c r="D99" s="68" t="inlineStr">
        <is>
          <t>Điều kiện bắt buộc để ngừng AppSheet: chốt chuyển dữ liệu, đối soát tài chính, không lỗi chặn cổng ra, hoàn thành đào tạo?</t>
        </is>
      </c>
      <c r="E99" s="68" t="inlineStr">
        <is>
          <t>A. Tất cả; B. Tiêu chí chốt riêng; C. Theo giai đoạn.</t>
        </is>
      </c>
      <c r="F99" s="79" t="inlineStr">
        <is>
          <t>A</t>
        </is>
      </c>
      <c r="G99" s="79" t="n"/>
      <c r="H99" s="79" t="inlineStr">
        <is>
          <t>Đã chốt</t>
        </is>
      </c>
      <c r="I99" s="68" t="inlineStr">
        <is>
          <t>Ban quản lý + CNTT</t>
        </is>
      </c>
      <c r="J99" s="68" t="n"/>
      <c r="K99" s="68" t="n"/>
      <c r="L99" s="68" t="n"/>
      <c r="M99" s="68" t="inlineStr">
        <is>
          <t>Trao đổi nghiệp vụ Sơn Cảng, 10-11/10/2026</t>
        </is>
      </c>
    </row>
    <row r="100" ht="54" customHeight="1" s="81">
      <c r="A100" s="71" t="inlineStr">
        <is>
          <t>U03</t>
        </is>
      </c>
      <c r="B100" s="71" t="inlineStr">
        <is>
          <t>10. Nghiệm thu / triển khai</t>
        </is>
      </c>
      <c r="C100" s="71" t="inlineStr">
        <is>
          <t>P1</t>
        </is>
      </c>
      <c r="D100" s="71" t="inlineStr">
        <is>
          <t>Nếu PWA gặp lỗi trong tuần đầu, quy trình quay lại AppSheet hoặc ghi giấy tạm thời và đồng bộ lại dữ liệu thế nào?</t>
        </is>
      </c>
      <c r="E100" s="71" t="inlineStr">
        <is>
          <t>A. Quy trình dự phòng bằng giấy; B. Tạm quay về AppSheet có kế hoạch hòa giải; C. Khác.</t>
        </is>
      </c>
      <c r="F100" s="80" t="inlineStr">
        <is>
          <t>A</t>
        </is>
      </c>
      <c r="G100" s="80" t="n"/>
      <c r="H100" s="80" t="inlineStr">
        <is>
          <t>Đã chốt</t>
        </is>
      </c>
      <c r="I100" s="71" t="inlineStr">
        <is>
          <t>CNTT + An ninh + CCKB</t>
        </is>
      </c>
      <c r="J100" s="71" t="n"/>
      <c r="K100" s="71" t="n"/>
      <c r="L100" s="71" t="n"/>
      <c r="M100" s="71" t="inlineStr">
        <is>
          <t>Trao đổi nghiệp vụ Sơn Cảng, 10-11/10/2026</t>
        </is>
      </c>
    </row>
    <row r="101" ht="54" customHeight="1" s="81">
      <c r="A101" s="68" t="inlineStr">
        <is>
          <t>U04</t>
        </is>
      </c>
      <c r="B101" s="68" t="inlineStr">
        <is>
          <t>10. Nghiệm thu / triển khai</t>
        </is>
      </c>
      <c r="C101" s="68" t="inlineStr">
        <is>
          <t>P1</t>
        </is>
      </c>
      <c r="D101" s="68" t="inlineStr">
        <is>
          <t>Đào tạo nhân viên theo bộ phận, cần thao tác thử trước khi cấp quyền thật và phân công người hỗ trợ ca đêm không?</t>
        </is>
      </c>
      <c r="E101" s="68" t="inlineStr">
        <is>
          <t>A. Có đào tạo + UAT; B. Chỉ hướng dẫn nhanh; C. Kế hoạch riêng.</t>
        </is>
      </c>
      <c r="F101" s="79" t="inlineStr">
        <is>
          <t>A</t>
        </is>
      </c>
      <c r="G101" s="79" t="n"/>
      <c r="H101" s="79" t="inlineStr">
        <is>
          <t>Đã chốt</t>
        </is>
      </c>
      <c r="I101" s="68" t="inlineStr">
        <is>
          <t>CNTT + Các TBP</t>
        </is>
      </c>
      <c r="J101" s="68" t="n"/>
      <c r="K101" s="68" t="n"/>
      <c r="L101" s="68" t="n"/>
      <c r="M101" s="68" t="inlineStr">
        <is>
          <t>Trao đổi nghiệp vụ Sơn Cảng, 10-11/10/2026</t>
        </is>
      </c>
    </row>
    <row r="102" ht="54" customHeight="1" s="81">
      <c r="A102" s="71" t="inlineStr">
        <is>
          <t>U05</t>
        </is>
      </c>
      <c r="B102" s="71" t="inlineStr">
        <is>
          <t>10. Nghiệm thu / triển khai</t>
        </is>
      </c>
      <c r="C102" s="71" t="inlineStr">
        <is>
          <t>P1</t>
        </is>
      </c>
      <c r="D102" s="71" t="inlineStr">
        <is>
          <t>Trong giai đoạn pilot có kiểm soát giao dịch bất thường/mất mạng, thời gian phản hồi xử lý sự cố là bao lâu?</t>
        </is>
      </c>
      <c r="E102" s="71" t="inlineStr">
        <is>
          <t>A. Theo ca 24/7; B. Giờ hành chính + đầu mối ca; C. SLA khác.</t>
        </is>
      </c>
      <c r="F102" s="80" t="inlineStr">
        <is>
          <t>A</t>
        </is>
      </c>
      <c r="G102" s="80" t="n"/>
      <c r="H102" s="80" t="inlineStr">
        <is>
          <t>Đã chốt</t>
        </is>
      </c>
      <c r="I102" s="71" t="inlineStr">
        <is>
          <t>CNTT + Các TBP</t>
        </is>
      </c>
      <c r="J102" s="71" t="n"/>
      <c r="K102" s="71" t="n"/>
      <c r="L102" s="71" t="n"/>
      <c r="M102" s="71" t="inlineStr">
        <is>
          <t>Trao đổi nghiệp vụ Sơn Cảng, 10-11/10/2026</t>
        </is>
      </c>
    </row>
    <row r="103" ht="15.75" customHeight="1" s="81"/>
    <row r="104" ht="15.75" customHeight="1" s="81"/>
    <row r="105" ht="15.75" customHeight="1" s="81"/>
    <row r="106" ht="15.75" customHeight="1" s="81"/>
    <row r="107" ht="15.75" customHeight="1" s="81"/>
    <row r="108" ht="15.75" customHeight="1" s="81"/>
    <row r="109" ht="15.75" customHeight="1" s="81"/>
    <row r="110" ht="15.75" customHeight="1" s="81"/>
    <row r="111" ht="15.75" customHeight="1" s="81"/>
    <row r="112" ht="15.75" customHeight="1" s="81"/>
    <row r="113" ht="15.75" customHeight="1" s="81"/>
    <row r="114" ht="15.75" customHeight="1" s="81"/>
    <row r="115" ht="15.75" customHeight="1" s="81"/>
    <row r="116" ht="15.75" customHeight="1" s="81"/>
    <row r="117" ht="15.75" customHeight="1" s="81"/>
    <row r="118" ht="15.75" customHeight="1" s="81"/>
    <row r="119" ht="15.75" customHeight="1" s="81"/>
    <row r="120" ht="15.75" customHeight="1" s="81"/>
    <row r="121" ht="15.75" customHeight="1" s="81"/>
    <row r="122" ht="15.75" customHeight="1" s="81"/>
    <row r="123" ht="15.75" customHeight="1" s="81"/>
    <row r="124" ht="15.75" customHeight="1" s="81"/>
    <row r="125" ht="15.75" customHeight="1" s="81"/>
    <row r="126" ht="15.75" customHeight="1" s="81"/>
    <row r="127" ht="15.75" customHeight="1" s="81"/>
    <row r="128" ht="15.75" customHeight="1" s="81"/>
    <row r="129" ht="15.75" customHeight="1" s="81"/>
    <row r="130" ht="15.75" customHeight="1" s="81"/>
    <row r="131" ht="15.75" customHeight="1" s="81"/>
    <row r="132" ht="15.75" customHeight="1" s="81"/>
    <row r="133" ht="15.75" customHeight="1" s="81"/>
    <row r="134" ht="15.75" customHeight="1" s="81"/>
    <row r="135" ht="15.75" customHeight="1" s="81"/>
    <row r="136" ht="15.75" customHeight="1" s="81"/>
    <row r="137" ht="15.75" customHeight="1" s="81"/>
    <row r="138" ht="15.75" customHeight="1" s="81"/>
    <row r="139" ht="15.75" customHeight="1" s="81"/>
    <row r="140" ht="15.75" customHeight="1" s="81"/>
    <row r="141" ht="15.75" customHeight="1" s="81"/>
    <row r="142" ht="15.75" customHeight="1" s="81"/>
    <row r="143" ht="15.75" customHeight="1" s="81"/>
    <row r="144" ht="15.75" customHeight="1" s="81"/>
    <row r="145" ht="15.75" customHeight="1" s="81"/>
    <row r="146" ht="15.75" customHeight="1" s="81"/>
    <row r="147" ht="15.75" customHeight="1" s="81"/>
    <row r="148" ht="15.75" customHeight="1" s="81"/>
    <row r="149" ht="15.75" customHeight="1" s="81"/>
    <row r="150" ht="15.75" customHeight="1" s="81"/>
    <row r="151" ht="15.75" customHeight="1" s="81"/>
    <row r="152" ht="15.75" customHeight="1" s="81"/>
    <row r="153" ht="15.75" customHeight="1" s="81"/>
    <row r="154" ht="15.75" customHeight="1" s="81"/>
    <row r="155" ht="15.75" customHeight="1" s="81"/>
    <row r="156" ht="15.75" customHeight="1" s="81"/>
    <row r="157" ht="15.75" customHeight="1" s="81"/>
    <row r="158" ht="15.75" customHeight="1" s="81"/>
    <row r="159" ht="15.75" customHeight="1" s="81"/>
    <row r="160" ht="15.75" customHeight="1" s="81"/>
    <row r="161" ht="15.75" customHeight="1" s="81"/>
    <row r="162" ht="15.75" customHeight="1" s="81"/>
    <row r="163" ht="15.75" customHeight="1" s="81"/>
    <row r="164" ht="15.75" customHeight="1" s="81"/>
    <row r="165" ht="15.75" customHeight="1" s="81"/>
    <row r="166" ht="15.75" customHeight="1" s="81"/>
    <row r="167" ht="15.75" customHeight="1" s="81"/>
    <row r="168" ht="15.75" customHeight="1" s="81"/>
    <row r="169" ht="15.75" customHeight="1" s="81"/>
    <row r="170" ht="15.75" customHeight="1" s="81"/>
    <row r="171" ht="15.75" customHeight="1" s="81"/>
    <row r="172" ht="15.75" customHeight="1" s="81"/>
    <row r="173" ht="15.75" customHeight="1" s="81"/>
    <row r="174" ht="15.75" customHeight="1" s="81"/>
    <row r="175" ht="15.75" customHeight="1" s="81"/>
    <row r="176" ht="15.75" customHeight="1" s="81"/>
    <row r="177" ht="15.75" customHeight="1" s="81"/>
    <row r="178" ht="15.75" customHeight="1" s="81"/>
    <row r="179" ht="15.75" customHeight="1" s="81"/>
    <row r="180" ht="15.75" customHeight="1" s="81"/>
    <row r="181" ht="15.75" customHeight="1" s="81"/>
    <row r="182" ht="15.75" customHeight="1" s="81"/>
    <row r="183" ht="15.75" customHeight="1" s="81"/>
    <row r="184" ht="15.75" customHeight="1" s="81"/>
    <row r="185" ht="15.75" customHeight="1" s="81"/>
    <row r="186" ht="15.75" customHeight="1" s="81"/>
    <row r="187" ht="15.75" customHeight="1" s="81"/>
    <row r="188" ht="15.75" customHeight="1" s="81"/>
    <row r="189" ht="15.75" customHeight="1" s="81"/>
    <row r="190" ht="15.75" customHeight="1" s="81"/>
    <row r="191" ht="15.75" customHeight="1" s="81"/>
    <row r="192" ht="15.75" customHeight="1" s="81"/>
    <row r="193" ht="15.75" customHeight="1" s="81"/>
    <row r="194" ht="15.75" customHeight="1" s="81"/>
    <row r="195" ht="15.75" customHeight="1" s="81"/>
    <row r="196" ht="15.75" customHeight="1" s="81"/>
    <row r="197" ht="15.75" customHeight="1" s="81"/>
    <row r="198" ht="15.75" customHeight="1" s="81"/>
    <row r="199" ht="15.75" customHeight="1" s="81"/>
    <row r="200" ht="15.75" customHeight="1" s="81"/>
    <row r="201" ht="15.75" customHeight="1" s="81"/>
    <row r="202" ht="15.75" customHeight="1" s="81"/>
    <row r="203" ht="15.75" customHeight="1" s="81"/>
    <row r="204" ht="15.75" customHeight="1" s="81"/>
    <row r="205" ht="15.75" customHeight="1" s="81"/>
    <row r="206" ht="15.75" customHeight="1" s="81"/>
    <row r="207" ht="15.75" customHeight="1" s="81"/>
    <row r="208" ht="15.75" customHeight="1" s="81"/>
    <row r="209" ht="15.75" customHeight="1" s="81"/>
    <row r="210" ht="15.75" customHeight="1" s="81"/>
    <row r="211" ht="15.75" customHeight="1" s="81"/>
    <row r="212" ht="15.75" customHeight="1" s="81"/>
    <row r="213" ht="15.75" customHeight="1" s="81"/>
    <row r="214" ht="15.75" customHeight="1" s="81"/>
    <row r="215" ht="15.75" customHeight="1" s="81"/>
    <row r="216" ht="15.75" customHeight="1" s="81"/>
    <row r="217" ht="15.75" customHeight="1" s="81"/>
    <row r="218" ht="15.75" customHeight="1" s="81"/>
    <row r="219" ht="15.75" customHeight="1" s="81"/>
    <row r="220" ht="15.75" customHeight="1" s="81"/>
    <row r="221" ht="15.75" customHeight="1" s="81"/>
    <row r="222" ht="15.75" customHeight="1" s="81"/>
    <row r="223" ht="15.75" customHeight="1" s="81"/>
    <row r="224" ht="15.75" customHeight="1" s="81"/>
    <row r="225" ht="15.75" customHeight="1" s="81"/>
    <row r="226" ht="15.75" customHeight="1" s="81"/>
    <row r="227" ht="15.75" customHeight="1" s="81"/>
    <row r="228" ht="15.75" customHeight="1" s="81"/>
    <row r="229" ht="15.75" customHeight="1" s="81"/>
    <row r="230" ht="15.75" customHeight="1" s="81"/>
    <row r="231" ht="15.75" customHeight="1" s="81"/>
    <row r="232" ht="15.75" customHeight="1" s="81"/>
    <row r="233" ht="15.75" customHeight="1" s="81"/>
    <row r="234" ht="15.75" customHeight="1" s="81"/>
    <row r="235" ht="15.75" customHeight="1" s="81"/>
    <row r="236" ht="15.75" customHeight="1" s="81"/>
    <row r="237" ht="15.75" customHeight="1" s="81"/>
    <row r="238" ht="15.75" customHeight="1" s="81"/>
    <row r="239" ht="15.75" customHeight="1" s="81"/>
    <row r="240" ht="15.75" customHeight="1" s="81"/>
    <row r="241" ht="15.75" customHeight="1" s="81"/>
    <row r="242" ht="15.75" customHeight="1" s="81"/>
    <row r="243" ht="15.75" customHeight="1" s="81"/>
    <row r="244" ht="15.75" customHeight="1" s="81"/>
    <row r="245" ht="15.75" customHeight="1" s="81"/>
    <row r="246" ht="15.75" customHeight="1" s="81"/>
    <row r="247" ht="15.75" customHeight="1" s="81"/>
    <row r="248" ht="15.75" customHeight="1" s="81"/>
    <row r="249" ht="15.75" customHeight="1" s="81"/>
    <row r="250" ht="15.75" customHeight="1" s="81"/>
    <row r="251" ht="15.75" customHeight="1" s="81"/>
    <row r="252" ht="15.75" customHeight="1" s="81"/>
    <row r="253" ht="15.75" customHeight="1" s="81"/>
    <row r="254" ht="15.75" customHeight="1" s="81"/>
    <row r="255" ht="15.75" customHeight="1" s="81"/>
    <row r="256" ht="15.75" customHeight="1" s="81"/>
    <row r="257" ht="15.75" customHeight="1" s="81"/>
    <row r="258" ht="15.75" customHeight="1" s="81"/>
    <row r="259" ht="15.75" customHeight="1" s="81"/>
    <row r="260" ht="15.75" customHeight="1" s="81"/>
    <row r="261" ht="15.75" customHeight="1" s="81"/>
    <row r="262" ht="15.75" customHeight="1" s="81"/>
    <row r="263" ht="15.75" customHeight="1" s="81"/>
    <row r="264" ht="15.75" customHeight="1" s="81"/>
    <row r="265" ht="15.75" customHeight="1" s="81"/>
    <row r="266" ht="15.75" customHeight="1" s="81"/>
    <row r="267" ht="15.75" customHeight="1" s="81"/>
    <row r="268" ht="15.75" customHeight="1" s="81"/>
    <row r="269" ht="15.75" customHeight="1" s="81"/>
    <row r="270" ht="15.75" customHeight="1" s="81"/>
    <row r="271" ht="15.75" customHeight="1" s="81"/>
    <row r="272" ht="15.75" customHeight="1" s="81"/>
    <row r="273" ht="15.75" customHeight="1" s="81"/>
    <row r="274" ht="15.75" customHeight="1" s="81"/>
    <row r="275" ht="15.75" customHeight="1" s="81"/>
    <row r="276" ht="15.75" customHeight="1" s="81"/>
    <row r="277" ht="15.75" customHeight="1" s="81"/>
    <row r="278" ht="15.75" customHeight="1" s="81"/>
    <row r="279" ht="15.75" customHeight="1" s="81"/>
    <row r="280" ht="15.75" customHeight="1" s="81"/>
    <row r="281" ht="15.75" customHeight="1" s="81"/>
    <row r="282" ht="15.75" customHeight="1" s="81"/>
    <row r="283" ht="15.75" customHeight="1" s="81"/>
    <row r="284" ht="15.75" customHeight="1" s="81"/>
    <row r="285" ht="15.75" customHeight="1" s="81"/>
    <row r="286" ht="15.75" customHeight="1" s="81"/>
    <row r="287" ht="15.75" customHeight="1" s="81"/>
    <row r="288" ht="15.75" customHeight="1" s="81"/>
    <row r="289" ht="15.75" customHeight="1" s="81"/>
    <row r="290" ht="15.75" customHeight="1" s="81"/>
    <row r="291" ht="15.75" customHeight="1" s="81"/>
    <row r="292" ht="15.75" customHeight="1" s="81"/>
    <row r="293" ht="15.75" customHeight="1" s="81"/>
    <row r="294" ht="15.75" customHeight="1" s="81"/>
    <row r="295" ht="15.75" customHeight="1" s="81"/>
    <row r="296" ht="15.75" customHeight="1" s="81"/>
    <row r="297" ht="15.75" customHeight="1" s="81"/>
    <row r="298" ht="15.75" customHeight="1" s="81"/>
    <row r="299" ht="15.75" customHeight="1" s="81"/>
    <row r="300" ht="15.75" customHeight="1" s="81"/>
    <row r="301" ht="15.75" customHeight="1" s="81"/>
    <row r="302" ht="15.75" customHeight="1" s="81"/>
    <row r="303" ht="15.75" customHeight="1" s="81"/>
    <row r="304" ht="15.75" customHeight="1" s="81"/>
    <row r="305" ht="15.75" customHeight="1" s="81"/>
    <row r="306" ht="15.75" customHeight="1" s="81"/>
    <row r="307" ht="15.75" customHeight="1" s="81"/>
    <row r="308" ht="15.75" customHeight="1" s="81"/>
    <row r="309" ht="15.75" customHeight="1" s="81"/>
    <row r="310" ht="15.75" customHeight="1" s="81"/>
    <row r="311" ht="15.75" customHeight="1" s="81"/>
    <row r="312" ht="15.75" customHeight="1" s="81"/>
    <row r="313" ht="15.75" customHeight="1" s="81"/>
    <row r="314" ht="15.75" customHeight="1" s="81"/>
    <row r="315" ht="15.75" customHeight="1" s="81"/>
    <row r="316" ht="15.75" customHeight="1" s="81"/>
    <row r="317" ht="15.75" customHeight="1" s="81"/>
    <row r="318" ht="15.75" customHeight="1" s="81"/>
    <row r="319" ht="15.75" customHeight="1" s="81"/>
    <row r="320" ht="15.75" customHeight="1" s="81"/>
    <row r="321" ht="15.75" customHeight="1" s="81"/>
    <row r="322" ht="15.75" customHeight="1" s="81"/>
    <row r="323" ht="15.75" customHeight="1" s="81"/>
    <row r="324" ht="15.75" customHeight="1" s="81"/>
    <row r="325" ht="15.75" customHeight="1" s="81"/>
    <row r="326" ht="15.75" customHeight="1" s="81"/>
    <row r="327" ht="15.75" customHeight="1" s="81"/>
    <row r="328" ht="15.75" customHeight="1" s="81"/>
    <row r="329" ht="15.75" customHeight="1" s="81"/>
    <row r="330" ht="15.75" customHeight="1" s="81"/>
    <row r="331" ht="15.75" customHeight="1" s="81"/>
    <row r="332" ht="15.75" customHeight="1" s="81"/>
    <row r="333" ht="15.75" customHeight="1" s="81"/>
    <row r="334" ht="15.75" customHeight="1" s="81"/>
    <row r="335" ht="15.75" customHeight="1" s="81"/>
    <row r="336" ht="15.75" customHeight="1" s="81"/>
    <row r="337" ht="15.75" customHeight="1" s="81"/>
    <row r="338" ht="15.75" customHeight="1" s="81"/>
    <row r="339" ht="15.75" customHeight="1" s="81"/>
    <row r="340" ht="15.75" customHeight="1" s="81"/>
    <row r="341" ht="15.75" customHeight="1" s="81"/>
    <row r="342" ht="15.75" customHeight="1" s="81"/>
    <row r="343" ht="15.75" customHeight="1" s="81"/>
    <row r="344" ht="15.75" customHeight="1" s="81"/>
    <row r="345" ht="15.75" customHeight="1" s="81"/>
    <row r="346" ht="15.75" customHeight="1" s="81"/>
    <row r="347" ht="15.75" customHeight="1" s="81"/>
    <row r="348" ht="15.75" customHeight="1" s="81"/>
    <row r="349" ht="15.75" customHeight="1" s="81"/>
    <row r="350" ht="15.75" customHeight="1" s="81"/>
    <row r="351" ht="15.75" customHeight="1" s="81"/>
    <row r="352" ht="15.75" customHeight="1" s="81"/>
    <row r="353" ht="15.75" customHeight="1" s="81"/>
    <row r="354" ht="15.75" customHeight="1" s="81"/>
    <row r="355" ht="15.75" customHeight="1" s="81"/>
    <row r="356" ht="15.75" customHeight="1" s="81"/>
    <row r="357" ht="15.75" customHeight="1" s="81"/>
    <row r="358" ht="15.75" customHeight="1" s="81"/>
    <row r="359" ht="15.75" customHeight="1" s="81"/>
    <row r="360" ht="15.75" customHeight="1" s="81"/>
    <row r="361" ht="15.75" customHeight="1" s="81"/>
    <row r="362" ht="15.75" customHeight="1" s="81"/>
    <row r="363" ht="15.75" customHeight="1" s="81"/>
    <row r="364" ht="15.75" customHeight="1" s="81"/>
    <row r="365" ht="15.75" customHeight="1" s="81"/>
    <row r="366" ht="15.75" customHeight="1" s="81"/>
    <row r="367" ht="15.75" customHeight="1" s="81"/>
    <row r="368" ht="15.75" customHeight="1" s="81"/>
    <row r="369" ht="15.75" customHeight="1" s="81"/>
    <row r="370" ht="15.75" customHeight="1" s="81"/>
    <row r="371" ht="15.75" customHeight="1" s="81"/>
    <row r="372" ht="15.75" customHeight="1" s="81"/>
    <row r="373" ht="15.75" customHeight="1" s="81"/>
    <row r="374" ht="15.75" customHeight="1" s="81"/>
    <row r="375" ht="15.75" customHeight="1" s="81"/>
    <row r="376" ht="15.75" customHeight="1" s="81"/>
    <row r="377" ht="15.75" customHeight="1" s="81"/>
    <row r="378" ht="15.75" customHeight="1" s="81"/>
    <row r="379" ht="15.75" customHeight="1" s="81"/>
    <row r="380" ht="15.75" customHeight="1" s="81"/>
    <row r="381" ht="15.75" customHeight="1" s="81"/>
    <row r="382" ht="15.75" customHeight="1" s="81"/>
    <row r="383" ht="15.75" customHeight="1" s="81"/>
    <row r="384" ht="15.75" customHeight="1" s="81"/>
    <row r="385" ht="15.75" customHeight="1" s="81"/>
    <row r="386" ht="15.75" customHeight="1" s="81"/>
    <row r="387" ht="15.75" customHeight="1" s="81"/>
    <row r="388" ht="15.75" customHeight="1" s="81"/>
    <row r="389" ht="15.75" customHeight="1" s="81"/>
    <row r="390" ht="15.75" customHeight="1" s="81"/>
    <row r="391" ht="15.75" customHeight="1" s="81"/>
    <row r="392" ht="15.75" customHeight="1" s="81"/>
    <row r="393" ht="15.75" customHeight="1" s="81"/>
    <row r="394" ht="15.75" customHeight="1" s="81"/>
    <row r="395" ht="15.75" customHeight="1" s="81"/>
    <row r="396" ht="15.75" customHeight="1" s="81"/>
    <row r="397" ht="15.75" customHeight="1" s="81"/>
    <row r="398" ht="15.75" customHeight="1" s="81"/>
    <row r="399" ht="15.75" customHeight="1" s="81"/>
    <row r="400" ht="15.75" customHeight="1" s="81"/>
    <row r="401" ht="15.75" customHeight="1" s="81"/>
    <row r="402" ht="15.75" customHeight="1" s="81"/>
    <row r="403" ht="15.75" customHeight="1" s="81"/>
    <row r="404" ht="15.75" customHeight="1" s="81"/>
    <row r="405" ht="15.75" customHeight="1" s="81"/>
    <row r="406" ht="15.75" customHeight="1" s="81"/>
    <row r="407" ht="15.75" customHeight="1" s="81"/>
    <row r="408" ht="15.75" customHeight="1" s="81"/>
    <row r="409" ht="15.75" customHeight="1" s="81"/>
    <row r="410" ht="15.75" customHeight="1" s="81"/>
    <row r="411" ht="15.75" customHeight="1" s="81"/>
    <row r="412" ht="15.75" customHeight="1" s="81"/>
    <row r="413" ht="15.75" customHeight="1" s="81"/>
    <row r="414" ht="15.75" customHeight="1" s="81"/>
    <row r="415" ht="15.75" customHeight="1" s="81"/>
    <row r="416" ht="15.75" customHeight="1" s="81"/>
    <row r="417" ht="15.75" customHeight="1" s="81"/>
    <row r="418" ht="15.75" customHeight="1" s="81"/>
    <row r="419" ht="15.75" customHeight="1" s="81"/>
    <row r="420" ht="15.75" customHeight="1" s="81"/>
    <row r="421" ht="15.75" customHeight="1" s="81"/>
    <row r="422" ht="15.75" customHeight="1" s="81"/>
    <row r="423" ht="15.75" customHeight="1" s="81"/>
    <row r="424" ht="15.75" customHeight="1" s="81"/>
    <row r="425" ht="15.75" customHeight="1" s="81"/>
    <row r="426" ht="15.75" customHeight="1" s="81"/>
    <row r="427" ht="15.75" customHeight="1" s="81"/>
    <row r="428" ht="15.75" customHeight="1" s="81"/>
    <row r="429" ht="15.75" customHeight="1" s="81"/>
    <row r="430" ht="15.75" customHeight="1" s="81"/>
    <row r="431" ht="15.75" customHeight="1" s="81"/>
    <row r="432" ht="15.75" customHeight="1" s="81"/>
    <row r="433" ht="15.75" customHeight="1" s="81"/>
    <row r="434" ht="15.75" customHeight="1" s="81"/>
    <row r="435" ht="15.75" customHeight="1" s="81"/>
    <row r="436" ht="15.75" customHeight="1" s="81"/>
    <row r="437" ht="15.75" customHeight="1" s="81"/>
    <row r="438" ht="15.75" customHeight="1" s="81"/>
    <row r="439" ht="15.75" customHeight="1" s="81"/>
    <row r="440" ht="15.75" customHeight="1" s="81"/>
    <row r="441" ht="15.75" customHeight="1" s="81"/>
    <row r="442" ht="15.75" customHeight="1" s="81"/>
    <row r="443" ht="15.75" customHeight="1" s="81"/>
    <row r="444" ht="15.75" customHeight="1" s="81"/>
    <row r="445" ht="15.75" customHeight="1" s="81"/>
    <row r="446" ht="15.75" customHeight="1" s="81"/>
    <row r="447" ht="15.75" customHeight="1" s="81"/>
    <row r="448" ht="15.75" customHeight="1" s="81"/>
    <row r="449" ht="15.75" customHeight="1" s="81"/>
    <row r="450" ht="15.75" customHeight="1" s="81"/>
    <row r="451" ht="15.75" customHeight="1" s="81"/>
    <row r="452" ht="15.75" customHeight="1" s="81"/>
    <row r="453" ht="15.75" customHeight="1" s="81"/>
    <row r="454" ht="15.75" customHeight="1" s="81"/>
    <row r="455" ht="15.75" customHeight="1" s="81"/>
    <row r="456" ht="15.75" customHeight="1" s="81"/>
    <row r="457" ht="15.75" customHeight="1" s="81"/>
    <row r="458" ht="15.75" customHeight="1" s="81"/>
    <row r="459" ht="15.75" customHeight="1" s="81"/>
    <row r="460" ht="15.75" customHeight="1" s="81"/>
    <row r="461" ht="15.75" customHeight="1" s="81"/>
    <row r="462" ht="15.75" customHeight="1" s="81"/>
    <row r="463" ht="15.75" customHeight="1" s="81"/>
    <row r="464" ht="15.75" customHeight="1" s="81"/>
    <row r="465" ht="15.75" customHeight="1" s="81"/>
    <row r="466" ht="15.75" customHeight="1" s="81"/>
    <row r="467" ht="15.75" customHeight="1" s="81"/>
    <row r="468" ht="15.75" customHeight="1" s="81"/>
    <row r="469" ht="15.75" customHeight="1" s="81"/>
    <row r="470" ht="15.75" customHeight="1" s="81"/>
    <row r="471" ht="15.75" customHeight="1" s="81"/>
    <row r="472" ht="15.75" customHeight="1" s="81"/>
    <row r="473" ht="15.75" customHeight="1" s="81"/>
    <row r="474" ht="15.75" customHeight="1" s="81"/>
    <row r="475" ht="15.75" customHeight="1" s="81"/>
    <row r="476" ht="15.75" customHeight="1" s="81"/>
    <row r="477" ht="15.75" customHeight="1" s="81"/>
    <row r="478" ht="15.75" customHeight="1" s="81"/>
    <row r="479" ht="15.75" customHeight="1" s="81"/>
    <row r="480" ht="15.75" customHeight="1" s="81"/>
    <row r="481" ht="15.75" customHeight="1" s="81"/>
    <row r="482" ht="15.75" customHeight="1" s="81"/>
    <row r="483" ht="15.75" customHeight="1" s="81"/>
    <row r="484" ht="15.75" customHeight="1" s="81"/>
    <row r="485" ht="15.75" customHeight="1" s="81"/>
    <row r="486" ht="15.75" customHeight="1" s="81"/>
    <row r="487" ht="15.75" customHeight="1" s="81"/>
    <row r="488" ht="15.75" customHeight="1" s="81"/>
    <row r="489" ht="15.75" customHeight="1" s="81"/>
    <row r="490" ht="15.75" customHeight="1" s="81"/>
    <row r="491" ht="15.75" customHeight="1" s="81"/>
    <row r="492" ht="15.75" customHeight="1" s="81"/>
    <row r="493" ht="15.75" customHeight="1" s="81"/>
    <row r="494" ht="15.75" customHeight="1" s="81"/>
    <row r="495" ht="15.75" customHeight="1" s="81"/>
    <row r="496" ht="15.75" customHeight="1" s="81"/>
    <row r="497" ht="15.75" customHeight="1" s="81"/>
    <row r="498" ht="15.75" customHeight="1" s="81"/>
    <row r="499" ht="15.75" customHeight="1" s="81"/>
    <row r="500" ht="15.75" customHeight="1" s="81"/>
    <row r="501" ht="15.75" customHeight="1" s="81"/>
    <row r="502" ht="15.75" customHeight="1" s="81"/>
    <row r="503" ht="15.75" customHeight="1" s="81"/>
    <row r="504" ht="15.75" customHeight="1" s="81"/>
    <row r="505" ht="15.75" customHeight="1" s="81"/>
    <row r="506" ht="15.75" customHeight="1" s="81"/>
    <row r="507" ht="15.75" customHeight="1" s="81"/>
    <row r="508" ht="15.75" customHeight="1" s="81"/>
    <row r="509" ht="15.75" customHeight="1" s="81"/>
    <row r="510" ht="15.75" customHeight="1" s="81"/>
    <row r="511" ht="15.75" customHeight="1" s="81"/>
    <row r="512" ht="15.75" customHeight="1" s="81"/>
    <row r="513" ht="15.75" customHeight="1" s="81"/>
    <row r="514" ht="15.75" customHeight="1" s="81"/>
    <row r="515" ht="15.75" customHeight="1" s="81"/>
    <row r="516" ht="15.75" customHeight="1" s="81"/>
    <row r="517" ht="15.75" customHeight="1" s="81"/>
    <row r="518" ht="15.75" customHeight="1" s="81"/>
    <row r="519" ht="15.75" customHeight="1" s="81"/>
    <row r="520" ht="15.75" customHeight="1" s="81"/>
    <row r="521" ht="15.75" customHeight="1" s="81"/>
    <row r="522" ht="15.75" customHeight="1" s="81"/>
    <row r="523" ht="15.75" customHeight="1" s="81"/>
    <row r="524" ht="15.75" customHeight="1" s="81"/>
    <row r="525" ht="15.75" customHeight="1" s="81"/>
    <row r="526" ht="15.75" customHeight="1" s="81"/>
    <row r="527" ht="15.75" customHeight="1" s="81"/>
    <row r="528" ht="15.75" customHeight="1" s="81"/>
    <row r="529" ht="15.75" customHeight="1" s="81"/>
    <row r="530" ht="15.75" customHeight="1" s="81"/>
    <row r="531" ht="15.75" customHeight="1" s="81"/>
    <row r="532" ht="15.75" customHeight="1" s="81"/>
    <row r="533" ht="15.75" customHeight="1" s="81"/>
    <row r="534" ht="15.75" customHeight="1" s="81"/>
    <row r="535" ht="15.75" customHeight="1" s="81"/>
    <row r="536" ht="15.75" customHeight="1" s="81"/>
    <row r="537" ht="15.75" customHeight="1" s="81"/>
    <row r="538" ht="15.75" customHeight="1" s="81"/>
    <row r="539" ht="15.75" customHeight="1" s="81"/>
    <row r="540" ht="15.75" customHeight="1" s="81"/>
    <row r="541" ht="15.75" customHeight="1" s="81"/>
    <row r="542" ht="15.75" customHeight="1" s="81"/>
    <row r="543" ht="15.75" customHeight="1" s="81"/>
    <row r="544" ht="15.75" customHeight="1" s="81"/>
    <row r="545" ht="15.75" customHeight="1" s="81"/>
    <row r="546" ht="15.75" customHeight="1" s="81"/>
    <row r="547" ht="15.75" customHeight="1" s="81"/>
    <row r="548" ht="15.75" customHeight="1" s="81"/>
    <row r="549" ht="15.75" customHeight="1" s="81"/>
    <row r="550" ht="15.75" customHeight="1" s="81"/>
    <row r="551" ht="15.75" customHeight="1" s="81"/>
    <row r="552" ht="15.75" customHeight="1" s="81"/>
    <row r="553" ht="15.75" customHeight="1" s="81"/>
    <row r="554" ht="15.75" customHeight="1" s="81"/>
    <row r="555" ht="15.75" customHeight="1" s="81"/>
    <row r="556" ht="15.75" customHeight="1" s="81"/>
    <row r="557" ht="15.75" customHeight="1" s="81"/>
    <row r="558" ht="15.75" customHeight="1" s="81"/>
    <row r="559" ht="15.75" customHeight="1" s="81"/>
    <row r="560" ht="15.75" customHeight="1" s="81"/>
    <row r="561" ht="15.75" customHeight="1" s="81"/>
    <row r="562" ht="15.75" customHeight="1" s="81"/>
    <row r="563" ht="15.75" customHeight="1" s="81"/>
    <row r="564" ht="15.75" customHeight="1" s="81"/>
    <row r="565" ht="15.75" customHeight="1" s="81"/>
    <row r="566" ht="15.75" customHeight="1" s="81"/>
    <row r="567" ht="15.75" customHeight="1" s="81"/>
    <row r="568" ht="15.75" customHeight="1" s="81"/>
    <row r="569" ht="15.75" customHeight="1" s="81"/>
    <row r="570" ht="15.75" customHeight="1" s="81"/>
    <row r="571" ht="15.75" customHeight="1" s="81"/>
    <row r="572" ht="15.75" customHeight="1" s="81"/>
    <row r="573" ht="15.75" customHeight="1" s="81"/>
    <row r="574" ht="15.75" customHeight="1" s="81"/>
    <row r="575" ht="15.75" customHeight="1" s="81"/>
    <row r="576" ht="15.75" customHeight="1" s="81"/>
    <row r="577" ht="15.75" customHeight="1" s="81"/>
    <row r="578" ht="15.75" customHeight="1" s="81"/>
    <row r="579" ht="15.75" customHeight="1" s="81"/>
    <row r="580" ht="15.75" customHeight="1" s="81"/>
    <row r="581" ht="15.75" customHeight="1" s="81"/>
    <row r="582" ht="15.75" customHeight="1" s="81"/>
    <row r="583" ht="15.75" customHeight="1" s="81"/>
    <row r="584" ht="15.75" customHeight="1" s="81"/>
    <row r="585" ht="15.75" customHeight="1" s="81"/>
    <row r="586" ht="15.75" customHeight="1" s="81"/>
    <row r="587" ht="15.75" customHeight="1" s="81"/>
    <row r="588" ht="15.75" customHeight="1" s="81"/>
    <row r="589" ht="15.75" customHeight="1" s="81"/>
    <row r="590" ht="15.75" customHeight="1" s="81"/>
    <row r="591" ht="15.75" customHeight="1" s="81"/>
    <row r="592" ht="15.75" customHeight="1" s="81"/>
    <row r="593" ht="15.75" customHeight="1" s="81"/>
    <row r="594" ht="15.75" customHeight="1" s="81"/>
    <row r="595" ht="15.75" customHeight="1" s="81"/>
    <row r="596" ht="15.75" customHeight="1" s="81"/>
    <row r="597" ht="15.75" customHeight="1" s="81"/>
    <row r="598" ht="15.75" customHeight="1" s="81"/>
    <row r="599" ht="15.75" customHeight="1" s="81"/>
    <row r="600" ht="15.75" customHeight="1" s="81"/>
    <row r="601" ht="15.75" customHeight="1" s="81"/>
    <row r="602" ht="15.75" customHeight="1" s="81"/>
    <row r="603" ht="15.75" customHeight="1" s="81"/>
    <row r="604" ht="15.75" customHeight="1" s="81"/>
    <row r="605" ht="15.75" customHeight="1" s="81"/>
    <row r="606" ht="15.75" customHeight="1" s="81"/>
    <row r="607" ht="15.75" customHeight="1" s="81"/>
    <row r="608" ht="15.75" customHeight="1" s="81"/>
    <row r="609" ht="15.75" customHeight="1" s="81"/>
    <row r="610" ht="15.75" customHeight="1" s="81"/>
    <row r="611" ht="15.75" customHeight="1" s="81"/>
    <row r="612" ht="15.75" customHeight="1" s="81"/>
    <row r="613" ht="15.75" customHeight="1" s="81"/>
    <row r="614" ht="15.75" customHeight="1" s="81"/>
    <row r="615" ht="15.75" customHeight="1" s="81"/>
    <row r="616" ht="15.75" customHeight="1" s="81"/>
    <row r="617" ht="15.75" customHeight="1" s="81"/>
    <row r="618" ht="15.75" customHeight="1" s="81"/>
    <row r="619" ht="15.75" customHeight="1" s="81"/>
    <row r="620" ht="15.75" customHeight="1" s="81"/>
    <row r="621" ht="15.75" customHeight="1" s="81"/>
    <row r="622" ht="15.75" customHeight="1" s="81"/>
    <row r="623" ht="15.75" customHeight="1" s="81"/>
    <row r="624" ht="15.75" customHeight="1" s="81"/>
    <row r="625" ht="15.75" customHeight="1" s="81"/>
    <row r="626" ht="15.75" customHeight="1" s="81"/>
    <row r="627" ht="15.75" customHeight="1" s="81"/>
    <row r="628" ht="15.75" customHeight="1" s="81"/>
    <row r="629" ht="15.75" customHeight="1" s="81"/>
    <row r="630" ht="15.75" customHeight="1" s="81"/>
    <row r="631" ht="15.75" customHeight="1" s="81"/>
    <row r="632" ht="15.75" customHeight="1" s="81"/>
    <row r="633" ht="15.75" customHeight="1" s="81"/>
    <row r="634" ht="15.75" customHeight="1" s="81"/>
    <row r="635" ht="15.75" customHeight="1" s="81"/>
    <row r="636" ht="15.75" customHeight="1" s="81"/>
    <row r="637" ht="15.75" customHeight="1" s="81"/>
    <row r="638" ht="15.75" customHeight="1" s="81"/>
    <row r="639" ht="15.75" customHeight="1" s="81"/>
    <row r="640" ht="15.75" customHeight="1" s="81"/>
    <row r="641" ht="15.75" customHeight="1" s="81"/>
    <row r="642" ht="15.75" customHeight="1" s="81"/>
    <row r="643" ht="15.75" customHeight="1" s="81"/>
    <row r="644" ht="15.75" customHeight="1" s="81"/>
    <row r="645" ht="15.75" customHeight="1" s="81"/>
    <row r="646" ht="15.75" customHeight="1" s="81"/>
    <row r="647" ht="15.75" customHeight="1" s="81"/>
    <row r="648" ht="15.75" customHeight="1" s="81"/>
    <row r="649" ht="15.75" customHeight="1" s="81"/>
    <row r="650" ht="15.75" customHeight="1" s="81"/>
    <row r="651" ht="15.75" customHeight="1" s="81"/>
    <row r="652" ht="15.75" customHeight="1" s="81"/>
    <row r="653" ht="15.75" customHeight="1" s="81"/>
    <row r="654" ht="15.75" customHeight="1" s="81"/>
    <row r="655" ht="15.75" customHeight="1" s="81"/>
    <row r="656" ht="15.75" customHeight="1" s="81"/>
    <row r="657" ht="15.75" customHeight="1" s="81"/>
    <row r="658" ht="15.75" customHeight="1" s="81"/>
    <row r="659" ht="15.75" customHeight="1" s="81"/>
    <row r="660" ht="15.75" customHeight="1" s="81"/>
    <row r="661" ht="15.75" customHeight="1" s="81"/>
    <row r="662" ht="15.75" customHeight="1" s="81"/>
    <row r="663" ht="15.75" customHeight="1" s="81"/>
    <row r="664" ht="15.75" customHeight="1" s="81"/>
    <row r="665" ht="15.75" customHeight="1" s="81"/>
    <row r="666" ht="15.75" customHeight="1" s="81"/>
    <row r="667" ht="15.75" customHeight="1" s="81"/>
    <row r="668" ht="15.75" customHeight="1" s="81"/>
    <row r="669" ht="15.75" customHeight="1" s="81"/>
    <row r="670" ht="15.75" customHeight="1" s="81"/>
    <row r="671" ht="15.75" customHeight="1" s="81"/>
    <row r="672" ht="15.75" customHeight="1" s="81"/>
    <row r="673" ht="15.75" customHeight="1" s="81"/>
    <row r="674" ht="15.75" customHeight="1" s="81"/>
    <row r="675" ht="15.75" customHeight="1" s="81"/>
    <row r="676" ht="15.75" customHeight="1" s="81"/>
    <row r="677" ht="15.75" customHeight="1" s="81"/>
    <row r="678" ht="15.75" customHeight="1" s="81"/>
    <row r="679" ht="15.75" customHeight="1" s="81"/>
    <row r="680" ht="15.75" customHeight="1" s="81"/>
    <row r="681" ht="15.75" customHeight="1" s="81"/>
    <row r="682" ht="15.75" customHeight="1" s="81"/>
    <row r="683" ht="15.75" customHeight="1" s="81"/>
    <row r="684" ht="15.75" customHeight="1" s="81"/>
    <row r="685" ht="15.75" customHeight="1" s="81"/>
    <row r="686" ht="15.75" customHeight="1" s="81"/>
    <row r="687" ht="15.75" customHeight="1" s="81"/>
    <row r="688" ht="15.75" customHeight="1" s="81"/>
    <row r="689" ht="15.75" customHeight="1" s="81"/>
    <row r="690" ht="15.75" customHeight="1" s="81"/>
    <row r="691" ht="15.75" customHeight="1" s="81"/>
    <row r="692" ht="15.75" customHeight="1" s="81"/>
    <row r="693" ht="15.75" customHeight="1" s="81"/>
    <row r="694" ht="15.75" customHeight="1" s="81"/>
    <row r="695" ht="15.75" customHeight="1" s="81"/>
    <row r="696" ht="15.75" customHeight="1" s="81"/>
    <row r="697" ht="15.75" customHeight="1" s="81"/>
    <row r="698" ht="15.75" customHeight="1" s="81"/>
    <row r="699" ht="15.75" customHeight="1" s="81"/>
    <row r="700" ht="15.75" customHeight="1" s="81"/>
    <row r="701" ht="15.75" customHeight="1" s="81"/>
    <row r="702" ht="15.75" customHeight="1" s="81"/>
    <row r="703" ht="15.75" customHeight="1" s="81"/>
    <row r="704" ht="15.75" customHeight="1" s="81"/>
    <row r="705" ht="15.75" customHeight="1" s="81"/>
    <row r="706" ht="15.75" customHeight="1" s="81"/>
    <row r="707" ht="15.75" customHeight="1" s="81"/>
    <row r="708" ht="15.75" customHeight="1" s="81"/>
    <row r="709" ht="15.75" customHeight="1" s="81"/>
    <row r="710" ht="15.75" customHeight="1" s="81"/>
    <row r="711" ht="15.75" customHeight="1" s="81"/>
    <row r="712" ht="15.75" customHeight="1" s="81"/>
    <row r="713" ht="15.75" customHeight="1" s="81"/>
    <row r="714" ht="15.75" customHeight="1" s="81"/>
    <row r="715" ht="15.75" customHeight="1" s="81"/>
    <row r="716" ht="15.75" customHeight="1" s="81"/>
    <row r="717" ht="15.75" customHeight="1" s="81"/>
    <row r="718" ht="15.75" customHeight="1" s="81"/>
    <row r="719" ht="15.75" customHeight="1" s="81"/>
    <row r="720" ht="15.75" customHeight="1" s="81"/>
    <row r="721" ht="15.75" customHeight="1" s="81"/>
    <row r="722" ht="15.75" customHeight="1" s="81"/>
    <row r="723" ht="15.75" customHeight="1" s="81"/>
    <row r="724" ht="15.75" customHeight="1" s="81"/>
    <row r="725" ht="15.75" customHeight="1" s="81"/>
    <row r="726" ht="15.75" customHeight="1" s="81"/>
    <row r="727" ht="15.75" customHeight="1" s="81"/>
    <row r="728" ht="15.75" customHeight="1" s="81"/>
    <row r="729" ht="15.75" customHeight="1" s="81"/>
    <row r="730" ht="15.75" customHeight="1" s="81"/>
    <row r="731" ht="15.75" customHeight="1" s="81"/>
    <row r="732" ht="15.75" customHeight="1" s="81"/>
    <row r="733" ht="15.75" customHeight="1" s="81"/>
    <row r="734" ht="15.75" customHeight="1" s="81"/>
    <row r="735" ht="15.75" customHeight="1" s="81"/>
    <row r="736" ht="15.75" customHeight="1" s="81"/>
    <row r="737" ht="15.75" customHeight="1" s="81"/>
    <row r="738" ht="15.75" customHeight="1" s="81"/>
    <row r="739" ht="15.75" customHeight="1" s="81"/>
    <row r="740" ht="15.75" customHeight="1" s="81"/>
    <row r="741" ht="15.75" customHeight="1" s="81"/>
    <row r="742" ht="15.75" customHeight="1" s="81"/>
    <row r="743" ht="15.75" customHeight="1" s="81"/>
    <row r="744" ht="15.75" customHeight="1" s="81"/>
    <row r="745" ht="15.75" customHeight="1" s="81"/>
    <row r="746" ht="15.75" customHeight="1" s="81"/>
    <row r="747" ht="15.75" customHeight="1" s="81"/>
    <row r="748" ht="15.75" customHeight="1" s="81"/>
    <row r="749" ht="15.75" customHeight="1" s="81"/>
    <row r="750" ht="15.75" customHeight="1" s="81"/>
    <row r="751" ht="15.75" customHeight="1" s="81"/>
    <row r="752" ht="15.75" customHeight="1" s="81"/>
    <row r="753" ht="15.75" customHeight="1" s="81"/>
    <row r="754" ht="15.75" customHeight="1" s="81"/>
    <row r="755" ht="15.75" customHeight="1" s="81"/>
    <row r="756" ht="15.75" customHeight="1" s="81"/>
    <row r="757" ht="15.75" customHeight="1" s="81"/>
    <row r="758" ht="15.75" customHeight="1" s="81"/>
    <row r="759" ht="15.75" customHeight="1" s="81"/>
    <row r="760" ht="15.75" customHeight="1" s="81"/>
    <row r="761" ht="15.75" customHeight="1" s="81"/>
    <row r="762" ht="15.75" customHeight="1" s="81"/>
    <row r="763" ht="15.75" customHeight="1" s="81"/>
    <row r="764" ht="15.75" customHeight="1" s="81"/>
    <row r="765" ht="15.75" customHeight="1" s="81"/>
    <row r="766" ht="15.75" customHeight="1" s="81"/>
    <row r="767" ht="15.75" customHeight="1" s="81"/>
    <row r="768" ht="15.75" customHeight="1" s="81"/>
    <row r="769" ht="15.75" customHeight="1" s="81"/>
    <row r="770" ht="15.75" customHeight="1" s="81"/>
    <row r="771" ht="15.75" customHeight="1" s="81"/>
    <row r="772" ht="15.75" customHeight="1" s="81"/>
    <row r="773" ht="15.75" customHeight="1" s="81"/>
    <row r="774" ht="15.75" customHeight="1" s="81"/>
    <row r="775" ht="15.75" customHeight="1" s="81"/>
    <row r="776" ht="15.75" customHeight="1" s="81"/>
    <row r="777" ht="15.75" customHeight="1" s="81"/>
    <row r="778" ht="15.75" customHeight="1" s="81"/>
    <row r="779" ht="15.75" customHeight="1" s="81"/>
    <row r="780" ht="15.75" customHeight="1" s="81"/>
    <row r="781" ht="15.75" customHeight="1" s="81"/>
    <row r="782" ht="15.75" customHeight="1" s="81"/>
    <row r="783" ht="15.75" customHeight="1" s="81"/>
    <row r="784" ht="15.75" customHeight="1" s="81"/>
    <row r="785" ht="15.75" customHeight="1" s="81"/>
    <row r="786" ht="15.75" customHeight="1" s="81"/>
    <row r="787" ht="15.75" customHeight="1" s="81"/>
    <row r="788" ht="15.75" customHeight="1" s="81"/>
    <row r="789" ht="15.75" customHeight="1" s="81"/>
    <row r="790" ht="15.75" customHeight="1" s="81"/>
    <row r="791" ht="15.75" customHeight="1" s="81"/>
    <row r="792" ht="15.75" customHeight="1" s="81"/>
    <row r="793" ht="15.75" customHeight="1" s="81"/>
    <row r="794" ht="15.75" customHeight="1" s="81"/>
    <row r="795" ht="15.75" customHeight="1" s="81"/>
    <row r="796" ht="15.75" customHeight="1" s="81"/>
    <row r="797" ht="15.75" customHeight="1" s="81"/>
    <row r="798" ht="15.75" customHeight="1" s="81"/>
    <row r="799" ht="15.75" customHeight="1" s="81"/>
    <row r="800" ht="15.75" customHeight="1" s="81"/>
    <row r="801" ht="15.75" customHeight="1" s="81"/>
    <row r="802" ht="15.75" customHeight="1" s="81"/>
    <row r="803" ht="15.75" customHeight="1" s="81"/>
    <row r="804" ht="15.75" customHeight="1" s="81"/>
    <row r="805" ht="15.75" customHeight="1" s="81"/>
    <row r="806" ht="15.75" customHeight="1" s="81"/>
    <row r="807" ht="15.75" customHeight="1" s="81"/>
    <row r="808" ht="15.75" customHeight="1" s="81"/>
    <row r="809" ht="15.75" customHeight="1" s="81"/>
    <row r="810" ht="15.75" customHeight="1" s="81"/>
    <row r="811" ht="15.75" customHeight="1" s="81"/>
    <row r="812" ht="15.75" customHeight="1" s="81"/>
    <row r="813" ht="15.75" customHeight="1" s="81"/>
    <row r="814" ht="15.75" customHeight="1" s="81"/>
    <row r="815" ht="15.75" customHeight="1" s="81"/>
    <row r="816" ht="15.75" customHeight="1" s="81"/>
    <row r="817" ht="15.75" customHeight="1" s="81"/>
    <row r="818" ht="15.75" customHeight="1" s="81"/>
    <row r="819" ht="15.75" customHeight="1" s="81"/>
    <row r="820" ht="15.75" customHeight="1" s="81"/>
    <row r="821" ht="15.75" customHeight="1" s="81"/>
    <row r="822" ht="15.75" customHeight="1" s="81"/>
    <row r="823" ht="15.75" customHeight="1" s="81"/>
    <row r="824" ht="15.75" customHeight="1" s="81"/>
    <row r="825" ht="15.75" customHeight="1" s="81"/>
    <row r="826" ht="15.75" customHeight="1" s="81"/>
    <row r="827" ht="15.75" customHeight="1" s="81"/>
    <row r="828" ht="15.75" customHeight="1" s="81"/>
    <row r="829" ht="15.75" customHeight="1" s="81"/>
    <row r="830" ht="15.75" customHeight="1" s="81"/>
    <row r="831" ht="15.75" customHeight="1" s="81"/>
    <row r="832" ht="15.75" customHeight="1" s="81"/>
    <row r="833" ht="15.75" customHeight="1" s="81"/>
    <row r="834" ht="15.75" customHeight="1" s="81"/>
    <row r="835" ht="15.75" customHeight="1" s="81"/>
    <row r="836" ht="15.75" customHeight="1" s="81"/>
    <row r="837" ht="15.75" customHeight="1" s="81"/>
    <row r="838" ht="15.75" customHeight="1" s="81"/>
    <row r="839" ht="15.75" customHeight="1" s="81"/>
    <row r="840" ht="15.75" customHeight="1" s="81"/>
    <row r="841" ht="15.75" customHeight="1" s="81"/>
    <row r="842" ht="15.75" customHeight="1" s="81"/>
    <row r="843" ht="15.75" customHeight="1" s="81"/>
    <row r="844" ht="15.75" customHeight="1" s="81"/>
    <row r="845" ht="15.75" customHeight="1" s="81"/>
    <row r="846" ht="15.75" customHeight="1" s="81"/>
    <row r="847" ht="15.75" customHeight="1" s="81"/>
    <row r="848" ht="15.75" customHeight="1" s="81"/>
    <row r="849" ht="15.75" customHeight="1" s="81"/>
    <row r="850" ht="15.75" customHeight="1" s="81"/>
    <row r="851" ht="15.75" customHeight="1" s="81"/>
    <row r="852" ht="15.75" customHeight="1" s="81"/>
    <row r="853" ht="15.75" customHeight="1" s="81"/>
    <row r="854" ht="15.75" customHeight="1" s="81"/>
    <row r="855" ht="15.75" customHeight="1" s="81"/>
    <row r="856" ht="15.75" customHeight="1" s="81"/>
    <row r="857" ht="15.75" customHeight="1" s="81"/>
    <row r="858" ht="15.75" customHeight="1" s="81"/>
    <row r="859" ht="15.75" customHeight="1" s="81"/>
    <row r="860" ht="15.75" customHeight="1" s="81"/>
    <row r="861" ht="15.75" customHeight="1" s="81"/>
    <row r="862" ht="15.75" customHeight="1" s="81"/>
    <row r="863" ht="15.75" customHeight="1" s="81"/>
    <row r="864" ht="15.75" customHeight="1" s="81"/>
    <row r="865" ht="15.75" customHeight="1" s="81"/>
    <row r="866" ht="15.75" customHeight="1" s="81"/>
    <row r="867" ht="15.75" customHeight="1" s="81"/>
    <row r="868" ht="15.75" customHeight="1" s="81"/>
    <row r="869" ht="15.75" customHeight="1" s="81"/>
    <row r="870" ht="15.75" customHeight="1" s="81"/>
    <row r="871" ht="15.75" customHeight="1" s="81"/>
    <row r="872" ht="15.75" customHeight="1" s="81"/>
    <row r="873" ht="15.75" customHeight="1" s="81"/>
    <row r="874" ht="15.75" customHeight="1" s="81"/>
    <row r="875" ht="15.75" customHeight="1" s="81"/>
    <row r="876" ht="15.75" customHeight="1" s="81"/>
    <row r="877" ht="15.75" customHeight="1" s="81"/>
    <row r="878" ht="15.75" customHeight="1" s="81"/>
    <row r="879" ht="15.75" customHeight="1" s="81"/>
    <row r="880" ht="15.75" customHeight="1" s="81"/>
    <row r="881" ht="15.75" customHeight="1" s="81"/>
    <row r="882" ht="15.75" customHeight="1" s="81"/>
    <row r="883" ht="15.75" customHeight="1" s="81"/>
    <row r="884" ht="15.75" customHeight="1" s="81"/>
    <row r="885" ht="15.75" customHeight="1" s="81"/>
    <row r="886" ht="15.75" customHeight="1" s="81"/>
    <row r="887" ht="15.75" customHeight="1" s="81"/>
    <row r="888" ht="15.75" customHeight="1" s="81"/>
    <row r="889" ht="15.75" customHeight="1" s="81"/>
    <row r="890" ht="15.75" customHeight="1" s="81"/>
    <row r="891" ht="15.75" customHeight="1" s="81"/>
    <row r="892" ht="15.75" customHeight="1" s="81"/>
    <row r="893" ht="15.75" customHeight="1" s="81"/>
    <row r="894" ht="15.75" customHeight="1" s="81"/>
    <row r="895" ht="15.75" customHeight="1" s="81"/>
    <row r="896" ht="15.75" customHeight="1" s="81"/>
    <row r="897" ht="15.75" customHeight="1" s="81"/>
    <row r="898" ht="15.75" customHeight="1" s="81"/>
    <row r="899" ht="15.75" customHeight="1" s="81"/>
    <row r="900" ht="15.75" customHeight="1" s="81"/>
    <row r="901" ht="15.75" customHeight="1" s="81"/>
    <row r="902" ht="15.75" customHeight="1" s="81"/>
    <row r="903" ht="15.75" customHeight="1" s="81"/>
    <row r="904" ht="15.75" customHeight="1" s="81"/>
    <row r="905" ht="15.75" customHeight="1" s="81"/>
    <row r="906" ht="15.75" customHeight="1" s="81"/>
    <row r="907" ht="15.75" customHeight="1" s="81"/>
    <row r="908" ht="15.75" customHeight="1" s="81"/>
    <row r="909" ht="15.75" customHeight="1" s="81"/>
    <row r="910" ht="15.75" customHeight="1" s="81"/>
    <row r="911" ht="15.75" customHeight="1" s="81"/>
    <row r="912" ht="15.75" customHeight="1" s="81"/>
    <row r="913" ht="15.75" customHeight="1" s="81"/>
    <row r="914" ht="15.75" customHeight="1" s="81"/>
    <row r="915" ht="15.75" customHeight="1" s="81"/>
    <row r="916" ht="15.75" customHeight="1" s="81"/>
    <row r="917" ht="15.75" customHeight="1" s="81"/>
    <row r="918" ht="15.75" customHeight="1" s="81"/>
    <row r="919" ht="15.75" customHeight="1" s="81"/>
    <row r="920" ht="15.75" customHeight="1" s="81"/>
    <row r="921" ht="15.75" customHeight="1" s="81"/>
    <row r="922" ht="15.75" customHeight="1" s="81"/>
    <row r="923" ht="15.75" customHeight="1" s="81"/>
    <row r="924" ht="15.75" customHeight="1" s="81"/>
    <row r="925" ht="15.75" customHeight="1" s="81"/>
    <row r="926" ht="15.75" customHeight="1" s="81"/>
    <row r="927" ht="15.75" customHeight="1" s="81"/>
    <row r="928" ht="15.75" customHeight="1" s="81"/>
    <row r="929" ht="15.75" customHeight="1" s="81"/>
    <row r="930" ht="15.75" customHeight="1" s="81"/>
    <row r="931" ht="15.75" customHeight="1" s="81"/>
    <row r="932" ht="15.75" customHeight="1" s="81"/>
    <row r="933" ht="15.75" customHeight="1" s="81"/>
    <row r="934" ht="15.75" customHeight="1" s="81"/>
    <row r="935" ht="15.75" customHeight="1" s="81"/>
    <row r="936" ht="15.75" customHeight="1" s="81"/>
    <row r="937" ht="15.75" customHeight="1" s="81"/>
    <row r="938" ht="15.75" customHeight="1" s="81"/>
    <row r="939" ht="15.75" customHeight="1" s="81"/>
    <row r="940" ht="15.75" customHeight="1" s="81"/>
    <row r="941" ht="15.75" customHeight="1" s="81"/>
    <row r="942" ht="15.75" customHeight="1" s="81"/>
    <row r="943" ht="15.75" customHeight="1" s="81"/>
    <row r="944" ht="15.75" customHeight="1" s="81"/>
    <row r="945" ht="15.75" customHeight="1" s="81"/>
    <row r="946" ht="15.75" customHeight="1" s="81"/>
    <row r="947" ht="15.75" customHeight="1" s="81"/>
    <row r="948" ht="15.75" customHeight="1" s="81"/>
    <row r="949" ht="15.75" customHeight="1" s="81"/>
    <row r="950" ht="15.75" customHeight="1" s="81"/>
    <row r="951" ht="15.75" customHeight="1" s="81"/>
    <row r="952" ht="15.75" customHeight="1" s="81"/>
    <row r="953" ht="15.75" customHeight="1" s="81"/>
    <row r="954" ht="15.75" customHeight="1" s="81"/>
    <row r="955" ht="15.75" customHeight="1" s="81"/>
    <row r="956" ht="15.75" customHeight="1" s="81"/>
    <row r="957" ht="15.75" customHeight="1" s="81"/>
    <row r="958" ht="15.75" customHeight="1" s="81"/>
    <row r="959" ht="15.75" customHeight="1" s="81"/>
    <row r="960" ht="15.75" customHeight="1" s="81"/>
    <row r="961" ht="15.75" customHeight="1" s="81"/>
    <row r="962" ht="15.75" customHeight="1" s="81"/>
    <row r="963" ht="15.75" customHeight="1" s="81"/>
    <row r="964" ht="15.75" customHeight="1" s="81"/>
    <row r="965" ht="15.75" customHeight="1" s="81"/>
    <row r="966" ht="15.75" customHeight="1" s="81"/>
    <row r="967" ht="15.75" customHeight="1" s="81"/>
    <row r="968" ht="15.75" customHeight="1" s="81"/>
    <row r="969" ht="15.75" customHeight="1" s="81"/>
    <row r="970" ht="15.75" customHeight="1" s="81"/>
    <row r="971" ht="15.75" customHeight="1" s="81"/>
    <row r="972" ht="15.75" customHeight="1" s="81"/>
    <row r="973" ht="15.75" customHeight="1" s="81"/>
    <row r="974" ht="15.75" customHeight="1" s="81"/>
    <row r="975" ht="15.75" customHeight="1" s="81"/>
    <row r="976" ht="15.75" customHeight="1" s="81"/>
    <row r="977" ht="15.75" customHeight="1" s="81"/>
    <row r="978" ht="15.75" customHeight="1" s="81"/>
    <row r="979" ht="15.75" customHeight="1" s="81"/>
    <row r="980" ht="15.75" customHeight="1" s="81"/>
    <row r="981" ht="15.75" customHeight="1" s="81"/>
    <row r="982" ht="15.75" customHeight="1" s="81"/>
    <row r="983" ht="15.75" customHeight="1" s="81"/>
    <row r="984" ht="15.75" customHeight="1" s="81"/>
    <row r="985" ht="15.75" customHeight="1" s="81"/>
    <row r="986" ht="15.75" customHeight="1" s="81"/>
    <row r="987" ht="15.75" customHeight="1" s="81"/>
    <row r="988" ht="15.75" customHeight="1" s="81"/>
    <row r="989" ht="15.75" customHeight="1" s="81"/>
    <row r="990" ht="15.75" customHeight="1" s="81"/>
    <row r="991" ht="15.75" customHeight="1" s="81"/>
    <row r="992" ht="15.75" customHeight="1" s="81"/>
    <row r="993" ht="15.75" customHeight="1" s="81"/>
    <row r="994" ht="15.75" customHeight="1" s="81"/>
    <row r="995" ht="15.75" customHeight="1" s="81"/>
    <row r="996" ht="15.75" customHeight="1" s="81"/>
    <row r="997" ht="15.75" customHeight="1" s="81"/>
    <row r="998" ht="15.75" customHeight="1" s="81"/>
    <row r="999" ht="15.75" customHeight="1" s="81"/>
    <row r="1000" ht="15.75" customHeight="1" s="81"/>
  </sheetData>
  <autoFilter ref="$A$4:$M$102"/>
  <mergeCells count="2">
    <mergeCell ref="A2:M2"/>
    <mergeCell ref="A1:M1"/>
  </mergeCell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fitToPage="1"/>
  </sheetPr>
  <dimension ref="A1:G55"/>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2" customWidth="1" style="81" min="1" max="1"/>
    <col width="19" customWidth="1" style="81" min="2" max="2"/>
    <col width="19" customWidth="1" style="81" min="3" max="3"/>
    <col width="100" customWidth="1" style="81" min="4" max="4"/>
    <col width="31" customWidth="1" style="81" min="5" max="5"/>
    <col width="11" customWidth="1" style="81" min="6" max="6"/>
    <col width="22" customWidth="1" style="81" min="7" max="7"/>
  </cols>
  <sheetData>
    <row r="1" ht="34" customHeight="1" s="81">
      <c r="A1" s="91" t="inlineStr">
        <is>
          <t>V4 | QUY TẮC ĐÃ CHUẨN HÓA</t>
        </is>
      </c>
    </row>
    <row r="2" ht="28" customHeight="1" s="81">
      <c r="A2" s="92" t="inlineStr">
        <is>
          <t>Giữ nguyên toàn bộ 117 câu trả lời tab 01. Các mục “Đã chốt mới” phản ánh quyết định của người dùng sau khi điền Excel.</t>
        </is>
      </c>
    </row>
    <row r="4" ht="33" customHeight="1" s="81">
      <c r="A4" s="93" t="inlineStr">
        <is>
          <t>Mã</t>
        </is>
      </c>
      <c r="B4" s="93" t="inlineStr">
        <is>
          <t>Phân hệ</t>
        </is>
      </c>
      <c r="C4" s="93" t="inlineStr">
        <is>
          <t>Trạng thái</t>
        </is>
      </c>
      <c r="D4" s="93" t="inlineStr">
        <is>
          <t>Quy tắc / mô tả chính thức</t>
        </is>
      </c>
      <c r="E4" s="93" t="inlineStr">
        <is>
          <t>Căn cứ</t>
        </is>
      </c>
      <c r="F4" s="93" t="inlineStr">
        <is>
          <t>Ưu tiên</t>
        </is>
      </c>
      <c r="G4" s="93" t="inlineStr">
        <is>
          <t>Phạm vi</t>
        </is>
      </c>
    </row>
    <row r="5" ht="51" customHeight="1" s="81">
      <c r="A5" s="94" t="inlineStr">
        <is>
          <t>BG-01</t>
        </is>
      </c>
      <c r="B5" s="95" t="inlineStr">
        <is>
          <t>Phạm vi</t>
        </is>
      </c>
      <c r="C5" s="95" t="inlineStr">
        <is>
          <t>Đã chốt</t>
        </is>
      </c>
      <c r="D5" s="95" t="inlineStr">
        <is>
          <t>Website + PWA thay AppSheet sau UAT và chuyển dữ liệu; triển khai cả cổng, container, điện, thu tiền, báo cáo.</t>
        </is>
      </c>
      <c r="E5" s="95" t="inlineStr">
        <is>
          <t>Trao đổi; U02</t>
        </is>
      </c>
      <c r="F5" s="95" t="inlineStr">
        <is>
          <t>P0</t>
        </is>
      </c>
      <c r="G5" s="95" t="inlineStr">
        <is>
          <t>V1</t>
        </is>
      </c>
    </row>
    <row r="6" ht="51" customHeight="1" s="81">
      <c r="A6" s="96" t="inlineStr">
        <is>
          <t>BG-02</t>
        </is>
      </c>
      <c r="B6" s="97" t="inlineStr">
        <is>
          <t>Tên gọi</t>
        </is>
      </c>
      <c r="C6" s="97" t="inlineStr">
        <is>
          <t>Đã chốt</t>
        </is>
      </c>
      <c r="D6" s="97" t="inlineStr">
        <is>
          <t>Sử dụng thuật ngữ “Phần mềm quản lý bến bãi/cảng cạn” trong đặc tả CNTT.</t>
        </is>
      </c>
      <c r="E6" s="97" t="inlineStr">
        <is>
          <t>Quy định TLQM</t>
        </is>
      </c>
      <c r="F6" s="97" t="inlineStr">
        <is>
          <t>P1</t>
        </is>
      </c>
      <c r="G6" s="97" t="inlineStr">
        <is>
          <t>V1</t>
        </is>
      </c>
    </row>
    <row r="7" ht="51" customHeight="1" s="81">
      <c r="A7" s="94" t="inlineStr">
        <is>
          <t>GT-01</t>
        </is>
      </c>
      <c r="B7" s="95" t="inlineStr">
        <is>
          <t>Cổng vào</t>
        </is>
      </c>
      <c r="C7" s="95" t="inlineStr">
        <is>
          <t>Đã chốt</t>
        </is>
      </c>
      <c r="D7" s="95" t="inlineStr">
        <is>
          <t>An ninh ghi nhận lượt xe vào, loại xe, biển số theo yêu cầu loại xe, container kéo theo và GIO_VAO.</t>
        </is>
      </c>
      <c r="E7" s="95" t="inlineStr">
        <is>
          <t>V09,V10, trao đổi</t>
        </is>
      </c>
      <c r="F7" s="95" t="inlineStr">
        <is>
          <t>P0</t>
        </is>
      </c>
      <c r="G7" s="95" t="inlineStr">
        <is>
          <t>V1</t>
        </is>
      </c>
    </row>
    <row r="8" ht="51" customHeight="1" s="81">
      <c r="A8" s="96" t="inlineStr">
        <is>
          <t>GT-02</t>
        </is>
      </c>
      <c r="B8" s="97" t="inlineStr">
        <is>
          <t>Vé xe</t>
        </is>
      </c>
      <c r="C8" s="97" t="inlineStr">
        <is>
          <t>Đã chốt</t>
        </is>
      </c>
      <c r="D8" s="97" t="inlineStr">
        <is>
          <t>Xe container thu vé 250.000đ khi vào; đầu kéo không container 0đ; đầu kéo 0đ vào rồi ra kéo container KHÔNG thu bổ sung 250.000đ.</t>
        </is>
      </c>
      <c r="E8" s="97" t="inlineStr">
        <is>
          <t>PRICE_LIST,V01,V03</t>
        </is>
      </c>
      <c r="F8" s="97" t="inlineStr">
        <is>
          <t>P0</t>
        </is>
      </c>
      <c r="G8" s="97" t="inlineStr">
        <is>
          <t>V1</t>
        </is>
      </c>
    </row>
    <row r="9" ht="51" customHeight="1" s="81">
      <c r="A9" s="94" t="inlineStr">
        <is>
          <t>GT-03</t>
        </is>
      </c>
      <c r="B9" s="95" t="inlineStr">
        <is>
          <t>Vé xe</t>
        </is>
      </c>
      <c r="C9" s="95" t="inlineStr">
        <is>
          <t>Đã chốt</t>
        </is>
      </c>
      <c r="D9" s="95" t="inlineStr">
        <is>
          <t>Các mã/giá khác giữ PRICE_LIST gốc: bo 4 chân 200k, bo 3 chân 200k, bo 8 tấn/2 chân 100k, bo ba bánh 40k, xe sang tải 0đ.</t>
        </is>
      </c>
      <c r="E9" s="95" t="inlineStr">
        <is>
          <t>PRICE_LIST</t>
        </is>
      </c>
      <c r="F9" s="95" t="inlineStr">
        <is>
          <t>P0</t>
        </is>
      </c>
      <c r="G9" s="95" t="inlineStr">
        <is>
          <t>V1</t>
        </is>
      </c>
    </row>
    <row r="10" ht="51" customHeight="1" s="81">
      <c r="A10" s="96" t="inlineStr">
        <is>
          <t>GT-04</t>
        </is>
      </c>
      <c r="B10" s="97" t="inlineStr">
        <is>
          <t>Kiểm soát</t>
        </is>
      </c>
      <c r="C10" s="97" t="inlineStr">
        <is>
          <t>Đã chốt</t>
        </is>
      </c>
      <c r="D10" s="97" t="inlineStr">
        <is>
          <t>Mặc định An ninh thu vé lúc xe vào, có trường hợp hiếm thu sau; khi thu sau phải để trạng thái Chưa thu.</t>
        </is>
      </c>
      <c r="E10" s="97" t="inlineStr">
        <is>
          <t>V02,T03</t>
        </is>
      </c>
      <c r="F10" s="97" t="inlineStr">
        <is>
          <t>P0</t>
        </is>
      </c>
      <c r="G10" s="97" t="inlineStr">
        <is>
          <t>V1</t>
        </is>
      </c>
    </row>
    <row r="11" ht="51" customHeight="1" s="81">
      <c r="A11" s="94" t="inlineStr">
        <is>
          <t>GT-05</t>
        </is>
      </c>
      <c r="B11" s="95" t="inlineStr">
        <is>
          <t>Nhận diện</t>
        </is>
      </c>
      <c r="C11" s="95" t="inlineStr">
        <is>
          <t>Đã chốt</t>
        </is>
      </c>
      <c r="D11" s="95" t="inlineStr">
        <is>
          <t>Xe bo ba bánh không bắt buộc biển số, tạo ID lượt/mã vé để tìm khi ra; xe không kéo cont không cần số container.</t>
        </is>
      </c>
      <c r="E11" s="95" t="inlineStr">
        <is>
          <t>V04, trao đổi</t>
        </is>
      </c>
      <c r="F11" s="95" t="inlineStr">
        <is>
          <t>P1</t>
        </is>
      </c>
      <c r="G11" s="95" t="inlineStr">
        <is>
          <t>V1</t>
        </is>
      </c>
    </row>
    <row r="12" ht="51" customHeight="1" s="81">
      <c r="A12" s="96" t="inlineStr">
        <is>
          <t>GT-06</t>
        </is>
      </c>
      <c r="B12" s="97" t="inlineStr">
        <is>
          <t>Vé giấy</t>
        </is>
      </c>
      <c r="C12" s="97" t="inlineStr">
        <is>
          <t>Đã chốt</t>
        </is>
      </c>
      <c r="D12" s="97" t="inlineStr">
        <is>
          <t>Duy trì vé giấy hai liên; mất liên 02 phát sinh khoản phạt 250.000đ riêng. Việc in vé từ PWA làm giai đoạn sau.</t>
        </is>
      </c>
      <c r="E12" s="97" t="inlineStr">
        <is>
          <t>V05,V06,T05</t>
        </is>
      </c>
      <c r="F12" s="97" t="inlineStr">
        <is>
          <t>P1</t>
        </is>
      </c>
      <c r="G12" s="97" t="inlineStr">
        <is>
          <t>V1</t>
        </is>
      </c>
    </row>
    <row r="13" ht="51" customHeight="1" s="81">
      <c r="A13" s="94" t="inlineStr">
        <is>
          <t>GT-07</t>
        </is>
      </c>
      <c r="B13" s="95" t="inlineStr">
        <is>
          <t>Lượt xe</t>
        </is>
      </c>
      <c r="C13" s="95" t="inlineStr">
        <is>
          <t>Đã chốt</t>
        </is>
      </c>
      <c r="D13" s="95" t="inlineStr">
        <is>
          <t>Mỗi lượt xe hiện chỉ mang tối đa 01 container; lượt xe và lượt container độc lập, xe đưa vào có thể khác xe kéo ra.</t>
        </is>
      </c>
      <c r="E13" s="95" t="inlineStr">
        <is>
          <t>V10,D03</t>
        </is>
      </c>
      <c r="F13" s="95" t="inlineStr">
        <is>
          <t>P0</t>
        </is>
      </c>
      <c r="G13" s="95" t="inlineStr">
        <is>
          <t>V1</t>
        </is>
      </c>
    </row>
    <row r="14" ht="51" customHeight="1" s="81">
      <c r="A14" s="96" t="inlineStr">
        <is>
          <t>GT-08</t>
        </is>
      </c>
      <c r="B14" s="97" t="inlineStr">
        <is>
          <t>Số container</t>
        </is>
      </c>
      <c r="C14" s="97" t="inlineStr">
        <is>
          <t>Đã chốt</t>
        </is>
      </c>
      <c r="D14" s="97" t="inlineStr">
        <is>
          <t>Có kéo container thì nhập số cont; tìm theo đủ mã, 7 số cuối; gợi ý mã gần giống nhưng người dùng xác nhận ghép.</t>
        </is>
      </c>
      <c r="E14" s="97" t="inlineStr">
        <is>
          <t>V09,PR04,SC07</t>
        </is>
      </c>
      <c r="F14" s="97" t="inlineStr">
        <is>
          <t>P0</t>
        </is>
      </c>
      <c r="G14" s="97" t="inlineStr">
        <is>
          <t>V1</t>
        </is>
      </c>
    </row>
    <row r="15" ht="51" customHeight="1" s="81">
      <c r="A15" s="94" t="inlineStr">
        <is>
          <t>GT-09</t>
        </is>
      </c>
      <c r="B15" s="95" t="inlineStr">
        <is>
          <t>Xuất xe</t>
        </is>
      </c>
      <c r="C15" s="95" t="inlineStr">
        <is>
          <t>Đã chốt</t>
        </is>
      </c>
      <c r="D15" s="95" t="inlineStr">
        <is>
          <t>Xe ra không kéo cont không đòi CCKB phê duyệt tài chính riêng cho lượt xe; An ninh ghi xe ra.</t>
        </is>
      </c>
      <c r="E15" s="95" t="inlineStr">
        <is>
          <t>T10,V11</t>
        </is>
      </c>
      <c r="F15" s="95" t="inlineStr">
        <is>
          <t>P0</t>
        </is>
      </c>
      <c r="G15" s="95" t="inlineStr">
        <is>
          <t>V1</t>
        </is>
      </c>
    </row>
    <row r="16" ht="51" customHeight="1" s="81">
      <c r="A16" s="96" t="inlineStr">
        <is>
          <t>GT-10</t>
        </is>
      </c>
      <c r="B16" s="97" t="inlineStr">
        <is>
          <t>Xuất cont</t>
        </is>
      </c>
      <c r="C16" s="97" t="inlineStr">
        <is>
          <t>Đã chốt</t>
        </is>
      </c>
      <c r="D16" s="97" t="inlineStr">
        <is>
          <t>An ninh chọn đúng lượt container rời bãi khi xe ra kéo cont, ghi GIO_CONT_RA thực tế.</t>
        </is>
      </c>
      <c r="E16" s="97" t="inlineStr">
        <is>
          <t>D03,CNT01</t>
        </is>
      </c>
      <c r="F16" s="97" t="inlineStr">
        <is>
          <t>P0</t>
        </is>
      </c>
      <c r="G16" s="97" t="inlineStr">
        <is>
          <t>V1</t>
        </is>
      </c>
    </row>
    <row r="17" ht="51" customHeight="1" s="81">
      <c r="A17" s="94" t="inlineStr">
        <is>
          <t>CT-01</t>
        </is>
      </c>
      <c r="B17" s="95" t="inlineStr">
        <is>
          <t>Container</t>
        </is>
      </c>
      <c r="C17" s="95" t="inlineStr">
        <is>
          <t>Đã chốt</t>
        </is>
      </c>
      <c r="D17" s="95" t="inlineStr">
        <is>
          <t>Mỗi lượt container vào/ra lưu độc lập; cont còn trong bãi vẫn tính thời gian lưu, dù có hạ xuống hay ở trên xe.</t>
        </is>
      </c>
      <c r="E17" s="95" t="inlineStr">
        <is>
          <t>Trao đổi; L10</t>
        </is>
      </c>
      <c r="F17" s="95" t="inlineStr">
        <is>
          <t>P0</t>
        </is>
      </c>
      <c r="G17" s="95" t="inlineStr">
        <is>
          <t>V1</t>
        </is>
      </c>
    </row>
    <row r="18" ht="51" customHeight="1" s="81">
      <c r="A18" s="96" t="inlineStr">
        <is>
          <t>CT-02</t>
        </is>
      </c>
      <c r="B18" s="97" t="inlineStr">
        <is>
          <t>Phí lưu</t>
        </is>
      </c>
      <c r="C18" s="97" t="inlineStr">
        <is>
          <t>Đã chốt</t>
        </is>
      </c>
      <c r="D18" s="97" t="inlineStr">
        <is>
          <t>Phí lưu cont dựa duy nhất GIO_CONT_VAO -&gt; GIO_CONT_RA, chốt lúc cont ra thực tế; KHÔNG khóa/bảo lưu phí tại giờ CCKB duyệt hay rút điện.</t>
        </is>
      </c>
      <c r="E18" s="97" t="inlineStr">
        <is>
          <t>L04 [bị đính chính], T09, CNT01, quyết định cuối</t>
        </is>
      </c>
      <c r="F18" s="97" t="inlineStr">
        <is>
          <t>P0</t>
        </is>
      </c>
      <c r="G18" s="97" t="inlineStr">
        <is>
          <t>V1</t>
        </is>
      </c>
    </row>
    <row r="19" ht="51" customHeight="1" s="81">
      <c r="A19" s="94" t="inlineStr">
        <is>
          <t>CT-03</t>
        </is>
      </c>
      <c r="B19" s="95" t="inlineStr">
        <is>
          <t>Phí lưu</t>
        </is>
      </c>
      <c r="C19" s="95" t="inlineStr">
        <is>
          <t>Đã chốt</t>
        </is>
      </c>
      <c r="D19" s="95" t="inlineStr">
        <is>
          <t>100.000đ/container/đêm, miễn 01 đêm đầu; khung kỳ đêm 22:00–06:00. Vào trước 22 và còn lúc 22 tính kỳ đêm; vào sau 22 đến trước 06 ghi nhận kỳ đêm đầu.</t>
        </is>
      </c>
      <c r="E19" s="95" t="inlineStr">
        <is>
          <t>PRICE_LIST, L01-L03</t>
        </is>
      </c>
      <c r="F19" s="95" t="inlineStr">
        <is>
          <t>P0</t>
        </is>
      </c>
      <c r="G19" s="95" t="inlineStr">
        <is>
          <t>V1</t>
        </is>
      </c>
    </row>
    <row r="20" ht="51" customHeight="1" s="81">
      <c r="A20" s="96" t="inlineStr">
        <is>
          <t>CT-04</t>
        </is>
      </c>
      <c r="B20" s="97" t="inlineStr">
        <is>
          <t>Số đêm</t>
        </is>
      </c>
      <c r="C20" s="97" t="inlineStr">
        <is>
          <t>Đã chốt</t>
        </is>
      </c>
      <c r="D20" s="97" t="inlineStr">
        <is>
          <t>Container vào ra trong ngày chưa qua kỳ đêm hiển thị SO_DEM_LUU=1 (đêm miễn) theo L05, tiền lưu vẫn 0.</t>
        </is>
      </c>
      <c r="E20" s="97" t="inlineStr">
        <is>
          <t>L05</t>
        </is>
      </c>
      <c r="F20" s="97" t="inlineStr">
        <is>
          <t>P1</t>
        </is>
      </c>
      <c r="G20" s="97" t="inlineStr">
        <is>
          <t>V1</t>
        </is>
      </c>
    </row>
    <row r="21" ht="51" customHeight="1" s="81">
      <c r="A21" s="94" t="inlineStr">
        <is>
          <t>CT-05</t>
        </is>
      </c>
      <c r="B21" s="95" t="inlineStr">
        <is>
          <t>Tài chính lưu</t>
        </is>
      </c>
      <c r="C21" s="95" t="inlineStr">
        <is>
          <t>Đã chốt</t>
        </is>
      </c>
      <c r="D21" s="95" t="inlineStr">
        <is>
          <t>An ninh tính/chốt và thu tiền lưu cont ở bước ra; CCKB xác nhận điều kiện tài chính cho cont ra ở quy trình khác.</t>
        </is>
      </c>
      <c r="E21" s="95" t="inlineStr">
        <is>
          <t>CNT01,T09,trao đổi mới</t>
        </is>
      </c>
      <c r="F21" s="95" t="inlineStr">
        <is>
          <t>P0</t>
        </is>
      </c>
      <c r="G21" s="95" t="inlineStr">
        <is>
          <t>V1</t>
        </is>
      </c>
    </row>
    <row r="22" ht="51" customHeight="1" s="81">
      <c r="A22" s="96" t="inlineStr">
        <is>
          <t>CT-06</t>
        </is>
      </c>
      <c r="B22" s="97" t="inlineStr">
        <is>
          <t>Không trả trước</t>
        </is>
      </c>
      <c r="C22" s="97" t="inlineStr">
        <is>
          <t>Đã chốt</t>
        </is>
      </c>
      <c r="D22" s="97" t="inlineStr">
        <is>
          <t>Không thu trước một phần phí lưu khi container còn lưu trong bãi; tiền lưu phát sinh và chốt tại giờ ra.</t>
        </is>
      </c>
      <c r="E22" s="97" t="inlineStr">
        <is>
          <t>L08, quyết định cuối</t>
        </is>
      </c>
      <c r="F22" s="97" t="inlineStr">
        <is>
          <t>P0</t>
        </is>
      </c>
      <c r="G22" s="97" t="inlineStr">
        <is>
          <t>V1</t>
        </is>
      </c>
    </row>
    <row r="23" ht="51" customHeight="1" s="81">
      <c r="A23" s="94" t="inlineStr">
        <is>
          <t>CT-07</t>
        </is>
      </c>
      <c r="B23" s="95" t="inlineStr">
        <is>
          <t>Trạng thái hàng</t>
        </is>
      </c>
      <c r="C23" s="95" t="inlineStr">
        <is>
          <t>Đã chốt</t>
        </is>
      </c>
      <c r="D23" s="95" t="inlineStr">
        <is>
          <t>Điều phối quản lý HÀNG/RỖNG, có thể để trống lúc cont mới vào; việc xác định HÀNG/RỖNG không chặn tính phí lưu.</t>
        </is>
      </c>
      <c r="E23" s="95" t="inlineStr">
        <is>
          <t>D01,D02,L10</t>
        </is>
      </c>
      <c r="F23" s="95" t="inlineStr">
        <is>
          <t>P1</t>
        </is>
      </c>
      <c r="G23" s="95" t="inlineStr">
        <is>
          <t>V1</t>
        </is>
      </c>
    </row>
    <row r="24" ht="51" customHeight="1" s="81">
      <c r="A24" s="96" t="inlineStr">
        <is>
          <t>CD-01</t>
        </is>
      </c>
      <c r="B24" s="97" t="inlineStr">
        <is>
          <t>Điện dự kiến</t>
        </is>
      </c>
      <c r="C24" s="97" t="inlineStr">
        <is>
          <t>Đã chốt</t>
        </is>
      </c>
      <c r="D24" s="97" t="inlineStr">
        <is>
          <t>CCKB được tạo yêu cầu cắm điện trước khi container vào; một phiếu cho một cont và có thể chứa nhiều phiên cắm/rút.</t>
        </is>
      </c>
      <c r="E24" s="97" t="inlineStr">
        <is>
          <t>PR01,PR03</t>
        </is>
      </c>
      <c r="F24" s="97" t="inlineStr">
        <is>
          <t>P0</t>
        </is>
      </c>
      <c r="G24" s="97" t="inlineStr">
        <is>
          <t>V1</t>
        </is>
      </c>
    </row>
    <row r="25" ht="51" customHeight="1" s="81">
      <c r="A25" s="94" t="inlineStr">
        <is>
          <t>CD-02</t>
        </is>
      </c>
      <c r="B25" s="95" t="inlineStr">
        <is>
          <t>Điện dự kiến</t>
        </is>
      </c>
      <c r="C25" s="95" t="inlineStr">
        <is>
          <t>Đã chốt</t>
        </is>
      </c>
      <c r="D25" s="95" t="inlineStr">
        <is>
          <t>Bắt buộc số cont + khách hàng + loại yêu cầu trên phiếu dự kiến; chưa vào không có giờ vào thực, không tính phí lưu hay điện.</t>
        </is>
      </c>
      <c r="E25" s="95" t="inlineStr">
        <is>
          <t>PR05</t>
        </is>
      </c>
      <c r="F25" s="95" t="inlineStr">
        <is>
          <t>P0</t>
        </is>
      </c>
      <c r="G25" s="95" t="inlineStr">
        <is>
          <t>V1</t>
        </is>
      </c>
    </row>
    <row r="26" ht="51" customHeight="1" s="81">
      <c r="A26" s="96" t="inlineStr">
        <is>
          <t>CD-03</t>
        </is>
      </c>
      <c r="B26" s="97" t="inlineStr">
        <is>
          <t>Điện dự kiến</t>
        </is>
      </c>
      <c r="C26" s="97" t="inlineStr">
        <is>
          <t>Đã chốt</t>
        </is>
      </c>
      <c r="D26" s="97" t="inlineStr">
        <is>
          <t>Khi An ninh tạo lượt cont vào, PWA hiện yêu cầu dự kiến phù hợp; gợi ý trùng số đủ/7 số cuối/gần giống và người dùng xác nhận ghép.</t>
        </is>
      </c>
      <c r="E26" s="97" t="inlineStr">
        <is>
          <t>PR02,PR04,SC07</t>
        </is>
      </c>
      <c r="F26" s="97" t="inlineStr">
        <is>
          <t>P0</t>
        </is>
      </c>
      <c r="G26" s="97" t="inlineStr">
        <is>
          <t>V1</t>
        </is>
      </c>
    </row>
    <row r="27" ht="51" customHeight="1" s="81">
      <c r="A27" s="94" t="inlineStr">
        <is>
          <t>CD-04</t>
        </is>
      </c>
      <c r="B27" s="95" t="inlineStr">
        <is>
          <t>Điện dự kiến</t>
        </is>
      </c>
      <c r="C27" s="95" t="inlineStr">
        <is>
          <t>Đã chốt</t>
        </is>
      </c>
      <c r="D27" s="95" t="inlineStr">
        <is>
          <t>CCKB được sửa mã cont dự kiến và thông báo An ninh; yêu cầu hủy có lịch sử/hết hạn có cấu hình.</t>
        </is>
      </c>
      <c r="E27" s="95" t="inlineStr">
        <is>
          <t>PR06,PR07</t>
        </is>
      </c>
      <c r="F27" s="95" t="inlineStr">
        <is>
          <t>P1</t>
        </is>
      </c>
      <c r="G27" s="95" t="inlineStr">
        <is>
          <t>V1</t>
        </is>
      </c>
    </row>
    <row r="28" ht="51" customHeight="1" s="81">
      <c r="A28" s="96" t="inlineStr">
        <is>
          <t>CD-05</t>
        </is>
      </c>
      <c r="B28" s="97" t="inlineStr">
        <is>
          <t>Điện thực tế</t>
        </is>
      </c>
      <c r="C28" s="97" t="inlineStr">
        <is>
          <t>Đã chốt</t>
        </is>
      </c>
      <c r="D28" s="97" t="inlineStr">
        <is>
          <t>An ninh cắm/rút ngoài hiện trường, báo bằng nhóm Zalo/ảnh-video timestamp; CCKB nhập và được sửa GIO_CAM_THUC_TE/GIO_RUT_THUC_TE, kể cả nhập hồi tố.</t>
        </is>
      </c>
      <c r="E28" s="97" t="inlineStr">
        <is>
          <t>E01,E04,E05,trao đổi</t>
        </is>
      </c>
      <c r="F28" s="97" t="inlineStr">
        <is>
          <t>P0</t>
        </is>
      </c>
      <c r="G28" s="97" t="inlineStr">
        <is>
          <t>V1</t>
        </is>
      </c>
    </row>
    <row r="29" ht="51" customHeight="1" s="81">
      <c r="A29" s="94" t="inlineStr">
        <is>
          <t>CD-06</t>
        </is>
      </c>
      <c r="B29" s="95" t="inlineStr">
        <is>
          <t>Hình thức</t>
        </is>
      </c>
      <c r="C29" s="95" t="inlineStr">
        <is>
          <t>Đã chốt</t>
        </is>
      </c>
      <c r="D29" s="95" t="inlineStr">
        <is>
          <t>Theo giờ và Cắm liên tục đều 100.000đ/giờ; Theo giờ thường biết giờ rút dự kiến; Cắm liên tục chưa biết. Giờ dự kiến không bắt buộc.</t>
        </is>
      </c>
      <c r="E29" s="95" t="inlineStr">
        <is>
          <t>E03,trao đổi</t>
        </is>
      </c>
      <c r="F29" s="95" t="inlineStr">
        <is>
          <t>P0</t>
        </is>
      </c>
      <c r="G29" s="95" t="inlineStr">
        <is>
          <t>V1</t>
        </is>
      </c>
    </row>
    <row r="30" ht="51" customHeight="1" s="81">
      <c r="A30" s="96" t="inlineStr">
        <is>
          <t>CD-07</t>
        </is>
      </c>
      <c r="B30" s="97" t="inlineStr">
        <is>
          <t>Làm tròn</t>
        </is>
      </c>
      <c r="C30" s="97" t="inlineStr">
        <is>
          <t>Đã chốt mới</t>
        </is>
      </c>
      <c r="D30" s="97" t="inlineStr">
        <is>
          <t>PWA tự tính thời gian từng phiên từ giờ cắm/rút và làm tròn LÊN các mức 15 phút; E09/E10 lấy chính sách mới thay thói quen thủ công.</t>
        </is>
      </c>
      <c r="E30" s="97" t="inlineStr">
        <is>
          <t>Quyết định mới 11/10/2026,E09-E11</t>
        </is>
      </c>
      <c r="F30" s="97" t="inlineStr">
        <is>
          <t>P0</t>
        </is>
      </c>
      <c r="G30" s="97" t="inlineStr">
        <is>
          <t>V1</t>
        </is>
      </c>
    </row>
    <row r="31" ht="51" customHeight="1" s="81">
      <c r="A31" s="94" t="inlineStr">
        <is>
          <t>CD-08</t>
        </is>
      </c>
      <c r="B31" s="95" t="inlineStr">
        <is>
          <t>Điều chỉnh</t>
        </is>
      </c>
      <c r="C31" s="95" t="inlineStr">
        <is>
          <t>Đã chốt mới</t>
        </is>
      </c>
      <c r="D31" s="95" t="inlineStr">
        <is>
          <t>CCKB được chỉnh giờ thực tế hoặc thời lượng tính tiền, có lý do/audit; sau thu tiền NV đề nghị và TBP CCKB phê duyệt hoặc TBP sửa trực tiếp có audit, không ghi đè tiền đã thu.</t>
        </is>
      </c>
      <c r="E31" s="95" t="inlineStr">
        <is>
          <t>E06, P03,P04,quyết định mới</t>
        </is>
      </c>
      <c r="F31" s="95" t="inlineStr">
        <is>
          <t>P0</t>
        </is>
      </c>
      <c r="G31" s="95" t="inlineStr">
        <is>
          <t>V1</t>
        </is>
      </c>
    </row>
    <row r="32" ht="51" customHeight="1" s="81">
      <c r="A32" s="96" t="inlineStr">
        <is>
          <t>CD-09</t>
        </is>
      </c>
      <c r="B32" s="97" t="inlineStr">
        <is>
          <t>Nhiều phiên</t>
        </is>
      </c>
      <c r="C32" s="97" t="inlineStr">
        <is>
          <t>Đã chốt</t>
        </is>
      </c>
      <c r="D32" s="97" t="inlineStr">
        <is>
          <t>Một cont được có nhiều phiên cắm/rút nối tiếp; thời gian và làm tròn của mỗi phiên độc lập; không có 2 phiên đang cắm đồng thời.</t>
        </is>
      </c>
      <c r="E32" s="97" t="inlineStr">
        <is>
          <t>PR03,E11,E12</t>
        </is>
      </c>
      <c r="F32" s="97" t="inlineStr">
        <is>
          <t>P0</t>
        </is>
      </c>
      <c r="G32" s="97" t="inlineStr">
        <is>
          <t>V1</t>
        </is>
      </c>
    </row>
    <row r="33" ht="51" customHeight="1" s="81">
      <c r="A33" s="94" t="inlineStr">
        <is>
          <t>CD-10</t>
        </is>
      </c>
      <c r="B33" s="95" t="inlineStr">
        <is>
          <t>Thời điểm điện</t>
        </is>
      </c>
      <c r="C33" s="95" t="inlineStr">
        <is>
          <t>Đã chốt</t>
        </is>
      </c>
      <c r="D33" s="95" t="inlineStr">
        <is>
          <t>Chốt thời lượng và số tiền điện khi rút điện; CCKB có thể thu ngay hoặc gộp thu lúc cont xuất.</t>
        </is>
      </c>
      <c r="E33" s="95" t="inlineStr">
        <is>
          <t>Trao đổi phương án C</t>
        </is>
      </c>
      <c r="F33" s="95" t="inlineStr">
        <is>
          <t>P0</t>
        </is>
      </c>
      <c r="G33" s="95" t="inlineStr">
        <is>
          <t>V1</t>
        </is>
      </c>
    </row>
    <row r="34" ht="51" customHeight="1" s="81">
      <c r="A34" s="96" t="inlineStr">
        <is>
          <t>CD-11</t>
        </is>
      </c>
      <c r="B34" s="97" t="inlineStr">
        <is>
          <t>Ảnh video</t>
        </is>
      </c>
      <c r="C34" s="97" t="inlineStr">
        <is>
          <t>Đã chốt</t>
        </is>
      </c>
      <c r="D34" s="97" t="inlineStr">
        <is>
          <t>Có thể lưu ảnh/video hiện trường làm bằng chứng; với sửa cont khuyến khích bằng chứng, thiếu ghi lý do.</t>
        </is>
      </c>
      <c r="E34" s="97" t="inlineStr">
        <is>
          <t>E05,SC03</t>
        </is>
      </c>
      <c r="F34" s="97" t="inlineStr">
        <is>
          <t>P1</t>
        </is>
      </c>
      <c r="G34" s="97" t="inlineStr">
        <is>
          <t>V1</t>
        </is>
      </c>
    </row>
    <row r="35" ht="51" customHeight="1" s="81">
      <c r="A35" s="94" t="inlineStr">
        <is>
          <t>CD-12</t>
        </is>
      </c>
      <c r="B35" s="95" t="inlineStr">
        <is>
          <t>Bảng giá điện</t>
        </is>
      </c>
      <c r="C35" s="95" t="inlineStr">
        <is>
          <t>Đã chốt</t>
        </is>
      </c>
      <c r="D35" s="95" t="inlineStr">
        <is>
          <t>Hai mã giá độc lập: DIEN_CONT_GIO và DIEN_CONT_LIEN_TUC, hiện đều 100.000đ/giờ; giá quản lý cấu hình không sửa code; Quản trị được sửa giá (theo E15).</t>
        </is>
      </c>
      <c r="E35" s="95" t="inlineStr">
        <is>
          <t>E15,trao đổi</t>
        </is>
      </c>
      <c r="F35" s="95" t="inlineStr">
        <is>
          <t>P0</t>
        </is>
      </c>
      <c r="G35" s="95" t="inlineStr">
        <is>
          <t>V1</t>
        </is>
      </c>
    </row>
    <row r="36" ht="51" customHeight="1" s="81">
      <c r="A36" s="96" t="inlineStr">
        <is>
          <t>SC-01</t>
        </is>
      </c>
      <c r="B36" s="97" t="inlineStr">
        <is>
          <t>Sửa số cont</t>
        </is>
      </c>
      <c r="C36" s="97" t="inlineStr">
        <is>
          <t>Đã chốt</t>
        </is>
      </c>
      <c r="D36" s="97" t="inlineStr">
        <is>
          <t>An ninh được sửa cont sai dù do khách/CCKB/người hiện trường nhập nhầm; lưu số cũ/mới/người/giờ/lý do và thông báo CCKB trên PWA.</t>
        </is>
      </c>
      <c r="E36" s="97" t="inlineStr">
        <is>
          <t>SC01,SC04</t>
        </is>
      </c>
      <c r="F36" s="97" t="inlineStr">
        <is>
          <t>P0</t>
        </is>
      </c>
      <c r="G36" s="97" t="inlineStr">
        <is>
          <t>V1</t>
        </is>
      </c>
    </row>
    <row r="37" ht="51" customHeight="1" s="81">
      <c r="A37" s="94" t="inlineStr">
        <is>
          <t>SC-02</t>
        </is>
      </c>
      <c r="B37" s="95" t="inlineStr">
        <is>
          <t>Sửa số cont</t>
        </is>
      </c>
      <c r="C37" s="95" t="inlineStr">
        <is>
          <t>Đã chốt</t>
        </is>
      </c>
      <c r="D37" s="95" t="inlineStr">
        <is>
          <t>Sửa số cont sau cắm/rút hoặc đã thu: giữ nguyên giao dịch đã thu, CCKB đối soát lại; không tự tạo lại phí hoặc đổi ID lượt.</t>
        </is>
      </c>
      <c r="E37" s="95" t="inlineStr">
        <is>
          <t>SC02</t>
        </is>
      </c>
      <c r="F37" s="95" t="inlineStr">
        <is>
          <t>P0</t>
        </is>
      </c>
      <c r="G37" s="95" t="inlineStr">
        <is>
          <t>V1</t>
        </is>
      </c>
    </row>
    <row r="38" ht="51" customHeight="1" s="81">
      <c r="A38" s="96" t="inlineStr">
        <is>
          <t>SC-03</t>
        </is>
      </c>
      <c r="B38" s="97" t="inlineStr">
        <is>
          <t>Sửa số cont</t>
        </is>
      </c>
      <c r="C38" s="97" t="inlineStr">
        <is>
          <t>Đã chốt</t>
        </is>
      </c>
      <c r="D38" s="97" t="inlineStr">
        <is>
          <t>Cho sửa thành số trùng lượt cont khác đang trong bãi nhưng cảnh báo rõ, không tự ghép; sau duyệt tài chính chỉ cảnh báo, không tự chặn xuất.</t>
        </is>
      </c>
      <c r="E38" s="97" t="inlineStr">
        <is>
          <t>SC06,SC08</t>
        </is>
      </c>
      <c r="F38" s="97" t="inlineStr">
        <is>
          <t>P0</t>
        </is>
      </c>
      <c r="G38" s="97" t="inlineStr">
        <is>
          <t>V1</t>
        </is>
      </c>
    </row>
    <row r="39" ht="51" customHeight="1" s="81">
      <c r="A39" s="94" t="inlineStr">
        <is>
          <t>SC-04</t>
        </is>
      </c>
      <c r="B39" s="95" t="inlineStr">
        <is>
          <t>Sửa số cont</t>
        </is>
      </c>
      <c r="C39" s="95" t="inlineStr">
        <is>
          <t>Đã chốt</t>
        </is>
      </c>
      <c r="D39" s="95" t="inlineStr">
        <is>
          <t>Nếu số thực tế khác số dự kiến, được sửa số trên phiếu dự kiến và lưu lịch sử.</t>
        </is>
      </c>
      <c r="E39" s="95" t="inlineStr">
        <is>
          <t>SC05</t>
        </is>
      </c>
      <c r="F39" s="95" t="inlineStr">
        <is>
          <t>P0</t>
        </is>
      </c>
      <c r="G39" s="95" t="inlineStr">
        <is>
          <t>V1</t>
        </is>
      </c>
    </row>
    <row r="40" ht="51" customHeight="1" s="81">
      <c r="A40" s="96" t="inlineStr">
        <is>
          <t>TT-01</t>
        </is>
      </c>
      <c r="B40" s="97" t="inlineStr">
        <is>
          <t>Thu phí</t>
        </is>
      </c>
      <c r="C40" s="97" t="inlineStr">
        <is>
          <t>Đã chốt</t>
        </is>
      </c>
      <c r="D40" s="97" t="inlineStr">
        <is>
          <t>An ninh thu vé vào và phí lưu cont ra; CCKB quản lý/thu điện, kiểm soát tài chính container trước xuất.</t>
        </is>
      </c>
      <c r="E40" s="97" t="inlineStr">
        <is>
          <t>T03,CNT01,trao đổi mới</t>
        </is>
      </c>
      <c r="F40" s="97" t="inlineStr">
        <is>
          <t>P0</t>
        </is>
      </c>
      <c r="G40" s="97" t="inlineStr">
        <is>
          <t>V1</t>
        </is>
      </c>
    </row>
    <row r="41" ht="51" customHeight="1" s="81">
      <c r="A41" s="94" t="inlineStr">
        <is>
          <t>TT-02</t>
        </is>
      </c>
      <c r="B41" s="95" t="inlineStr">
        <is>
          <t>Thanh toán</t>
        </is>
      </c>
      <c r="C41" s="95" t="inlineStr">
        <is>
          <t>Đã chốt</t>
        </is>
      </c>
      <c r="D41" s="95" t="inlineStr">
        <is>
          <t>Điện có thể thanh toán từng phần, kết hợp tiền mặt/chuyển khoản và một lần thanh toán cho nhiều khoản/cont có phân bổ.</t>
        </is>
      </c>
      <c r="E41" s="95" t="inlineStr">
        <is>
          <t>T01,T02,T11</t>
        </is>
      </c>
      <c r="F41" s="95" t="inlineStr">
        <is>
          <t>P0</t>
        </is>
      </c>
      <c r="G41" s="95" t="inlineStr">
        <is>
          <t>V1</t>
        </is>
      </c>
    </row>
    <row r="42" ht="51" customHeight="1" s="81">
      <c r="A42" s="96" t="inlineStr">
        <is>
          <t>TT-03</t>
        </is>
      </c>
      <c r="B42" s="97" t="inlineStr">
        <is>
          <t>Ngoại lệ ra</t>
        </is>
      </c>
      <c r="C42" s="97" t="inlineStr">
        <is>
          <t>Đã chốt</t>
        </is>
      </c>
      <c r="D42" s="97" t="inlineStr">
        <is>
          <t>Nếu còn phí chưa thu CCKB NV có thể xác nhận cho cont ra bằng tay, bắt buộc lý do/cảnh báo và giữ công nợ.</t>
        </is>
      </c>
      <c r="E42" s="97" t="inlineStr">
        <is>
          <t>T08,OUT01</t>
        </is>
      </c>
      <c r="F42" s="97" t="inlineStr">
        <is>
          <t>P0</t>
        </is>
      </c>
      <c r="G42" s="97" t="inlineStr">
        <is>
          <t>V1</t>
        </is>
      </c>
    </row>
    <row r="43" ht="51" customHeight="1" s="81">
      <c r="A43" s="94" t="inlineStr">
        <is>
          <t>TT-04</t>
        </is>
      </c>
      <c r="B43" s="95" t="inlineStr">
        <is>
          <t>Giao dịch</t>
        </is>
      </c>
      <c r="C43" s="95" t="inlineStr">
        <is>
          <t>Đã chốt</t>
        </is>
      </c>
      <c r="D43" s="95" t="inlineStr">
        <is>
          <t>Phạt mất vé 250.000đ là khoản phí riêng, không âm thầm gộp; giao dịch thu được truy ra người/giờ/nguồn.</t>
        </is>
      </c>
      <c r="E43" s="95" t="inlineStr">
        <is>
          <t>V06,T05</t>
        </is>
      </c>
      <c r="F43" s="95" t="inlineStr">
        <is>
          <t>P1</t>
        </is>
      </c>
      <c r="G43" s="95" t="inlineStr">
        <is>
          <t>V1</t>
        </is>
      </c>
    </row>
    <row r="44" ht="51" customHeight="1" s="81">
      <c r="A44" s="96" t="inlineStr">
        <is>
          <t>TT-05</t>
        </is>
      </c>
      <c r="B44" s="97" t="inlineStr">
        <is>
          <t>Đối soát</t>
        </is>
      </c>
      <c r="C44" s="97" t="inlineStr">
        <is>
          <t>Đã chốt</t>
        </is>
      </c>
      <c r="D44" s="97" t="inlineStr">
        <is>
          <t>Báo cáo doanh thu theo cá nhân/ca và nhiều chiều; ca An ninh có thể là 06–18 nhưng giờ chốt doanh thu có thể khác ca thực tế.</t>
        </is>
      </c>
      <c r="E44" s="97" t="inlineStr">
        <is>
          <t>T14,R01</t>
        </is>
      </c>
      <c r="F44" s="97" t="inlineStr">
        <is>
          <t>P1</t>
        </is>
      </c>
      <c r="G44" s="97" t="inlineStr">
        <is>
          <t>V1</t>
        </is>
      </c>
    </row>
    <row r="45" ht="51" customHeight="1" s="81">
      <c r="A45" s="94" t="inlineStr">
        <is>
          <t>PQ-01</t>
        </is>
      </c>
      <c r="B45" s="95" t="inlineStr">
        <is>
          <t>Bộ phận</t>
        </is>
      </c>
      <c r="C45" s="95" t="inlineStr">
        <is>
          <t>Đã chốt</t>
        </is>
      </c>
      <c r="D45" s="95" t="inlineStr">
        <is>
          <t>Vai trò NV/TBP An ninh, NV/TBP CCKB, NV/TBP Điều phối, Quản trị; vai trò Kế toán được đề cập để mở rộng phạm vi sau.</t>
        </is>
      </c>
      <c r="E45" s="95" t="inlineStr">
        <is>
          <t>P01,P07,INV01</t>
        </is>
      </c>
      <c r="F45" s="95" t="inlineStr">
        <is>
          <t>P0</t>
        </is>
      </c>
      <c r="G45" s="95" t="inlineStr">
        <is>
          <t>V1 + kế toán giai đoạn sau</t>
        </is>
      </c>
    </row>
    <row r="46" ht="51" customHeight="1" s="81">
      <c r="A46" s="96" t="inlineStr">
        <is>
          <t>PQ-02</t>
        </is>
      </c>
      <c r="B46" s="97" t="inlineStr">
        <is>
          <t>Phê duyệt</t>
        </is>
      </c>
      <c r="C46" s="97" t="inlineStr">
        <is>
          <t>Đã chốt</t>
        </is>
      </c>
      <c r="D46" s="97" t="inlineStr">
        <is>
          <t>TBP An ninh được sửa thời điểm xe và thao tác thay NV có audit; TBP CCKB xử lý ngoại lệ theo quyền và có audit.</t>
        </is>
      </c>
      <c r="E46" s="97" t="inlineStr">
        <is>
          <t>P02,P03</t>
        </is>
      </c>
      <c r="F46" s="97" t="inlineStr">
        <is>
          <t>P0</t>
        </is>
      </c>
      <c r="G46" s="97" t="inlineStr">
        <is>
          <t>V1</t>
        </is>
      </c>
    </row>
    <row r="47" ht="51" customHeight="1" s="81">
      <c r="A47" s="94" t="inlineStr">
        <is>
          <t>PQ-03</t>
        </is>
      </c>
      <c r="B47" s="95" t="inlineStr">
        <is>
          <t>Đăng nhập</t>
        </is>
      </c>
      <c r="C47" s="95" t="inlineStr">
        <is>
          <t>Đã chốt</t>
        </is>
      </c>
      <c r="D47" s="95" t="inlineStr">
        <is>
          <t>Giai đoạn đầu CCKB dùng tài khoản cá nhân; bốt An ninh dùng thiết bị/tài khoản vận hành cần gắn người thao tác để có audit, phân quyền ca phát triển sau.</t>
        </is>
      </c>
      <c r="E47" s="95" t="inlineStr">
        <is>
          <t>P07,P08</t>
        </is>
      </c>
      <c r="F47" s="95" t="inlineStr">
        <is>
          <t>P0</t>
        </is>
      </c>
      <c r="G47" s="95" t="inlineStr">
        <is>
          <t>V1</t>
        </is>
      </c>
    </row>
    <row r="48" ht="51" customHeight="1" s="81">
      <c r="A48" s="96" t="inlineStr">
        <is>
          <t>BC-01</t>
        </is>
      </c>
      <c r="B48" s="97" t="inlineStr">
        <is>
          <t>Báo cáo</t>
        </is>
      </c>
      <c r="C48" s="97" t="inlineStr">
        <is>
          <t>Đã chốt</t>
        </is>
      </c>
      <c r="D48" s="97" t="inlineStr">
        <is>
          <t>Dashboard xe/cont trong bãi, điện đang cắm, doanh thu, nợ; báo cáo theo ca/nhân viên/bộ phận/ngày/tháng, xuất Excel.</t>
        </is>
      </c>
      <c r="E48" s="97" t="inlineStr">
        <is>
          <t>R01,R03,R05</t>
        </is>
      </c>
      <c r="F48" s="97" t="inlineStr">
        <is>
          <t>P1</t>
        </is>
      </c>
      <c r="G48" s="97" t="inlineStr">
        <is>
          <t>V1</t>
        </is>
      </c>
    </row>
    <row r="49" ht="51" customHeight="1" s="81">
      <c r="A49" s="94" t="inlineStr">
        <is>
          <t>BC-02</t>
        </is>
      </c>
      <c r="B49" s="95" t="inlineStr">
        <is>
          <t>Hóa đơn</t>
        </is>
      </c>
      <c r="C49" s="95" t="inlineStr">
        <is>
          <t>Đã chốt</t>
        </is>
      </c>
      <c r="D49" s="95" t="inlineStr">
        <is>
          <t>Giai đoạn đầu chỉ lưu cờ Cần hóa đơn và dữ liệu khách hàng/hóa đơn; Kế toán có nhiệm vụ sau, KHÔNG tích hợp phát hành hóa đơn trong V1.</t>
        </is>
      </c>
      <c r="E49" s="95" t="inlineStr">
        <is>
          <t>T12,INV01,INV02</t>
        </is>
      </c>
      <c r="F49" s="95" t="inlineStr">
        <is>
          <t>P1</t>
        </is>
      </c>
      <c r="G49" s="95" t="inlineStr">
        <is>
          <t>V1 lưu dữ liệu</t>
        </is>
      </c>
    </row>
    <row r="50" ht="51" customHeight="1" s="81">
      <c r="A50" s="96" t="inlineStr">
        <is>
          <t>CN-01</t>
        </is>
      </c>
      <c r="B50" s="97" t="inlineStr">
        <is>
          <t>Hạ tầng</t>
        </is>
      </c>
      <c r="C50" s="97" t="inlineStr">
        <is>
          <t>Đã chốt định hướng</t>
        </is>
      </c>
      <c r="D50" s="97" t="inlineStr">
        <is>
          <t>Ưu tiên Next.js + PostgreSQL/Supabase, Vercel, subdomain công ty hoặc Vercel free; chi phí thực tế cần kiểm tra hạn mức trước vận hành.</t>
        </is>
      </c>
      <c r="E50" s="97" t="inlineStr">
        <is>
          <t>K01,K02</t>
        </is>
      </c>
      <c r="F50" s="97" t="inlineStr">
        <is>
          <t>P0</t>
        </is>
      </c>
      <c r="G50" s="97" t="inlineStr">
        <is>
          <t>V1</t>
        </is>
      </c>
    </row>
    <row r="51" ht="51" customHeight="1" s="81">
      <c r="A51" s="94" t="inlineStr">
        <is>
          <t>CN-02</t>
        </is>
      </c>
      <c r="B51" s="95" t="inlineStr">
        <is>
          <t>Mất mạng</t>
        </is>
      </c>
      <c r="C51" s="95" t="inlineStr">
        <is>
          <t>Đã chốt</t>
        </is>
      </c>
      <c r="D51" s="95" t="inlineStr">
        <is>
          <t>Offline cho phép nhập nháp và đợi đồng bộ; không được tự hoàn tất xuất xe/container chưa xác minh trạng thái máy chủ.</t>
        </is>
      </c>
      <c r="E51" s="95" t="inlineStr">
        <is>
          <t>K03</t>
        </is>
      </c>
      <c r="F51" s="95" t="inlineStr">
        <is>
          <t>P0</t>
        </is>
      </c>
      <c r="G51" s="95" t="inlineStr">
        <is>
          <t>V1</t>
        </is>
      </c>
    </row>
    <row r="52" ht="51" customHeight="1" s="81">
      <c r="A52" s="96" t="inlineStr">
        <is>
          <t>CN-03</t>
        </is>
      </c>
      <c r="B52" s="97" t="inlineStr">
        <is>
          <t>Kiểm soát</t>
        </is>
      </c>
      <c r="C52" s="97" t="inlineStr">
        <is>
          <t>Đã chốt</t>
        </is>
      </c>
      <c r="D52" s="97" t="inlineStr">
        <is>
          <t>Phân môi trường test/production, audit, sao lưu hằng ngày, vận hành bằng điện thoại và PC.</t>
        </is>
      </c>
      <c r="E52" s="97" t="inlineStr">
        <is>
          <t>K04,K07,K08</t>
        </is>
      </c>
      <c r="F52" s="97" t="inlineStr">
        <is>
          <t>P0</t>
        </is>
      </c>
      <c r="G52" s="97" t="inlineStr">
        <is>
          <t>V1</t>
        </is>
      </c>
    </row>
    <row r="53" ht="51" customHeight="1" s="81">
      <c r="A53" s="94" t="inlineStr">
        <is>
          <t>DL-01</t>
        </is>
      </c>
      <c r="B53" s="95" t="inlineStr">
        <is>
          <t>Chuyển đổi</t>
        </is>
      </c>
      <c r="C53" s="95" t="inlineStr">
        <is>
          <t>Đã chốt</t>
        </is>
      </c>
      <c r="D53" s="95" t="inlineStr">
        <is>
          <t>Chuyển toàn bộ VEHICLE/CONTAINER AppSheet sau UAT; giữ ID cũ và nguồn gốc; nhập các phiên điện tồn nếu có.</t>
        </is>
      </c>
      <c r="E53" s="95" t="inlineStr">
        <is>
          <t>M01,M02,M05,M08</t>
        </is>
      </c>
      <c r="F53" s="95" t="inlineStr">
        <is>
          <t>P0</t>
        </is>
      </c>
      <c r="G53" s="95" t="inlineStr">
        <is>
          <t>V1</t>
        </is>
      </c>
    </row>
    <row r="54" ht="51" customHeight="1" s="81">
      <c r="A54" s="96" t="inlineStr">
        <is>
          <t>DL-02</t>
        </is>
      </c>
      <c r="B54" s="97" t="inlineStr">
        <is>
          <t>Dữ liệu cũ</t>
        </is>
      </c>
      <c r="C54" s="97" t="inlineStr">
        <is>
          <t>Đã chốt</t>
        </is>
      </c>
      <c r="D54" s="97" t="inlineStr">
        <is>
          <t>Dữ liệu lịch sử đang sai/trống giờ ra và tiền chưa đáng tin: không tự kết luận công nợ; Quản trị cấp cao được sửa qua giao diện có audit, không trực tiếp sửa DB.</t>
        </is>
      </c>
      <c r="E54" s="97" t="inlineStr">
        <is>
          <t>M03,M04,trao đổi</t>
        </is>
      </c>
      <c r="F54" s="97" t="inlineStr">
        <is>
          <t>P0</t>
        </is>
      </c>
      <c r="G54" s="97" t="inlineStr">
        <is>
          <t>V1</t>
        </is>
      </c>
    </row>
    <row r="55" ht="51" customHeight="1" s="81">
      <c r="A55" s="94" t="inlineStr">
        <is>
          <t>DL-03</t>
        </is>
      </c>
      <c r="B55" s="95" t="inlineStr">
        <is>
          <t>Chuyển đổi</t>
        </is>
      </c>
      <c r="C55" s="95" t="inlineStr">
        <is>
          <t>Đã chốt</t>
        </is>
      </c>
      <c r="D55" s="95" t="inlineStr">
        <is>
          <t>Tạo tài khoản đăng nhập mới, map role theo chức năng; ngừng AppSheet sau UAT, có phương án vận hành giấy khi có sự cố.</t>
        </is>
      </c>
      <c r="E55" s="95" t="inlineStr">
        <is>
          <t>M06,U02,U03</t>
        </is>
      </c>
      <c r="F55" s="95" t="inlineStr">
        <is>
          <t>P0</t>
        </is>
      </c>
      <c r="G55" s="95" t="inlineStr">
        <is>
          <t>V1</t>
        </is>
      </c>
    </row>
  </sheetData>
  <autoFilter ref="A4:G55"/>
  <mergeCells count="2">
    <mergeCell ref="A2:G2"/>
    <mergeCell ref="A1:G1"/>
  </mergeCells>
  <printOptions horizontalCentered="1"/>
  <pageMargins left="0.25" right="0.25" top="1" bottom="1" header="0.5" footer="0.5"/>
  <pageSetup orientation="landscape" fitToWidth="1"/>
</worksheet>
</file>

<file path=xl/worksheets/sheet15.xml><?xml version="1.0" encoding="utf-8"?>
<worksheet xmlns="http://schemas.openxmlformats.org/spreadsheetml/2006/main">
  <sheetPr>
    <outlinePr summaryBelow="1" summaryRight="1"/>
    <pageSetUpPr fitToPage="1"/>
  </sheetPr>
  <dimension ref="A1:H48"/>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12" customWidth="1" style="81" min="1" max="1"/>
    <col width="16" customWidth="1" style="81" min="2" max="2"/>
    <col width="58" customWidth="1" style="81" min="3" max="3"/>
    <col width="99" customWidth="1" style="81" min="4" max="4"/>
    <col width="24" customWidth="1" style="81" min="5" max="5"/>
    <col width="15" customWidth="1" style="81" min="6" max="6"/>
    <col width="37" customWidth="1" style="81" min="7" max="7"/>
    <col width="24" customWidth="1" style="81" min="8" max="8"/>
  </cols>
  <sheetData>
    <row r="1" ht="34" customHeight="1" s="81">
      <c r="A1" s="91" t="inlineStr">
        <is>
          <t>V4 | TÌNH HUỐNG NGHIỆM THU</t>
        </is>
      </c>
    </row>
    <row r="2" ht="28" customHeight="1" s="81">
      <c r="A2" s="92" t="inlineStr">
        <is>
          <t>Tình huống minh họa nghiệp vụ đã chốt. Ô vàng cho người rà soát ghi kết quả chạy thử, không bắt buộc điền trước lập đặc tả.</t>
        </is>
      </c>
    </row>
    <row r="4" ht="33" customHeight="1" s="81">
      <c r="A4" s="93" t="inlineStr">
        <is>
          <t>Mã</t>
        </is>
      </c>
      <c r="B4" s="93" t="inlineStr">
        <is>
          <t>Nhóm</t>
        </is>
      </c>
      <c r="C4" s="93" t="inlineStr">
        <is>
          <t>Tình huống</t>
        </is>
      </c>
      <c r="D4" s="93" t="inlineStr">
        <is>
          <t>Kết quả hệ thống cần đạt</t>
        </is>
      </c>
      <c r="E4" s="93" t="inlineStr">
        <is>
          <t>Tham chiếu quy tắc</t>
        </is>
      </c>
      <c r="F4" s="93" t="inlineStr">
        <is>
          <t>Mức ưu tiên</t>
        </is>
      </c>
      <c r="G4" s="93" t="inlineStr">
        <is>
          <t>Kết quả chạy thử (điền)</t>
        </is>
      </c>
      <c r="H4" s="93" t="inlineStr">
        <is>
          <t>Trạng thái kiểm thử (điền)</t>
        </is>
      </c>
    </row>
    <row r="5" ht="51" customHeight="1" s="81">
      <c r="A5" s="94" t="inlineStr">
        <is>
          <t>UAT01</t>
        </is>
      </c>
      <c r="B5" s="95" t="inlineStr">
        <is>
          <t>Vé</t>
        </is>
      </c>
      <c r="C5" s="95" t="inlineStr">
        <is>
          <t>CONT_LANH vào kéo cont A</t>
        </is>
      </c>
      <c r="D5" s="95" t="inlineStr">
        <is>
          <t>Vé 250k; tạo lượt xe và cont liên kết; bắt buộc số cont</t>
        </is>
      </c>
      <c r="E5" s="95" t="inlineStr">
        <is>
          <t>GT-01,GT-02</t>
        </is>
      </c>
      <c r="F5" s="95" t="inlineStr">
        <is>
          <t>P0</t>
        </is>
      </c>
      <c r="G5" s="98" t="inlineStr"/>
      <c r="H5" s="98" t="inlineStr">
        <is>
          <t>Chưa kiểm thử</t>
        </is>
      </c>
    </row>
    <row r="6" ht="51" customHeight="1" s="81">
      <c r="A6" s="96" t="inlineStr">
        <is>
          <t>UAT02</t>
        </is>
      </c>
      <c r="B6" s="97" t="inlineStr">
        <is>
          <t>Vé</t>
        </is>
      </c>
      <c r="C6" s="97" t="inlineStr">
        <is>
          <t>Đầu kéo vào không cont sau đó kéo cont B ra</t>
        </is>
      </c>
      <c r="D6" s="97" t="inlineStr">
        <is>
          <t>Vé vào 0đ, không thu thêm 250k; cont B tính lưu riêng lúc ra</t>
        </is>
      </c>
      <c r="E6" s="97" t="inlineStr">
        <is>
          <t>GT-02,GT-10</t>
        </is>
      </c>
      <c r="F6" s="97" t="inlineStr">
        <is>
          <t>P0</t>
        </is>
      </c>
      <c r="G6" s="98" t="inlineStr"/>
      <c r="H6" s="98" t="inlineStr">
        <is>
          <t>Chưa kiểm thử</t>
        </is>
      </c>
    </row>
    <row r="7" ht="51" customHeight="1" s="81">
      <c r="A7" s="94" t="inlineStr">
        <is>
          <t>UAT03</t>
        </is>
      </c>
      <c r="B7" s="95" t="inlineStr">
        <is>
          <t>Vé</t>
        </is>
      </c>
      <c r="C7" s="95" t="inlineStr">
        <is>
          <t>Xe sang tải vé 0đ ra/vào</t>
        </is>
      </c>
      <c r="D7" s="95" t="inlineStr">
        <is>
          <t>Vẫn có lượt ghi cổng, đánh dấu 0đ/không thu tiền thật</t>
        </is>
      </c>
      <c r="E7" s="95" t="inlineStr">
        <is>
          <t>GT-03</t>
        </is>
      </c>
      <c r="F7" s="95" t="inlineStr">
        <is>
          <t>P1</t>
        </is>
      </c>
      <c r="G7" s="98" t="inlineStr"/>
      <c r="H7" s="98" t="inlineStr">
        <is>
          <t>Chưa kiểm thử</t>
        </is>
      </c>
    </row>
    <row r="8" ht="51" customHeight="1" s="81">
      <c r="A8" s="96" t="inlineStr">
        <is>
          <t>UAT04</t>
        </is>
      </c>
      <c r="B8" s="97" t="inlineStr">
        <is>
          <t>Vé</t>
        </is>
      </c>
      <c r="C8" s="97" t="inlineStr">
        <is>
          <t>Xe bo 3 bánh không biển số</t>
        </is>
      </c>
      <c r="D8" s="97" t="inlineStr">
        <is>
          <t>Sinh mã lượt/vé, nhập/tra cứu tại cổng ra; giá 40k</t>
        </is>
      </c>
      <c r="E8" s="97" t="inlineStr">
        <is>
          <t>GT-05</t>
        </is>
      </c>
      <c r="F8" s="97" t="inlineStr">
        <is>
          <t>P1</t>
        </is>
      </c>
      <c r="G8" s="98" t="inlineStr"/>
      <c r="H8" s="98" t="inlineStr">
        <is>
          <t>Chưa kiểm thử</t>
        </is>
      </c>
    </row>
    <row r="9" ht="51" customHeight="1" s="81">
      <c r="A9" s="94" t="inlineStr">
        <is>
          <t>UAT05</t>
        </is>
      </c>
      <c r="B9" s="95" t="inlineStr">
        <is>
          <t>Vé</t>
        </is>
      </c>
      <c r="C9" s="95" t="inlineStr">
        <is>
          <t>Nhân viên thu vé vào sau do ngoại lệ</t>
        </is>
      </c>
      <c r="D9" s="95" t="inlineStr">
        <is>
          <t>Có trạng thái chưa thu và nhật ký bổ sung; không báo Đã thu giả</t>
        </is>
      </c>
      <c r="E9" s="95" t="inlineStr">
        <is>
          <t>GT-04</t>
        </is>
      </c>
      <c r="F9" s="95" t="inlineStr">
        <is>
          <t>P0</t>
        </is>
      </c>
      <c r="G9" s="98" t="inlineStr"/>
      <c r="H9" s="98" t="inlineStr">
        <is>
          <t>Chưa kiểm thử</t>
        </is>
      </c>
    </row>
    <row r="10" ht="51" customHeight="1" s="81">
      <c r="A10" s="96" t="inlineStr">
        <is>
          <t>UAT06</t>
        </is>
      </c>
      <c r="B10" s="97" t="inlineStr">
        <is>
          <t>Vé</t>
        </is>
      </c>
      <c r="C10" s="97" t="inlineStr">
        <is>
          <t>Khách mất vé liên 02</t>
        </is>
      </c>
      <c r="D10" s="97" t="inlineStr">
        <is>
          <t>Tạo phí mất vé 250k riêng, không ghi đè vé gốc</t>
        </is>
      </c>
      <c r="E10" s="97" t="inlineStr">
        <is>
          <t>GT-06,TT-04</t>
        </is>
      </c>
      <c r="F10" s="97" t="inlineStr">
        <is>
          <t>P1</t>
        </is>
      </c>
      <c r="G10" s="98" t="inlineStr"/>
      <c r="H10" s="98" t="inlineStr">
        <is>
          <t>Chưa kiểm thử</t>
        </is>
      </c>
    </row>
    <row r="11" ht="51" customHeight="1" s="81">
      <c r="A11" s="94" t="inlineStr">
        <is>
          <t>UAT07</t>
        </is>
      </c>
      <c r="B11" s="95" t="inlineStr">
        <is>
          <t>Xe/cont</t>
        </is>
      </c>
      <c r="C11" s="95" t="inlineStr">
        <is>
          <t>Xe chở cont A, hạ A rồi xe ra không cont</t>
        </is>
      </c>
      <c r="D11" s="95" t="inlineStr">
        <is>
          <t>Xe ra, cont A tiếp tục trong bãi và tiếp tục tính thời gian; không yêu cầu duyệt CCKB riêng cho xe</t>
        </is>
      </c>
      <c r="E11" s="95" t="inlineStr">
        <is>
          <t>GT-07,GT-09,CT-01</t>
        </is>
      </c>
      <c r="F11" s="95" t="inlineStr">
        <is>
          <t>P0</t>
        </is>
      </c>
      <c r="G11" s="98" t="inlineStr"/>
      <c r="H11" s="98" t="inlineStr">
        <is>
          <t>Chưa kiểm thử</t>
        </is>
      </c>
    </row>
    <row r="12" ht="51" customHeight="1" s="81">
      <c r="A12" s="96" t="inlineStr">
        <is>
          <t>UAT08</t>
        </is>
      </c>
      <c r="B12" s="97" t="inlineStr">
        <is>
          <t>Xe/cont</t>
        </is>
      </c>
      <c r="C12" s="97" t="inlineStr">
        <is>
          <t>Xe đem A vào rồi ra cùng A, không hạ</t>
        </is>
      </c>
      <c r="D12" s="97" t="inlineStr">
        <is>
          <t>Cont A vẫn tính số kỳ đêm theo giờ vào/ra nếu đủ thời gian</t>
        </is>
      </c>
      <c r="E12" s="97" t="inlineStr">
        <is>
          <t>CT-01,CT-02</t>
        </is>
      </c>
      <c r="F12" s="97" t="inlineStr">
        <is>
          <t>P0</t>
        </is>
      </c>
      <c r="G12" s="98" t="inlineStr"/>
      <c r="H12" s="98" t="inlineStr">
        <is>
          <t>Chưa kiểm thử</t>
        </is>
      </c>
    </row>
    <row r="13" ht="51" customHeight="1" s="81">
      <c r="A13" s="94" t="inlineStr">
        <is>
          <t>UAT09</t>
        </is>
      </c>
      <c r="B13" s="95" t="inlineStr">
        <is>
          <t>Xe/cont</t>
        </is>
      </c>
      <c r="C13" s="95" t="inlineStr">
        <is>
          <t>Xe mang A vào rồi ra kéo B</t>
        </is>
      </c>
      <c r="D13" s="95" t="inlineStr">
        <is>
          <t>Giữ A trong bãi, chốt B, đúng ID lượt và xe ra</t>
        </is>
      </c>
      <c r="E13" s="95" t="inlineStr">
        <is>
          <t>GT-10,CT-01</t>
        </is>
      </c>
      <c r="F13" s="95" t="inlineStr">
        <is>
          <t>P0</t>
        </is>
      </c>
      <c r="G13" s="98" t="inlineStr"/>
      <c r="H13" s="98" t="inlineStr">
        <is>
          <t>Chưa kiểm thử</t>
        </is>
      </c>
    </row>
    <row r="14" ht="51" customHeight="1" s="81">
      <c r="A14" s="96" t="inlineStr">
        <is>
          <t>UAT10</t>
        </is>
      </c>
      <c r="B14" s="97" t="inlineStr">
        <is>
          <t>Lưu cont</t>
        </is>
      </c>
      <c r="C14" s="97" t="inlineStr">
        <is>
          <t>Cont vào trước 22h và ra đúng 22h</t>
        </is>
      </c>
      <c r="D14" s="97" t="inlineStr">
        <is>
          <t>Ghi nhận kỳ đêm 22:00, miễn đầu theo giá</t>
        </is>
      </c>
      <c r="E14" s="97" t="inlineStr">
        <is>
          <t>CT-03</t>
        </is>
      </c>
      <c r="F14" s="97" t="inlineStr">
        <is>
          <t>P0</t>
        </is>
      </c>
      <c r="G14" s="98" t="inlineStr"/>
      <c r="H14" s="98" t="inlineStr">
        <is>
          <t>Chưa kiểm thử</t>
        </is>
      </c>
    </row>
    <row r="15" ht="51" customHeight="1" s="81">
      <c r="A15" s="94" t="inlineStr">
        <is>
          <t>UAT11</t>
        </is>
      </c>
      <c r="B15" s="95" t="inlineStr">
        <is>
          <t>Lưu cont</t>
        </is>
      </c>
      <c r="C15" s="95" t="inlineStr">
        <is>
          <t>Cont vào 23:30, ra 02:00 sáng hôm sau</t>
        </is>
      </c>
      <c r="D15" s="95" t="inlineStr">
        <is>
          <t>Đêm đầu tiên được miễn; không phát sinh tiền lưu</t>
        </is>
      </c>
      <c r="E15" s="95" t="inlineStr">
        <is>
          <t>CT-03</t>
        </is>
      </c>
      <c r="F15" s="95" t="inlineStr">
        <is>
          <t>P0</t>
        </is>
      </c>
      <c r="G15" s="98" t="inlineStr"/>
      <c r="H15" s="98" t="inlineStr">
        <is>
          <t>Chưa kiểm thử</t>
        </is>
      </c>
    </row>
    <row r="16" ht="51" customHeight="1" s="81">
      <c r="A16" s="96" t="inlineStr">
        <is>
          <t>UAT12</t>
        </is>
      </c>
      <c r="B16" s="97" t="inlineStr">
        <is>
          <t>Lưu cont</t>
        </is>
      </c>
      <c r="C16" s="97" t="inlineStr">
        <is>
          <t>Cont vào và ra trước 22h cùng ngày</t>
        </is>
      </c>
      <c r="D16" s="97" t="inlineStr">
        <is>
          <t>Hiển thị 1 đêm miễn theo L05, tiền 0đ</t>
        </is>
      </c>
      <c r="E16" s="97" t="inlineStr">
        <is>
          <t>CT-04</t>
        </is>
      </c>
      <c r="F16" s="97" t="inlineStr">
        <is>
          <t>P1</t>
        </is>
      </c>
      <c r="G16" s="98" t="inlineStr"/>
      <c r="H16" s="98" t="inlineStr">
        <is>
          <t>Chưa kiểm thử</t>
        </is>
      </c>
    </row>
    <row r="17" ht="51" customHeight="1" s="81">
      <c r="A17" s="94" t="inlineStr">
        <is>
          <t>UAT13</t>
        </is>
      </c>
      <c r="B17" s="95" t="inlineStr">
        <is>
          <t>Lưu cont</t>
        </is>
      </c>
      <c r="C17" s="95" t="inlineStr">
        <is>
          <t>Cont đã rút điện lúc 20h, ra cổng sau 22h</t>
        </is>
      </c>
      <c r="D17" s="95" t="inlineStr">
        <is>
          <t>Tiền điện giữ theo phiên rút; phí lưu tính thêm kỳ đêm nếu thuộc diện phải thu</t>
        </is>
      </c>
      <c r="E17" s="95" t="inlineStr">
        <is>
          <t>CD-10,CT-02</t>
        </is>
      </c>
      <c r="F17" s="95" t="inlineStr">
        <is>
          <t>P0</t>
        </is>
      </c>
      <c r="G17" s="98" t="inlineStr"/>
      <c r="H17" s="98" t="inlineStr">
        <is>
          <t>Chưa kiểm thử</t>
        </is>
      </c>
    </row>
    <row r="18" ht="51" customHeight="1" s="81">
      <c r="A18" s="96" t="inlineStr">
        <is>
          <t>UAT14</t>
        </is>
      </c>
      <c r="B18" s="97" t="inlineStr">
        <is>
          <t>Lưu cont</t>
        </is>
      </c>
      <c r="C18" s="97" t="inlineStr">
        <is>
          <t>CCKB đã xác nhận điện xong nhưng cont chưa ra</t>
        </is>
      </c>
      <c r="D18" s="97" t="inlineStr">
        <is>
          <t>Không chốt/khóa tiền lưu; tiếp tục tính đến GIO_CONT_RA thực tế</t>
        </is>
      </c>
      <c r="E18" s="97" t="inlineStr">
        <is>
          <t>CT-02</t>
        </is>
      </c>
      <c r="F18" s="97" t="inlineStr">
        <is>
          <t>P0</t>
        </is>
      </c>
      <c r="G18" s="98" t="inlineStr"/>
      <c r="H18" s="98" t="inlineStr">
        <is>
          <t>Chưa kiểm thử</t>
        </is>
      </c>
    </row>
    <row r="19" ht="51" customHeight="1" s="81">
      <c r="A19" s="94" t="inlineStr">
        <is>
          <t>UAT15</t>
        </is>
      </c>
      <c r="B19" s="95" t="inlineStr">
        <is>
          <t>Lưu cont</t>
        </is>
      </c>
      <c r="C19" s="95" t="inlineStr">
        <is>
          <t>Xe ra không cont còn lại bãi 2 ngày</t>
        </is>
      </c>
      <c r="D19" s="95" t="inlineStr">
        <is>
          <t>Không chốt phí lưu khi xe ra; chỉ chốt khi cont thực tế rời bãi</t>
        </is>
      </c>
      <c r="E19" s="95" t="inlineStr">
        <is>
          <t>CT-02,GT-09</t>
        </is>
      </c>
      <c r="F19" s="95" t="inlineStr">
        <is>
          <t>P0</t>
        </is>
      </c>
      <c r="G19" s="98" t="inlineStr"/>
      <c r="H19" s="98" t="inlineStr">
        <is>
          <t>Chưa kiểm thử</t>
        </is>
      </c>
    </row>
    <row r="20" ht="51" customHeight="1" s="81">
      <c r="A20" s="96" t="inlineStr">
        <is>
          <t>UAT16</t>
        </is>
      </c>
      <c r="B20" s="97" t="inlineStr">
        <is>
          <t>Dự kiến điện</t>
        </is>
      </c>
      <c r="C20" s="97" t="inlineStr">
        <is>
          <t>CCKB tạo điện dự kiến cont A/B/C trước khi vào</t>
        </is>
      </c>
      <c r="D20" s="97" t="inlineStr">
        <is>
          <t>Tạo 3 phiếu dự kiến; không phát sinh phí/lượt cont thực, chưa có giờ vào</t>
        </is>
      </c>
      <c r="E20" s="97" t="inlineStr">
        <is>
          <t>CD-01,CD-02</t>
        </is>
      </c>
      <c r="F20" s="97" t="inlineStr">
        <is>
          <t>P0</t>
        </is>
      </c>
      <c r="G20" s="98" t="inlineStr"/>
      <c r="H20" s="98" t="inlineStr">
        <is>
          <t>Chưa kiểm thử</t>
        </is>
      </c>
    </row>
    <row r="21" ht="51" customHeight="1" s="81">
      <c r="A21" s="94" t="inlineStr">
        <is>
          <t>UAT17</t>
        </is>
      </c>
      <c r="B21" s="95" t="inlineStr">
        <is>
          <t>Dự kiến điện</t>
        </is>
      </c>
      <c r="C21" s="95" t="inlineStr">
        <is>
          <t>Cont A vào trùng mã trên dự kiến</t>
        </is>
      </c>
      <c r="D21" s="95" t="inlineStr">
        <is>
          <t>An ninh nhìn cảnh báo yêu cầu; người dùng xác nhận ghép thủ công, không tự ghép nhầm</t>
        </is>
      </c>
      <c r="E21" s="95" t="inlineStr">
        <is>
          <t>CD-03</t>
        </is>
      </c>
      <c r="F21" s="95" t="inlineStr">
        <is>
          <t>P0</t>
        </is>
      </c>
      <c r="G21" s="98" t="inlineStr"/>
      <c r="H21" s="98" t="inlineStr">
        <is>
          <t>Chưa kiểm thử</t>
        </is>
      </c>
    </row>
    <row r="22" ht="51" customHeight="1" s="81">
      <c r="A22" s="96" t="inlineStr">
        <is>
          <t>UAT18</t>
        </is>
      </c>
      <c r="B22" s="97" t="inlineStr">
        <is>
          <t>Dự kiến điện</t>
        </is>
      </c>
      <c r="C22" s="97" t="inlineStr">
        <is>
          <t>Nhập sai 1 ký tự/7 số cuối trùng</t>
        </is>
      </c>
      <c r="D22" s="97" t="inlineStr">
        <is>
          <t>Hiển thị gợi ý và bắt buộc người dùng xác nhận mã thực</t>
        </is>
      </c>
      <c r="E22" s="97" t="inlineStr">
        <is>
          <t>CD-03,GT-08</t>
        </is>
      </c>
      <c r="F22" s="97" t="inlineStr">
        <is>
          <t>P0</t>
        </is>
      </c>
      <c r="G22" s="98" t="inlineStr"/>
      <c r="H22" s="98" t="inlineStr">
        <is>
          <t>Chưa kiểm thử</t>
        </is>
      </c>
    </row>
    <row r="23" ht="51" customHeight="1" s="81">
      <c r="A23" s="94" t="inlineStr">
        <is>
          <t>UAT19</t>
        </is>
      </c>
      <c r="B23" s="95" t="inlineStr">
        <is>
          <t>Dự kiến điện</t>
        </is>
      </c>
      <c r="C23" s="95" t="inlineStr">
        <is>
          <t>Khách đổi A thành D trước khi vào</t>
        </is>
      </c>
      <c r="D23" s="95" t="inlineStr">
        <is>
          <t>CCKB sửa phiếu giữ lịch sử và báo An ninh</t>
        </is>
      </c>
      <c r="E23" s="95" t="inlineStr">
        <is>
          <t>CD-04</t>
        </is>
      </c>
      <c r="F23" s="95" t="inlineStr">
        <is>
          <t>P0</t>
        </is>
      </c>
      <c r="G23" s="98" t="inlineStr"/>
      <c r="H23" s="98" t="inlineStr">
        <is>
          <t>Chưa kiểm thử</t>
        </is>
      </c>
    </row>
    <row r="24" ht="51" customHeight="1" s="81">
      <c r="A24" s="96" t="inlineStr">
        <is>
          <t>UAT20</t>
        </is>
      </c>
      <c r="B24" s="97" t="inlineStr">
        <is>
          <t>Dự kiến điện</t>
        </is>
      </c>
      <c r="C24" s="97" t="inlineStr">
        <is>
          <t>Cont dự kiến không đến, khách hủy</t>
        </is>
      </c>
      <c r="D24" s="97" t="inlineStr">
        <is>
          <t>Đóng/hủy có audit; có thể hết hạn theo cấu hình</t>
        </is>
      </c>
      <c r="E24" s="97" t="inlineStr">
        <is>
          <t>CD-04</t>
        </is>
      </c>
      <c r="F24" s="97" t="inlineStr">
        <is>
          <t>P1</t>
        </is>
      </c>
      <c r="G24" s="98" t="inlineStr"/>
      <c r="H24" s="98" t="inlineStr">
        <is>
          <t>Chưa kiểm thử</t>
        </is>
      </c>
    </row>
    <row r="25" ht="51" customHeight="1" s="81">
      <c r="A25" s="94" t="inlineStr">
        <is>
          <t>UAT21</t>
        </is>
      </c>
      <c r="B25" s="95" t="inlineStr">
        <is>
          <t>Điện thực tế</t>
        </is>
      </c>
      <c r="C25" s="95" t="inlineStr">
        <is>
          <t>An ninh báo cắm qua Zalo, CCKB nhập sau</t>
        </is>
      </c>
      <c r="D25" s="95" t="inlineStr">
        <is>
          <t>Giờ thực tế khác giờ nhập; tính từ giờ thực tế, không dùng timestamp Zalo</t>
        </is>
      </c>
      <c r="E25" s="95" t="inlineStr">
        <is>
          <t>CD-05</t>
        </is>
      </c>
      <c r="F25" s="95" t="inlineStr">
        <is>
          <t>P0</t>
        </is>
      </c>
      <c r="G25" s="98" t="inlineStr"/>
      <c r="H25" s="98" t="inlineStr">
        <is>
          <t>Chưa kiểm thử</t>
        </is>
      </c>
    </row>
    <row r="26" ht="51" customHeight="1" s="81">
      <c r="A26" s="96" t="inlineStr">
        <is>
          <t>UAT22</t>
        </is>
      </c>
      <c r="B26" s="97" t="inlineStr">
        <is>
          <t>Điện thực tế</t>
        </is>
      </c>
      <c r="C26" s="97" t="inlineStr">
        <is>
          <t>CCKB nhận thông tin khi đã cắm và rút</t>
        </is>
      </c>
      <c r="D26" s="97" t="inlineStr">
        <is>
          <t>Nhập cả hai giờ trong một thao tác; tính phí và audit</t>
        </is>
      </c>
      <c r="E26" s="97" t="inlineStr">
        <is>
          <t>CD-05</t>
        </is>
      </c>
      <c r="F26" s="97" t="inlineStr">
        <is>
          <t>P0</t>
        </is>
      </c>
      <c r="G26" s="98" t="inlineStr"/>
      <c r="H26" s="98" t="inlineStr">
        <is>
          <t>Chưa kiểm thử</t>
        </is>
      </c>
    </row>
    <row r="27" ht="51" customHeight="1" s="81">
      <c r="A27" s="94" t="inlineStr">
        <is>
          <t>UAT23</t>
        </is>
      </c>
      <c r="B27" s="95" t="inlineStr">
        <is>
          <t>Điện thực tế</t>
        </is>
      </c>
      <c r="C27" s="95" t="inlineStr">
        <is>
          <t>Cắm 4 giờ 53 phút</t>
        </is>
      </c>
      <c r="D27" s="95" t="inlineStr">
        <is>
          <t>Tính 5 giờ và 500.000đ nếu đơn giá 100.000đ/giờ</t>
        </is>
      </c>
      <c r="E27" s="95" t="inlineStr">
        <is>
          <t>CD-06,CD-07</t>
        </is>
      </c>
      <c r="F27" s="95" t="inlineStr">
        <is>
          <t>P0</t>
        </is>
      </c>
      <c r="G27" s="98" t="inlineStr"/>
      <c r="H27" s="98" t="inlineStr">
        <is>
          <t>Chưa kiểm thử</t>
        </is>
      </c>
    </row>
    <row r="28" ht="51" customHeight="1" s="81">
      <c r="A28" s="96" t="inlineStr">
        <is>
          <t>UAT24</t>
        </is>
      </c>
      <c r="B28" s="97" t="inlineStr">
        <is>
          <t>Điện thực tế</t>
        </is>
      </c>
      <c r="C28" s="97" t="inlineStr">
        <is>
          <t>Cắm 4 giờ 01 phút</t>
        </is>
      </c>
      <c r="D28" s="97" t="inlineStr">
        <is>
          <t>Tính 4 giờ 15 phút và 425.000đ ở giá 100k/giờ</t>
        </is>
      </c>
      <c r="E28" s="97" t="inlineStr">
        <is>
          <t>CD-06,CD-07</t>
        </is>
      </c>
      <c r="F28" s="97" t="inlineStr">
        <is>
          <t>P0</t>
        </is>
      </c>
      <c r="G28" s="98" t="inlineStr"/>
      <c r="H28" s="98" t="inlineStr">
        <is>
          <t>Chưa kiểm thử</t>
        </is>
      </c>
    </row>
    <row r="29" ht="51" customHeight="1" s="81">
      <c r="A29" s="94" t="inlineStr">
        <is>
          <t>UAT25</t>
        </is>
      </c>
      <c r="B29" s="95" t="inlineStr">
        <is>
          <t>Điện thực tế</t>
        </is>
      </c>
      <c r="C29" s="95" t="inlineStr">
        <is>
          <t>Cont cắm/rút hai phiên 01h01 và 01h01</t>
        </is>
      </c>
      <c r="D29" s="95" t="inlineStr">
        <is>
          <t>Làm tròn từng phiên 01h15 + 01h15, không gộp rồi mới làm tròn</t>
        </is>
      </c>
      <c r="E29" s="95" t="inlineStr">
        <is>
          <t>CD-09</t>
        </is>
      </c>
      <c r="F29" s="95" t="inlineStr">
        <is>
          <t>P0</t>
        </is>
      </c>
      <c r="G29" s="98" t="inlineStr"/>
      <c r="H29" s="98" t="inlineStr">
        <is>
          <t>Chưa kiểm thử</t>
        </is>
      </c>
    </row>
    <row r="30" ht="51" customHeight="1" s="81">
      <c r="A30" s="96" t="inlineStr">
        <is>
          <t>UAT26</t>
        </is>
      </c>
      <c r="B30" s="97" t="inlineStr">
        <is>
          <t>Điện thực tế</t>
        </is>
      </c>
      <c r="C30" s="97" t="inlineStr">
        <is>
          <t>Một cont bị tạo hai phiên đang cắm đồng thời</t>
        </is>
      </c>
      <c r="D30" s="97" t="inlineStr">
        <is>
          <t>Chặn xung đột trạng thái; cho CCKB xử lý sửa lỗi có audit</t>
        </is>
      </c>
      <c r="E30" s="97" t="inlineStr">
        <is>
          <t>CD-09</t>
        </is>
      </c>
      <c r="F30" s="97" t="inlineStr">
        <is>
          <t>P0</t>
        </is>
      </c>
      <c r="G30" s="98" t="inlineStr"/>
      <c r="H30" s="98" t="inlineStr">
        <is>
          <t>Chưa kiểm thử</t>
        </is>
      </c>
    </row>
    <row r="31" ht="51" customHeight="1" s="81">
      <c r="A31" s="94" t="inlineStr">
        <is>
          <t>UAT27</t>
        </is>
      </c>
      <c r="B31" s="95" t="inlineStr">
        <is>
          <t>Điều chỉnh</t>
        </is>
      </c>
      <c r="C31" s="95" t="inlineStr">
        <is>
          <t>CCKB sửa GIO_CAM_THUC_TE trước thu</t>
        </is>
      </c>
      <c r="D31" s="95" t="inlineStr">
        <is>
          <t>Tự tính lại thời gian/tiền; audit trước/sau/lý do</t>
        </is>
      </c>
      <c r="E31" s="95" t="inlineStr">
        <is>
          <t>CD-08</t>
        </is>
      </c>
      <c r="F31" s="95" t="inlineStr">
        <is>
          <t>P0</t>
        </is>
      </c>
      <c r="G31" s="98" t="inlineStr"/>
      <c r="H31" s="98" t="inlineStr">
        <is>
          <t>Chưa kiểm thử</t>
        </is>
      </c>
    </row>
    <row r="32" ht="51" customHeight="1" s="81">
      <c r="A32" s="96" t="inlineStr">
        <is>
          <t>UAT28</t>
        </is>
      </c>
      <c r="B32" s="97" t="inlineStr">
        <is>
          <t>Điều chỉnh</t>
        </is>
      </c>
      <c r="C32" s="97" t="inlineStr">
        <is>
          <t>Sau thu, NV CCKB đề nghị sửa số giờ tính tiền</t>
        </is>
      </c>
      <c r="D32" s="97" t="inlineStr">
        <is>
          <t>Yêu cầu TBP xử lý chênh; giao dịch tiền đã thu không bị ghi đè</t>
        </is>
      </c>
      <c r="E32" s="97" t="inlineStr">
        <is>
          <t>CD-08</t>
        </is>
      </c>
      <c r="F32" s="97" t="inlineStr">
        <is>
          <t>P0</t>
        </is>
      </c>
      <c r="G32" s="98" t="inlineStr"/>
      <c r="H32" s="98" t="inlineStr">
        <is>
          <t>Chưa kiểm thử</t>
        </is>
      </c>
    </row>
    <row r="33" ht="51" customHeight="1" s="81">
      <c r="A33" s="94" t="inlineStr">
        <is>
          <t>UAT29</t>
        </is>
      </c>
      <c r="B33" s="95" t="inlineStr">
        <is>
          <t>Điều chỉnh</t>
        </is>
      </c>
      <c r="C33" s="95" t="inlineStr">
        <is>
          <t>TBP CCKB sửa trực tiếp sau thanh toán</t>
        </is>
      </c>
      <c r="D33" s="95" t="inlineStr">
        <is>
          <t>Ghi nhật ký và bút toán điều chỉnh/công nợ; giữ giao dịch gốc</t>
        </is>
      </c>
      <c r="E33" s="95" t="inlineStr">
        <is>
          <t>CD-08</t>
        </is>
      </c>
      <c r="F33" s="95" t="inlineStr">
        <is>
          <t>P0</t>
        </is>
      </c>
      <c r="G33" s="98" t="inlineStr"/>
      <c r="H33" s="98" t="inlineStr">
        <is>
          <t>Chưa kiểm thử</t>
        </is>
      </c>
    </row>
    <row r="34" ht="51" customHeight="1" s="81">
      <c r="A34" s="96" t="inlineStr">
        <is>
          <t>UAT30</t>
        </is>
      </c>
      <c r="B34" s="97" t="inlineStr">
        <is>
          <t>Sửa số cont</t>
        </is>
      </c>
      <c r="C34" s="97" t="inlineStr">
        <is>
          <t>An ninh phát hiện sai số từ ảnh timestamp</t>
        </is>
      </c>
      <c r="D34" s="97" t="inlineStr">
        <is>
          <t>Sửa trên lượt thực, lưu số trước/sau; CCKB có thông báo cần xem</t>
        </is>
      </c>
      <c r="E34" s="97" t="inlineStr">
        <is>
          <t>SC-01</t>
        </is>
      </c>
      <c r="F34" s="97" t="inlineStr">
        <is>
          <t>P0</t>
        </is>
      </c>
      <c r="G34" s="98" t="inlineStr"/>
      <c r="H34" s="98" t="inlineStr">
        <is>
          <t>Chưa kiểm thử</t>
        </is>
      </c>
    </row>
    <row r="35" ht="51" customHeight="1" s="81">
      <c r="A35" s="94" t="inlineStr">
        <is>
          <t>UAT31</t>
        </is>
      </c>
      <c r="B35" s="95" t="inlineStr">
        <is>
          <t>Sửa số cont</t>
        </is>
      </c>
      <c r="C35" s="95" t="inlineStr">
        <is>
          <t>An ninh không có ảnh nhưng có lý do sửa</t>
        </is>
      </c>
      <c r="D35" s="95" t="inlineStr">
        <is>
          <t>Cho sửa theo SC03=B, ghi lý do thiếu bằng chứng</t>
        </is>
      </c>
      <c r="E35" s="95" t="inlineStr">
        <is>
          <t>SC-01</t>
        </is>
      </c>
      <c r="F35" s="95" t="inlineStr">
        <is>
          <t>P1</t>
        </is>
      </c>
      <c r="G35" s="98" t="inlineStr"/>
      <c r="H35" s="98" t="inlineStr">
        <is>
          <t>Chưa kiểm thử</t>
        </is>
      </c>
    </row>
    <row r="36" ht="51" customHeight="1" s="81">
      <c r="A36" s="96" t="inlineStr">
        <is>
          <t>UAT32</t>
        </is>
      </c>
      <c r="B36" s="97" t="inlineStr">
        <is>
          <t>Sửa số cont</t>
        </is>
      </c>
      <c r="C36" s="97" t="inlineStr">
        <is>
          <t>Sửa mã cont sau khi tiền điện đã thu</t>
        </is>
      </c>
      <c r="D36" s="97" t="inlineStr">
        <is>
          <t>Giữ nguyên ID/giao dịch đã thu, liên kết lại số hiển thị, báo CCKB đối soát</t>
        </is>
      </c>
      <c r="E36" s="97" t="inlineStr">
        <is>
          <t>SC-02</t>
        </is>
      </c>
      <c r="F36" s="97" t="inlineStr">
        <is>
          <t>P0</t>
        </is>
      </c>
      <c r="G36" s="98" t="inlineStr"/>
      <c r="H36" s="98" t="inlineStr">
        <is>
          <t>Chưa kiểm thử</t>
        </is>
      </c>
    </row>
    <row r="37" ht="51" customHeight="1" s="81">
      <c r="A37" s="94" t="inlineStr">
        <is>
          <t>UAT33</t>
        </is>
      </c>
      <c r="B37" s="95" t="inlineStr">
        <is>
          <t>Sửa số cont</t>
        </is>
      </c>
      <c r="C37" s="95" t="inlineStr">
        <is>
          <t>Sửa thành mã cont đang hiện diện khác</t>
        </is>
      </c>
      <c r="D37" s="95" t="inlineStr">
        <is>
          <t>Cho lưu có cảnh báo rất rõ; không tự hợp nhất hai lượt, không thu trùng</t>
        </is>
      </c>
      <c r="E37" s="95" t="inlineStr">
        <is>
          <t>SC-03</t>
        </is>
      </c>
      <c r="F37" s="95" t="inlineStr">
        <is>
          <t>P0</t>
        </is>
      </c>
      <c r="G37" s="98" t="inlineStr"/>
      <c r="H37" s="98" t="inlineStr">
        <is>
          <t>Chưa kiểm thử</t>
        </is>
      </c>
    </row>
    <row r="38" ht="51" customHeight="1" s="81">
      <c r="A38" s="96" t="inlineStr">
        <is>
          <t>UAT34</t>
        </is>
      </c>
      <c r="B38" s="97" t="inlineStr">
        <is>
          <t>Sửa số cont</t>
        </is>
      </c>
      <c r="C38" s="97" t="inlineStr">
        <is>
          <t>Sửa mã sau khi CCKB đã xác nhận cho ra</t>
        </is>
      </c>
      <c r="D38" s="97" t="inlineStr">
        <is>
          <t>Có cảnh báo và nhật ký; không tự chặn ra chỉ vì sửa mã</t>
        </is>
      </c>
      <c r="E38" s="97" t="inlineStr">
        <is>
          <t>SC-03</t>
        </is>
      </c>
      <c r="F38" s="97" t="inlineStr">
        <is>
          <t>P0</t>
        </is>
      </c>
      <c r="G38" s="98" t="inlineStr"/>
      <c r="H38" s="98" t="inlineStr">
        <is>
          <t>Chưa kiểm thử</t>
        </is>
      </c>
    </row>
    <row r="39" ht="51" customHeight="1" s="81">
      <c r="A39" s="94" t="inlineStr">
        <is>
          <t>UAT35</t>
        </is>
      </c>
      <c r="B39" s="95" t="inlineStr">
        <is>
          <t>Thanh toán</t>
        </is>
      </c>
      <c r="C39" s="95" t="inlineStr">
        <is>
          <t>Khách thanh toán điện một phần, phần còn nợ</t>
        </is>
      </c>
      <c r="D39" s="95" t="inlineStr">
        <is>
          <t>Phân bổ số tiền đúng charge, status Còn phải thu</t>
        </is>
      </c>
      <c r="E39" s="95" t="inlineStr">
        <is>
          <t>TT-02</t>
        </is>
      </c>
      <c r="F39" s="95" t="inlineStr">
        <is>
          <t>P0</t>
        </is>
      </c>
      <c r="G39" s="98" t="inlineStr"/>
      <c r="H39" s="98" t="inlineStr">
        <is>
          <t>Chưa kiểm thử</t>
        </is>
      </c>
    </row>
    <row r="40" ht="51" customHeight="1" s="81">
      <c r="A40" s="96" t="inlineStr">
        <is>
          <t>UAT36</t>
        </is>
      </c>
      <c r="B40" s="97" t="inlineStr">
        <is>
          <t>Thanh toán</t>
        </is>
      </c>
      <c r="C40" s="97" t="inlineStr">
        <is>
          <t>Khách trả kết hợp TM và CK</t>
        </is>
      </c>
      <c r="D40" s="97" t="inlineStr">
        <is>
          <t>Tạo phương thức/từng dòng phù hợp; tổng khoản phân bổ không vượt tiền nhận</t>
        </is>
      </c>
      <c r="E40" s="97" t="inlineStr">
        <is>
          <t>TT-02</t>
        </is>
      </c>
      <c r="F40" s="97" t="inlineStr">
        <is>
          <t>P0</t>
        </is>
      </c>
      <c r="G40" s="98" t="inlineStr"/>
      <c r="H40" s="98" t="inlineStr">
        <is>
          <t>Chưa kiểm thử</t>
        </is>
      </c>
    </row>
    <row r="41" ht="51" customHeight="1" s="81">
      <c r="A41" s="94" t="inlineStr">
        <is>
          <t>UAT37</t>
        </is>
      </c>
      <c r="B41" s="95" t="inlineStr">
        <is>
          <t>Thanh toán</t>
        </is>
      </c>
      <c r="C41" s="95" t="inlineStr">
        <is>
          <t>Một lần CK trả cho 3 cont</t>
        </is>
      </c>
      <c r="D41" s="95" t="inlineStr">
        <is>
          <t>Phân bổ khoản theo từng cont, không ghi nhận trùng doanh thu</t>
        </is>
      </c>
      <c r="E41" s="95" t="inlineStr">
        <is>
          <t>TT-02</t>
        </is>
      </c>
      <c r="F41" s="95" t="inlineStr">
        <is>
          <t>P0</t>
        </is>
      </c>
      <c r="G41" s="98" t="inlineStr"/>
      <c r="H41" s="98" t="inlineStr">
        <is>
          <t>Chưa kiểm thử</t>
        </is>
      </c>
    </row>
    <row r="42" ht="51" customHeight="1" s="81">
      <c r="A42" s="96" t="inlineStr">
        <is>
          <t>UAT38</t>
        </is>
      </c>
      <c r="B42" s="97" t="inlineStr">
        <is>
          <t>Xuất</t>
        </is>
      </c>
      <c r="C42" s="97" t="inlineStr">
        <is>
          <t>CCKB duyệt cho cont ra dù còn điện chưa thu</t>
        </is>
      </c>
      <c r="D42" s="97" t="inlineStr">
        <is>
          <t>Ghi lý do, cảnh báo công nợ, không giả Đã thu; An ninh thấy clearance</t>
        </is>
      </c>
      <c r="E42" s="97" t="inlineStr">
        <is>
          <t>TT-03</t>
        </is>
      </c>
      <c r="F42" s="97" t="inlineStr">
        <is>
          <t>P0</t>
        </is>
      </c>
      <c r="G42" s="98" t="inlineStr"/>
      <c r="H42" s="98" t="inlineStr">
        <is>
          <t>Chưa kiểm thử</t>
        </is>
      </c>
    </row>
    <row r="43" ht="51" customHeight="1" s="81">
      <c r="A43" s="94" t="inlineStr">
        <is>
          <t>UAT39</t>
        </is>
      </c>
      <c r="B43" s="95" t="inlineStr">
        <is>
          <t>Xuất</t>
        </is>
      </c>
      <c r="C43" s="95" t="inlineStr">
        <is>
          <t>Cont thực tế đã rút, trên PWA chưa cập nhật</t>
        </is>
      </c>
      <c r="D43" s="95" t="inlineStr">
        <is>
          <t>Cảnh báo; CCKB xác nhận qua quy trình thủ công có audit; không tự biến thành Đã rút</t>
        </is>
      </c>
      <c r="E43" s="95" t="inlineStr">
        <is>
          <t>TT-03,CD-05</t>
        </is>
      </c>
      <c r="F43" s="95" t="inlineStr">
        <is>
          <t>P0</t>
        </is>
      </c>
      <c r="G43" s="98" t="inlineStr"/>
      <c r="H43" s="98" t="inlineStr">
        <is>
          <t>Chưa kiểm thử</t>
        </is>
      </c>
    </row>
    <row r="44" ht="51" customHeight="1" s="81">
      <c r="A44" s="96" t="inlineStr">
        <is>
          <t>UAT40</t>
        </is>
      </c>
      <c r="B44" s="97" t="inlineStr">
        <is>
          <t>Xuất</t>
        </is>
      </c>
      <c r="C44" s="97" t="inlineStr">
        <is>
          <t>An ninh xác nhận cont ra, phát sinh tiền lưu</t>
        </is>
      </c>
      <c r="D44" s="97" t="inlineStr">
        <is>
          <t>Tính dựa GIO_CONT_RA; An ninh chốt/thu; đồng bộ ra cont+xe một lần, tránh double-charge</t>
        </is>
      </c>
      <c r="E44" s="97" t="inlineStr">
        <is>
          <t>CT-02,CT-05</t>
        </is>
      </c>
      <c r="F44" s="97" t="inlineStr">
        <is>
          <t>P0</t>
        </is>
      </c>
      <c r="G44" s="98" t="inlineStr"/>
      <c r="H44" s="98" t="inlineStr">
        <is>
          <t>Chưa kiểm thử</t>
        </is>
      </c>
    </row>
    <row r="45" ht="51" customHeight="1" s="81">
      <c r="A45" s="94" t="inlineStr">
        <is>
          <t>UAT41</t>
        </is>
      </c>
      <c r="B45" s="95" t="inlineStr">
        <is>
          <t>Bảo mật</t>
        </is>
      </c>
      <c r="C45" s="95" t="inlineStr">
        <is>
          <t>Điện thoại/bốt mất mạng lúc xe ra</t>
        </is>
      </c>
      <c r="D45" s="95" t="inlineStr">
        <is>
          <t>Không tự xác nhận xuất thành công offline; nháp được chờ sync</t>
        </is>
      </c>
      <c r="E45" s="95" t="inlineStr">
        <is>
          <t>CN-02</t>
        </is>
      </c>
      <c r="F45" s="95" t="inlineStr">
        <is>
          <t>P0</t>
        </is>
      </c>
      <c r="G45" s="98" t="inlineStr"/>
      <c r="H45" s="98" t="inlineStr">
        <is>
          <t>Chưa kiểm thử</t>
        </is>
      </c>
    </row>
    <row r="46" ht="51" customHeight="1" s="81">
      <c r="A46" s="96" t="inlineStr">
        <is>
          <t>UAT42</t>
        </is>
      </c>
      <c r="B46" s="97" t="inlineStr">
        <is>
          <t>Chuyển đổi</t>
        </is>
      </c>
      <c r="C46" s="97" t="inlineStr">
        <is>
          <t>Di chuyển dữ liệu cũ còn xe quên chốt ra</t>
        </is>
      </c>
      <c r="D46" s="97" t="inlineStr">
        <is>
          <t>Đánh dấu legacy/cần rà soát, không tự coi xe đang ở bãi hoặc tự phát sinh công nợ mới</t>
        </is>
      </c>
      <c r="E46" s="97" t="inlineStr">
        <is>
          <t>DL-02</t>
        </is>
      </c>
      <c r="F46" s="97" t="inlineStr">
        <is>
          <t>P0</t>
        </is>
      </c>
      <c r="G46" s="98" t="inlineStr"/>
      <c r="H46" s="98" t="inlineStr">
        <is>
          <t>Chưa kiểm thử</t>
        </is>
      </c>
    </row>
    <row r="47" ht="51" customHeight="1" s="81">
      <c r="A47" s="94" t="inlineStr">
        <is>
          <t>UAT43</t>
        </is>
      </c>
      <c r="B47" s="95" t="inlineStr">
        <is>
          <t>Bảo mật</t>
        </is>
      </c>
      <c r="C47" s="95" t="inlineStr">
        <is>
          <t>Quản trị sửa sai giờ cont lịch sử sau import</t>
        </is>
      </c>
      <c r="D47" s="95" t="inlineStr">
        <is>
          <t>Qua màn hình quản trị có lý do/log, không sửa trực tiếp DB mất audit</t>
        </is>
      </c>
      <c r="E47" s="95" t="inlineStr">
        <is>
          <t>DL-02</t>
        </is>
      </c>
      <c r="F47" s="95" t="inlineStr">
        <is>
          <t>P0</t>
        </is>
      </c>
      <c r="G47" s="98" t="inlineStr"/>
      <c r="H47" s="98" t="inlineStr">
        <is>
          <t>Chưa kiểm thử</t>
        </is>
      </c>
    </row>
    <row r="48" ht="51" customHeight="1" s="81">
      <c r="A48" s="96" t="inlineStr">
        <is>
          <t>UAT44</t>
        </is>
      </c>
      <c r="B48" s="97" t="inlineStr">
        <is>
          <t>Báo cáo</t>
        </is>
      </c>
      <c r="C48" s="97" t="inlineStr">
        <is>
          <t>Đối soát ca 06–18, chốt doanh thu khác mốc giờ ca</t>
        </is>
      </c>
      <c r="D48" s="97" t="inlineStr">
        <is>
          <t>Tách mốc vận hành ca và mốc chốt tiền; cấu hình/báo cáo riêng</t>
        </is>
      </c>
      <c r="E48" s="97" t="inlineStr">
        <is>
          <t>TT-05</t>
        </is>
      </c>
      <c r="F48" s="97" t="inlineStr">
        <is>
          <t>P1</t>
        </is>
      </c>
      <c r="G48" s="98" t="inlineStr"/>
      <c r="H48" s="98" t="inlineStr">
        <is>
          <t>Chưa kiểm thử</t>
        </is>
      </c>
    </row>
  </sheetData>
  <autoFilter ref="A4:H48"/>
  <mergeCells count="2">
    <mergeCell ref="A2:H2"/>
    <mergeCell ref="A1:H1"/>
  </mergeCells>
  <dataValidations count="1">
    <dataValidation sqref="H5:H48" showDropDown="0" showInputMessage="0" showErrorMessage="0" allowBlank="1" type="list">
      <formula1>"Chưa kiểm thử,Đạt,Không đạt,Cần xác minh"</formula1>
    </dataValidation>
  </dataValidations>
  <printOptions horizontalCentered="1"/>
  <pageMargins left="0.25" right="0.25" top="1" bottom="1" header="0.5" footer="0.5"/>
  <pageSetup orientation="landscape" fitToWidth="1"/>
</worksheet>
</file>

<file path=xl/worksheets/sheet16.xml><?xml version="1.0" encoding="utf-8"?>
<worksheet xmlns="http://schemas.openxmlformats.org/spreadsheetml/2006/main">
  <sheetPr>
    <outlinePr summaryBelow="1" summaryRight="1"/>
    <pageSetUpPr fitToPage="1"/>
  </sheetPr>
  <dimension ref="A1:H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style="81" min="1" max="1"/>
    <col width="68" customWidth="1" style="81" min="2" max="2"/>
    <col width="104" customWidth="1" style="81" min="3" max="3"/>
    <col width="36" customWidth="1" style="81" min="4" max="4"/>
    <col width="12" customWidth="1" style="81" min="5" max="5"/>
    <col width="29" customWidth="1" style="81" min="6" max="6"/>
    <col width="23" customWidth="1" style="81" min="7" max="7"/>
    <col width="63" customWidth="1" style="81" min="8" max="8"/>
  </cols>
  <sheetData>
    <row r="1" ht="34" customHeight="1" s="81">
      <c r="A1" s="91" t="inlineStr">
        <is>
          <t>V4 | ĐIỂM CẦN KIỂM TRA</t>
        </is>
      </c>
    </row>
    <row r="2" ht="28" customHeight="1" s="81">
      <c r="A2" s="92" t="inlineStr">
        <is>
          <t>Không phải câu hỏi mới cần điền ngay. Đây là các mâu thuẫn/giới hạn chưa đủ căn cứ trong 117 lựa chọn; cần xử lý trong thiết kế/UAT.</t>
        </is>
      </c>
    </row>
    <row r="4" ht="33" customHeight="1" s="81">
      <c r="A4" s="93" t="inlineStr">
        <is>
          <t>Mã</t>
        </is>
      </c>
      <c r="B4" s="93" t="inlineStr">
        <is>
          <t>Vấn đề cần xử lý</t>
        </is>
      </c>
      <c r="C4" s="93" t="inlineStr">
        <is>
          <t>Đề xuất hoặc giới hạn thông tin đã có</t>
        </is>
      </c>
      <c r="D4" s="93" t="inlineStr">
        <is>
          <t>Đơn vị xác nhận</t>
        </is>
      </c>
      <c r="E4" s="93" t="inlineStr">
        <is>
          <t>Ưu tiên</t>
        </is>
      </c>
      <c r="F4" s="93" t="inlineStr">
        <is>
          <t>Trạng thái hiện tại</t>
        </is>
      </c>
      <c r="G4" s="93" t="inlineStr">
        <is>
          <t>Mã câu V3</t>
        </is>
      </c>
      <c r="H4" s="93" t="inlineStr">
        <is>
          <t>Kết luận duyệt V4 (điền)</t>
        </is>
      </c>
    </row>
    <row r="5" ht="51" customHeight="1" s="81">
      <c r="A5" s="94" t="inlineStr">
        <is>
          <t>RV01</t>
        </is>
      </c>
      <c r="B5" s="95" t="inlineStr">
        <is>
          <t>Giờ cắm/rút chính xác tới giây hay phút? Một phiên 4h00m01s có làm tròn lên 4h15 không?</t>
        </is>
      </c>
      <c r="C5" s="95" t="inlineStr">
        <is>
          <t>ĐỀ XUẤT: form nhận phút, backend dùng timestamp thật, làm tròn theo phần lẻ; chưa có xác nhận về cách xử lý giây.</t>
        </is>
      </c>
      <c r="D5" s="95" t="inlineStr">
        <is>
          <t>Trưởng BP CCKB</t>
        </is>
      </c>
      <c r="E5" s="95" t="inlineStr">
        <is>
          <t>P1</t>
        </is>
      </c>
      <c r="F5" s="95" t="inlineStr">
        <is>
          <t>Chưa chốt kỹ thuật biên</t>
        </is>
      </c>
      <c r="G5" s="95" t="inlineStr">
        <is>
          <t>E09</t>
        </is>
      </c>
      <c r="H5" s="98" t="inlineStr"/>
    </row>
    <row r="6" ht="51" customHeight="1" s="81">
      <c r="A6" s="96" t="inlineStr">
        <is>
          <t>RV02</t>
        </is>
      </c>
      <c r="B6" s="97" t="inlineStr">
        <is>
          <t>Phiên điện 0 phút hoặc dưới 1 phút tính tối thiểu bao nhiêu?</t>
        </is>
      </c>
      <c r="C6" s="97" t="inlineStr">
        <is>
          <t>ĐỀ XUẤT: thời lượng &gt;0 tính tối thiểu 15 phút; bằng 0 là dữ liệu chưa hợp lệ, yêu cầu giải trình.</t>
        </is>
      </c>
      <c r="D6" s="97" t="inlineStr">
        <is>
          <t>Trưởng BP CCKB</t>
        </is>
      </c>
      <c r="E6" s="97" t="inlineStr">
        <is>
          <t>P1</t>
        </is>
      </c>
      <c r="F6" s="97" t="inlineStr">
        <is>
          <t>Chưa chốt kỹ thuật biên</t>
        </is>
      </c>
      <c r="G6" s="97" t="inlineStr">
        <is>
          <t>E10</t>
        </is>
      </c>
      <c r="H6" s="98" t="inlineStr"/>
    </row>
    <row r="7" ht="51" customHeight="1" s="81">
      <c r="A7" s="94" t="inlineStr">
        <is>
          <t>RV03</t>
        </is>
      </c>
      <c r="B7" s="95" t="inlineStr">
        <is>
          <t>Giá điện thay đổi giữa phiên, lấy giá lúc bắt đầu hay lúc rút?</t>
        </is>
      </c>
      <c r="C7" s="95" t="inlineStr">
        <is>
          <t>E13 chọn B nhưng ghi chú tùy A/B. Chưa định luật giá mặc định; cần ngày hiệu lực rõ, lịch sử giá.</t>
        </is>
      </c>
      <c r="D7" s="95" t="inlineStr">
        <is>
          <t>Quản trị / CCKB</t>
        </is>
      </c>
      <c r="E7" s="95" t="inlineStr">
        <is>
          <t>P0</t>
        </is>
      </c>
      <c r="F7" s="95" t="inlineStr">
        <is>
          <t>Cần duyệt rõ</t>
        </is>
      </c>
      <c r="G7" s="95" t="inlineStr">
        <is>
          <t>E13</t>
        </is>
      </c>
      <c r="H7" s="98" t="inlineStr"/>
    </row>
    <row r="8" ht="51" customHeight="1" s="81">
      <c r="A8" s="96" t="inlineStr">
        <is>
          <t>RV04</t>
        </is>
      </c>
      <c r="B8" s="97" t="inlineStr">
        <is>
          <t>Đơn giá phí lưu thay đổi khi cont còn trong bãi, tính theo giờ vào hay từng kỳ đêm?</t>
        </is>
      </c>
      <c r="C8" s="97" t="inlineStr">
        <is>
          <t>L09 chọn B nhưng ghi chú A/B linh hoạt; yêu cầu chốt nguyên tắc hiệu lực chính sách.</t>
        </is>
      </c>
      <c r="D8" s="97" t="inlineStr">
        <is>
          <t>An ninh / Quản trị</t>
        </is>
      </c>
      <c r="E8" s="97" t="inlineStr">
        <is>
          <t>P1</t>
        </is>
      </c>
      <c r="F8" s="97" t="inlineStr">
        <is>
          <t>Cần duyệt rõ</t>
        </is>
      </c>
      <c r="G8" s="97" t="inlineStr">
        <is>
          <t>L09</t>
        </is>
      </c>
      <c r="H8" s="98" t="inlineStr"/>
    </row>
    <row r="9" ht="51" customHeight="1" s="81">
      <c r="A9" s="94" t="inlineStr">
        <is>
          <t>RV05</t>
        </is>
      </c>
      <c r="B9" s="95" t="inlineStr">
        <is>
          <t>CCKB cho ra khi điện vẫn báo Đang cắm nhưng thực tế đã rút, quy trình ghi nhật ký và khắc phục ra sao?</t>
        </is>
      </c>
      <c r="C9" s="95" t="inlineStr">
        <is>
          <t>E07 chọn A nhưng diễn giải ưu tiên linh hoạt. Thiết kế cảnh báo + CCKB xác nhận thủ công, cần phê duyệt tiêu chí sử dụng ngoại lệ.</t>
        </is>
      </c>
      <c r="D9" s="95" t="inlineStr">
        <is>
          <t>Trưởng BP CCKB</t>
        </is>
      </c>
      <c r="E9" s="95" t="inlineStr">
        <is>
          <t>P0</t>
        </is>
      </c>
      <c r="F9" s="95" t="inlineStr">
        <is>
          <t>Cần nghiệm thu tình huống</t>
        </is>
      </c>
      <c r="G9" s="95" t="inlineStr">
        <is>
          <t>E07,T08,OUT01</t>
        </is>
      </c>
      <c r="H9" s="98" t="inlineStr"/>
    </row>
    <row r="10" ht="51" customHeight="1" s="81">
      <c r="A10" s="96" t="inlineStr">
        <is>
          <t>RV06</t>
        </is>
      </c>
      <c r="B10" s="97" t="inlineStr">
        <is>
          <t>Tại bước An ninh ghi giờ ra và tính phí lưu, có cho ra với phí lưu chưa thu theo cơ chế ngoại lệ CCKB không?</t>
        </is>
      </c>
      <c r="C10" s="97" t="inlineStr">
        <is>
          <t>T08/OUT01 cho CCKB duyệt nợ nhưng chưa chỉ ra rõ có áp dụng phí lưu phát sinh đúng giờ ra hay không.</t>
        </is>
      </c>
      <c r="D10" s="97" t="inlineStr">
        <is>
          <t>Trưởng BP An ninh/CCKB</t>
        </is>
      </c>
      <c r="E10" s="97" t="inlineStr">
        <is>
          <t>P0</t>
        </is>
      </c>
      <c r="F10" s="97" t="inlineStr">
        <is>
          <t>Cần xác nhận trách nhiệm</t>
        </is>
      </c>
      <c r="G10" s="97" t="inlineStr">
        <is>
          <t>CNT01,T08,OUT01</t>
        </is>
      </c>
      <c r="H10" s="98" t="inlineStr"/>
    </row>
    <row r="11" ht="51" customHeight="1" s="81">
      <c r="A11" s="94" t="inlineStr">
        <is>
          <t>RV07</t>
        </is>
      </c>
      <c r="B11" s="95" t="inlineStr">
        <is>
          <t>Xe cont thường/cont lạnh sử dụng một mã nội bộ CONT_LANH hay đổi mã chung XE_CONTAINER?</t>
        </is>
      </c>
      <c r="C11" s="95" t="inlineStr">
        <is>
          <t>V03 ghi chỉ xe cont 250k và đầu kéo trống 0đ. Đề xuất đổi nhãn hiển thị “Xe container”, không tự thay khóa giá gốc.</t>
        </is>
      </c>
      <c r="D11" s="95" t="inlineStr">
        <is>
          <t>An ninh / Quản trị</t>
        </is>
      </c>
      <c r="E11" s="95" t="inlineStr">
        <is>
          <t>P1</t>
        </is>
      </c>
      <c r="F11" s="95" t="inlineStr">
        <is>
          <t>Cần duyệt hiển thị</t>
        </is>
      </c>
      <c r="G11" s="95" t="inlineStr">
        <is>
          <t>V03</t>
        </is>
      </c>
      <c r="H11" s="98" t="inlineStr"/>
    </row>
    <row r="12" ht="51" customHeight="1" s="81">
      <c r="A12" s="96" t="inlineStr">
        <is>
          <t>RV08</t>
        </is>
      </c>
      <c r="B12" s="97" t="inlineStr">
        <is>
          <t>Có cần vai trò Kế toán hoạt động V1 hay chỉ khai báo để giai đoạn sau sử dụng?</t>
        </is>
      </c>
      <c r="C12" s="97" t="inlineStr">
        <is>
          <t>P01 chọn thêm Kế toán; INV02 chỉ lưu dữ liệu hóa đơn chưa tích hợp; đề xuất tài khoản Kế toán quyền xem danh sách khi sẵn sàng.</t>
        </is>
      </c>
      <c r="D12" s="97" t="inlineStr">
        <is>
          <t>Kế toán / Quản trị</t>
        </is>
      </c>
      <c r="E12" s="97" t="inlineStr">
        <is>
          <t>P1</t>
        </is>
      </c>
      <c r="F12" s="97" t="inlineStr">
        <is>
          <t>Chưa chốt phạm vi</t>
        </is>
      </c>
      <c r="G12" s="97" t="inlineStr">
        <is>
          <t>P01,INV01,INV02</t>
        </is>
      </c>
      <c r="H12" s="98" t="inlineStr"/>
    </row>
    <row r="13" ht="51" customHeight="1" s="81">
      <c r="A13" s="94" t="inlineStr">
        <is>
          <t>RV09</t>
        </is>
      </c>
      <c r="B13" s="95" t="inlineStr">
        <is>
          <t>Bốt An ninh dùng chung tài khoản/thiết bị: xác định người chịu trách nhiệm mỗi thao tác bằng cơ chế nào?</t>
        </is>
      </c>
      <c r="C13" s="95" t="inlineStr">
        <is>
          <t>P07 yêu cầu giai đoạn đầu máy bốt cố định, nhưng báo cáo nhân viên/audit cần người thực hiện; đề xuất PIN ca/đổi người thao tác.</t>
        </is>
      </c>
      <c r="D13" s="95" t="inlineStr">
        <is>
          <t>Trưởng BP An ninh / CNTT</t>
        </is>
      </c>
      <c r="E13" s="95" t="inlineStr">
        <is>
          <t>P0</t>
        </is>
      </c>
      <c r="F13" s="95" t="inlineStr">
        <is>
          <t>Cần thiết kế bảo mật</t>
        </is>
      </c>
      <c r="G13" s="95" t="inlineStr">
        <is>
          <t>P07,P08</t>
        </is>
      </c>
      <c r="H13" s="98" t="inlineStr"/>
    </row>
    <row r="14" ht="51" customHeight="1" s="81">
      <c r="A14" s="96" t="inlineStr">
        <is>
          <t>RV10</t>
        </is>
      </c>
      <c r="B14" s="97" t="inlineStr">
        <is>
          <t>Các dữ liệu legacy sau chuyển được đánh dấu đúng trạng thái và không tự tính công nợ khi giờ ra đang thiếu.</t>
        </is>
      </c>
      <c r="C14" s="97" t="inlineStr">
        <is>
          <t>M03 không muốn đối soát toàn bộ tiền cũ, nhiều xe bỏ sót giờ ra; đề xuất nhóm dữ liệu cần kiểm tra và không phát sinh nghĩa vụ phải thu tự động.</t>
        </is>
      </c>
      <c r="D14" s="97" t="inlineStr">
        <is>
          <t>CNTT / An ninh / CCKB</t>
        </is>
      </c>
      <c r="E14" s="97" t="inlineStr">
        <is>
          <t>P0</t>
        </is>
      </c>
      <c r="F14" s="97" t="inlineStr">
        <is>
          <t>Cần nghiệm thu kỹ thuật</t>
        </is>
      </c>
      <c r="G14" s="97" t="inlineStr">
        <is>
          <t>M01,M03,M04</t>
        </is>
      </c>
      <c r="H14" s="98" t="inlineStr"/>
    </row>
    <row r="15" ht="51" customHeight="1" s="81">
      <c r="A15" s="94" t="inlineStr">
        <is>
          <t>RV11</t>
        </is>
      </c>
      <c r="B15" s="95" t="inlineStr">
        <is>
          <t>Tự động gửi Zalo và lưu ảnh/chứng từ đến mức nào trong V1?</t>
        </is>
      </c>
      <c r="C15" s="95" t="inlineStr">
        <is>
          <t>K09 ghi A/B/C nhưng nhu cầu thực tế Zalo thủ công; đề xuất app có thông báo nội bộ trước, Zalo tích hợp để fase sau.</t>
        </is>
      </c>
      <c r="D15" s="95" t="inlineStr">
        <is>
          <t>CNTT / CCKB</t>
        </is>
      </c>
      <c r="E15" s="95" t="inlineStr">
        <is>
          <t>P2</t>
        </is>
      </c>
      <c r="F15" s="95" t="inlineStr">
        <is>
          <t>Định hướng giai đoạn</t>
        </is>
      </c>
      <c r="G15" s="95" t="inlineStr">
        <is>
          <t>K09,K06</t>
        </is>
      </c>
      <c r="H15" s="98" t="inlineStr"/>
    </row>
    <row r="16" ht="51" customHeight="1" s="81">
      <c r="A16" s="96" t="inlineStr">
        <is>
          <t>RV12</t>
        </is>
      </c>
      <c r="B16" s="97" t="inlineStr">
        <is>
          <t>Thời điểm khóa chốt doanh thu ca có cố định 06–18 hay linh hoạt theo thời điểm nộp tiền?</t>
        </is>
      </c>
      <c r="C16" s="97" t="inlineStr">
        <is>
          <t>T14 cho giờ chốt tiền khác ca làm việc; đề xuất tách ca làm việc, ca thu tiền và mốc báo cáo.</t>
        </is>
      </c>
      <c r="D16" s="97" t="inlineStr">
        <is>
          <t>Trưởng BP An ninh / CCKB</t>
        </is>
      </c>
      <c r="E16" s="97" t="inlineStr">
        <is>
          <t>P1</t>
        </is>
      </c>
      <c r="F16" s="97" t="inlineStr">
        <is>
          <t>Thiết kế biểu mẫu</t>
        </is>
      </c>
      <c r="G16" s="97" t="inlineStr">
        <is>
          <t>T14</t>
        </is>
      </c>
      <c r="H16" s="98" t="inlineStr"/>
    </row>
  </sheetData>
  <autoFilter ref="A4:H16"/>
  <mergeCells count="2">
    <mergeCell ref="A2:H2"/>
    <mergeCell ref="A1:H1"/>
  </mergeCells>
  <printOptions horizontalCentered="1"/>
  <pageMargins left="0.25" right="0.25" top="1" bottom="1" header="0.5" footer="0.5"/>
  <pageSetup orientation="landscape" fitToWidth="1"/>
</worksheet>
</file>

<file path=xl/worksheets/sheet17.xml><?xml version="1.0" encoding="utf-8"?>
<worksheet xmlns="http://schemas.openxmlformats.org/spreadsheetml/2006/main">
  <sheetPr>
    <outlinePr summaryBelow="1" summaryRight="1"/>
    <pageSetUpPr fitToPage="1"/>
  </sheetPr>
  <dimension ref="A1:E11"/>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9" customWidth="1" style="81" min="1" max="1"/>
    <col width="28" customWidth="1" style="81" min="2" max="2"/>
    <col width="83" customWidth="1" style="81" min="3" max="3"/>
    <col width="105" customWidth="1" style="81" min="4" max="4"/>
    <col width="22" customWidth="1" style="81" min="5" max="5"/>
  </cols>
  <sheetData>
    <row r="1" ht="34" customHeight="1" s="81">
      <c r="A1" s="91" t="inlineStr">
        <is>
          <t>V4 | NHẬT KÝ ĐÍNH CHÍNH</t>
        </is>
      </c>
    </row>
    <row r="2" ht="28" customHeight="1" s="81">
      <c r="A2" s="92" t="inlineStr">
        <is>
          <t>Ưu tiên diễn giải mới nhất của người dùng, KHÔNG thay đổi câu trả lời gốc trong tab 01.</t>
        </is>
      </c>
    </row>
    <row r="4" ht="33" customHeight="1" s="81">
      <c r="A4" s="93" t="inlineStr">
        <is>
          <t>STT</t>
        </is>
      </c>
      <c r="B4" s="93" t="inlineStr">
        <is>
          <t>Mốc</t>
        </is>
      </c>
      <c r="C4" s="93" t="inlineStr">
        <is>
          <t>Nội dung đính chính</t>
        </is>
      </c>
      <c r="D4" s="93" t="inlineStr">
        <is>
          <t>Áp dụng từ V4</t>
        </is>
      </c>
      <c r="E4" s="93" t="inlineStr">
        <is>
          <t>Tham chiếu</t>
        </is>
      </c>
    </row>
    <row r="5" ht="51" customHeight="1" s="81">
      <c r="A5" s="94" t="n">
        <v>1</v>
      </c>
      <c r="B5" s="95" t="inlineStr">
        <is>
          <t>Đính chính L04</t>
        </is>
      </c>
      <c r="C5" s="95" t="inlineStr">
        <is>
          <t>Loại bỏ phương án khóa/bảo lưu phí lưu trước 22:00</t>
        </is>
      </c>
      <c r="D5" s="95" t="inlineStr">
        <is>
          <t>Phí lưu chỉ tính theo GIO_CONT_VAO và GIO_CONT_RA thực tế khi container xuất</t>
        </is>
      </c>
      <c r="E5" s="95" t="inlineStr">
        <is>
          <t>L04,T09,CNT01</t>
        </is>
      </c>
    </row>
    <row r="6" ht="51" customHeight="1" s="81">
      <c r="A6" s="96" t="n">
        <v>2</v>
      </c>
      <c r="B6" s="97" t="inlineStr">
        <is>
          <t>Trách nhiệm phí lưu</t>
        </is>
      </c>
      <c r="C6" s="97" t="inlineStr">
        <is>
          <t>Đính chính người thu phí lưu: An ninh (không phải CCKB)</t>
        </is>
      </c>
      <c r="D6" s="97" t="inlineStr">
        <is>
          <t>An ninh chốt/thu phí lưu lúc ra; CCKB xác nhận tài chính cho container</t>
        </is>
      </c>
      <c r="E6" s="97" t="inlineStr">
        <is>
          <t>CNT01,T03</t>
        </is>
      </c>
    </row>
    <row r="7" ht="51" customHeight="1" s="81">
      <c r="A7" s="94" t="n">
        <v>3</v>
      </c>
      <c r="B7" s="95" t="inlineStr">
        <is>
          <t>Thời điểm phí điện</t>
        </is>
      </c>
      <c r="C7" s="95" t="inlineStr">
        <is>
          <t>Giờ rút điện chốt thời lượng/tiền điện, không ảnh hưởng kỳ đêm</t>
        </is>
      </c>
      <c r="D7" s="95" t="inlineStr">
        <is>
          <t>CCKB nhập/sửa giờ cắm/rút thực tế và thu điện; điện có thể thu khi rút/ra</t>
        </is>
      </c>
      <c r="E7" s="95" t="inlineStr">
        <is>
          <t>E01,E04,E06</t>
        </is>
      </c>
    </row>
    <row r="8" ht="51" customHeight="1" s="81">
      <c r="A8" s="96" t="n">
        <v>4</v>
      </c>
      <c r="B8" s="97" t="inlineStr">
        <is>
          <t>Điều chỉnh sau thu</t>
        </is>
      </c>
      <c r="C8" s="97" t="inlineStr">
        <is>
          <t>Chốt tự làm tròn lên theo 15 phút, CCKB được điều chỉnh có audit</t>
        </is>
      </c>
      <c r="D8" s="97" t="inlineStr">
        <is>
          <t>NV đề nghị/TBP phê duyệt hoặc TBP trực tiếp sau thu; giữ giao dịch thu gốc</t>
        </is>
      </c>
      <c r="E8" s="97" t="inlineStr">
        <is>
          <t>E06,E09,E10,E11</t>
        </is>
      </c>
    </row>
    <row r="9" ht="51" customHeight="1" s="81">
      <c r="A9" s="94" t="n">
        <v>5</v>
      </c>
      <c r="B9" s="95" t="inlineStr">
        <is>
          <t>Điện dự kiến</t>
        </is>
      </c>
      <c r="C9" s="95" t="inlineStr">
        <is>
          <t>Cho tạo trước container vào, phiếu riêng mỗi cont</t>
        </is>
      </c>
      <c r="D9" s="95" t="inlineStr">
        <is>
          <t>Bảng yêu cầu dự kiến độc lập, An ninh đối chiếu và liên kết thủ công</t>
        </is>
      </c>
      <c r="E9" s="95" t="inlineStr">
        <is>
          <t>PR01-PR07</t>
        </is>
      </c>
    </row>
    <row r="10" ht="51" customHeight="1" s="81">
      <c r="A10" s="96" t="n">
        <v>6</v>
      </c>
      <c r="B10" s="97" t="inlineStr">
        <is>
          <t>Sửa mã cont</t>
        </is>
      </c>
      <c r="C10" s="97" t="inlineStr">
        <is>
          <t>An ninh được sửa mã sai, CCKB nhận thông báo</t>
        </is>
      </c>
      <c r="D10" s="97" t="inlineStr">
        <is>
          <t>Không mất liên kết/tiền đã thu, trùng mã có cảnh báo, không tự ghép</t>
        </is>
      </c>
      <c r="E10" s="97" t="inlineStr">
        <is>
          <t>SC01-SC08</t>
        </is>
      </c>
    </row>
    <row r="11" ht="51" customHeight="1" s="81">
      <c r="A11" s="94" t="n">
        <v>7</v>
      </c>
      <c r="B11" s="95" t="inlineStr">
        <is>
          <t>Cho xuất chưa đủ tiền</t>
        </is>
      </c>
      <c r="C11" s="95" t="inlineStr">
        <is>
          <t>CCKB được xác nhận thủ công có lý do khi khoản tiền điện/chung chưa ghi nhận đủ</t>
        </is>
      </c>
      <c r="D11" s="95" t="inlineStr">
        <is>
          <t>Cảnh báo công nợ; không tự xóa nợ hoặc tự xác nhận Đã thu</t>
        </is>
      </c>
      <c r="E11" s="95" t="inlineStr">
        <is>
          <t>T08,OUT01</t>
        </is>
      </c>
    </row>
  </sheetData>
  <autoFilter ref="A4:E11"/>
  <mergeCells count="2">
    <mergeCell ref="A2:E2"/>
    <mergeCell ref="A1:E1"/>
  </mergeCells>
  <printOptions horizontalCentered="1"/>
  <pageMargins left="0.25" right="0.2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2026-10-11T05:19:26Z</dcterms:created>
  <dcterms:modified xmlns:dcterms="http://purl.org/dc/terms/" xmlns:xsi="http://www.w3.org/2001/XMLSchema-instance" xsi:type="dcterms:W3CDTF">2026-10-11T05:19:26Z</dcterms:modified>
</cp:coreProperties>
</file>