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TONG_QUAN" sheetId="1" state="visible" r:id="rId1"/>
    <sheet xmlns:r="http://schemas.openxmlformats.org/officeDocument/2006/relationships" name="01_CAU_HOI" sheetId="2" state="visible" r:id="rId2"/>
    <sheet xmlns:r="http://schemas.openxmlformats.org/officeDocument/2006/relationships" name="02_DA_CHOT" sheetId="3" state="visible" r:id="rId3"/>
    <sheet xmlns:r="http://schemas.openxmlformats.org/officeDocument/2006/relationships" name="03_BANG_GIA" sheetId="4" state="visible" r:id="rId4"/>
    <sheet xmlns:r="http://schemas.openxmlformats.org/officeDocument/2006/relationships" name="17_DE_XUAT_PHAN_QUYEN" sheetId="5" state="visible" r:id="rId5"/>
    <sheet xmlns:r="http://schemas.openxmlformats.org/officeDocument/2006/relationships" name="18_KET_LUAN_RUI_RO" sheetId="6" state="visible" r:id="rId6"/>
    <sheet xmlns:r="http://schemas.openxmlformats.org/officeDocument/2006/relationships" name="04_PHAN_QUYEN" sheetId="7" state="visible" r:id="rId7"/>
    <sheet xmlns:r="http://schemas.openxmlformats.org/officeDocument/2006/relationships" name="05_KICH_BAN" sheetId="8" state="visible" r:id="rId8"/>
    <sheet xmlns:r="http://schemas.openxmlformats.org/officeDocument/2006/relationships" name="06_MAPPING_V1" sheetId="9" state="visible" r:id="rId9"/>
    <sheet xmlns:r="http://schemas.openxmlformats.org/officeDocument/2006/relationships" name="07_TAI_KHOAN" sheetId="10" state="visible" r:id="rId10"/>
    <sheet xmlns:r="http://schemas.openxmlformats.org/officeDocument/2006/relationships" name="08_DOI_SOAT" sheetId="11" state="visible" r:id="rId11"/>
    <sheet xmlns:r="http://schemas.openxmlformats.org/officeDocument/2006/relationships" name="09_TINH_DIEN" sheetId="12" state="visible" r:id="rId12"/>
    <sheet xmlns:r="http://schemas.openxmlformats.org/officeDocument/2006/relationships" name="10_DU_KIEN_SUA_SO_CONT" sheetId="13" state="visible" r:id="rId13"/>
    <sheet xmlns:r="http://schemas.openxmlformats.org/officeDocument/2006/relationships" name="11_RA_SOAT_V1" sheetId="14" state="visible" r:id="rId14"/>
    <sheet xmlns:r="http://schemas.openxmlformats.org/officeDocument/2006/relationships" name="12_TRA_LOI_V1_GOC" sheetId="15" state="visible" r:id="rId15"/>
    <sheet xmlns:r="http://schemas.openxmlformats.org/officeDocument/2006/relationships" name="13_V4_QUY_TAC" sheetId="16" state="visible" r:id="rId16"/>
    <sheet xmlns:r="http://schemas.openxmlformats.org/officeDocument/2006/relationships" name="14_V4_KICH_BAN" sheetId="17" state="visible" r:id="rId17"/>
    <sheet xmlns:r="http://schemas.openxmlformats.org/officeDocument/2006/relationships" name="15_V4_DIEM_CAN_KIEM" sheetId="18" state="visible" r:id="rId18"/>
    <sheet xmlns:r="http://schemas.openxmlformats.org/officeDocument/2006/relationships" name="16_V4_CHANGELOG" sheetId="19" state="visible" r:id="rId19"/>
    <sheet xmlns:r="http://schemas.openxmlformats.org/officeDocument/2006/relationships" name="19_V5_VAI_TRO" sheetId="20" state="visible" r:id="rId20"/>
    <sheet xmlns:r="http://schemas.openxmlformats.org/officeDocument/2006/relationships" name="20_V5_DANH_MUC_QUYEN" sheetId="21" state="visible" r:id="rId21"/>
    <sheet xmlns:r="http://schemas.openxmlformats.org/officeDocument/2006/relationships" name="21_V5_CAP_QUYEN_SEED" sheetId="22" state="visible" r:id="rId22"/>
    <sheet xmlns:r="http://schemas.openxmlformats.org/officeDocument/2006/relationships" name="22_V5_MA_TRAN_RBAC" sheetId="23" state="visible" r:id="rId23"/>
    <sheet xmlns:r="http://schemas.openxmlformats.org/officeDocument/2006/relationships" name="23_V5_PHÊ_DUYỆT" sheetId="24" state="visible" r:id="rId24"/>
    <sheet xmlns:r="http://schemas.openxmlformats.org/officeDocument/2006/relationships" name="24_V5_THAM_SO" sheetId="25" state="visible" r:id="rId25"/>
    <sheet xmlns:r="http://schemas.openxmlformats.org/officeDocument/2006/relationships" name="25_V5_MAPPING_Q01_Q39" sheetId="26" state="visible" r:id="rId26"/>
    <sheet xmlns:r="http://schemas.openxmlformats.org/officeDocument/2006/relationships" name="26_V5_LUONG_THAO_TAC" sheetId="27" state="visible" r:id="rId27"/>
    <sheet xmlns:r="http://schemas.openxmlformats.org/officeDocument/2006/relationships" name="27_V5_RUI_RO_UAT" sheetId="28" state="visible" r:id="rId28"/>
    <sheet xmlns:r="http://schemas.openxmlformats.org/officeDocument/2006/relationships" name="28_V5_CHANGELOG" sheetId="29" state="visible" r:id="rId29"/>
  </sheets>
  <definedNames>
    <definedName name="_xlnm._FilterDatabase" localSheetId="1" hidden="1">'01_CAU_HOI'!$A$4:$O$121</definedName>
    <definedName name="_xlnm._FilterDatabase" localSheetId="2" hidden="1">'02_DA_CHOT'!$A$4:$G$55</definedName>
    <definedName name="_xlnm._FilterDatabase" localSheetId="3" hidden="1">'03_BANG_GIA'!$A$4:$O$15</definedName>
    <definedName name="_xlnm._FilterDatabase" localSheetId="4" hidden="1">'17_DE_XUAT_PHAN_QUYEN'!$A$4:$Q$43</definedName>
    <definedName name="_xlnm.Print_Titles" localSheetId="4">'17_DE_XUAT_PHAN_QUYEN'!$1:$4</definedName>
    <definedName name="_xlnm._FilterDatabase" localSheetId="5" hidden="1">'18_KET_LUAN_RUI_RO'!$A$5:$H$17</definedName>
    <definedName name="_xlnm._FilterDatabase" localSheetId="6" hidden="1">'04_PHAN_QUYEN'!$A$4:$M$43</definedName>
    <definedName name="_xlnm._FilterDatabase" localSheetId="7" hidden="1">'05_KICH_BAN'!$A$4:$I$48</definedName>
    <definedName name="_xlnm._FilterDatabase" localSheetId="8" hidden="1">'06_MAPPING_V1'!$A$4:$H$61</definedName>
    <definedName name="_xlnm._FilterDatabase" localSheetId="9" hidden="1">'07_TAI_KHOAN'!$A$4:$I$10</definedName>
    <definedName name="_xlnm._FilterDatabase" localSheetId="10" hidden="1">'08_DOI_SOAT'!$A$4:$I$11</definedName>
    <definedName name="_xlnm._FilterDatabase" localSheetId="13" hidden="1">'11_RA_SOAT_V1'!$A$4:$J$60</definedName>
    <definedName name="_xlnm._FilterDatabase" localSheetId="14" hidden="1">'12_TRA_LOI_V1_GOC'!$A$4:$M$102</definedName>
    <definedName name="_xlnm._FilterDatabase" localSheetId="15" hidden="1">'13_V4_QUY_TAC'!$A$4:$G$55</definedName>
    <definedName name="_xlnm._FilterDatabase" localSheetId="16" hidden="1">'14_V4_KICH_BAN'!$A$4:$H$48</definedName>
    <definedName name="_xlnm._FilterDatabase" localSheetId="17" hidden="1">'15_V4_DIEM_CAN_KIEM'!$A$4:$H$16</definedName>
    <definedName name="_xlnm._FilterDatabase" localSheetId="18" hidden="1">'16_V4_CHANGELOG'!$A$4:$E$11</definedName>
    <definedName name="_xlnm._FilterDatabase" localSheetId="19" hidden="1">'19_V5_VAI_TRO'!$A$4:$G$12</definedName>
    <definedName name="_xlnm._FilterDatabase" localSheetId="20" hidden="1">'20_V5_DANH_MUC_QUYEN'!$A$4:$H$71</definedName>
    <definedName name="_xlnm._FilterDatabase" localSheetId="21" hidden="1">'21_V5_CAP_QUYEN_SEED'!$A$4:$H$210</definedName>
    <definedName name="_xlnm._FilterDatabase" localSheetId="22" hidden="1">'22_V5_MA_TRAN_RBAC'!$A$4:$K$71</definedName>
    <definedName name="_xlnm._FilterDatabase" localSheetId="23" hidden="1">'23_V5_PHÊ_DUYỆT'!$A$4:$I$16</definedName>
    <definedName name="_xlnm._FilterDatabase" localSheetId="24" hidden="1">'24_V5_THAM_SO'!$A$4:$F$24</definedName>
    <definedName name="_xlnm._FilterDatabase" localSheetId="25" hidden="1">'25_V5_MAPPING_Q01_Q39'!$A$4:$E$43</definedName>
    <definedName name="_xlnm._FilterDatabase" localSheetId="26" hidden="1">'26_V5_LUONG_THAO_TAC'!$A$4:$F$16</definedName>
    <definedName name="_xlnm._FilterDatabase" localSheetId="27" hidden="1">'27_V5_RUI_RO_UAT'!$A$4:$E$16</definedName>
    <definedName name="_xlnm._FilterDatabase" localSheetId="28" hidden="1">'28_V5_CHANGELOG'!$A$4:$E$13</definedName>
  </definedNames>
  <calcPr calcId="124519" calcMode="auto" fullCalcOnLoad="1"/>
</workbook>
</file>

<file path=xl/styles.xml><?xml version="1.0" encoding="utf-8"?>
<styleSheet xmlns="http://schemas.openxmlformats.org/spreadsheetml/2006/main">
  <numFmts count="6">
    <numFmt numFmtId="164" formatCode="#,##0&quot; ₫&quot;;[Red](#,##0&quot; ₫&quot;);-"/>
    <numFmt numFmtId="165" formatCode="dd/mm/yyyy"/>
    <numFmt numFmtId="166" formatCode="#,##0&quot; ₫&quot;"/>
    <numFmt numFmtId="167" formatCode="0&quot; phút&quot;"/>
    <numFmt numFmtId="168" formatCode="dd/mm/yyyy hh:mm"/>
    <numFmt numFmtId="169" formatCode="0.00&quot; giờ&quot;"/>
  </numFmts>
  <fonts count="65">
    <font>
      <name val="Calibri"/>
      <color theme="1"/>
      <sz val="11"/>
      <scheme val="minor"/>
    </font>
    <font>
      <name val="Aptos"/>
      <b val="1"/>
      <color rgb="FFFFFFFF"/>
      <sz val="17"/>
    </font>
    <font/>
    <font>
      <name val="Calibri"/>
      <color theme="1"/>
      <sz val="11"/>
    </font>
    <font>
      <name val="Aptos"/>
      <i val="1"/>
      <color rgb="FF677586"/>
      <sz val="10"/>
    </font>
    <font>
      <name val="Aptos"/>
      <b val="1"/>
      <color rgb="FFFFFFFF"/>
      <sz val="10"/>
    </font>
    <font>
      <name val="Aptos"/>
      <b val="1"/>
      <color rgb="FF677586"/>
      <sz val="10"/>
    </font>
    <font>
      <name val="Aptos"/>
      <color rgb="FF677586"/>
      <sz val="10"/>
    </font>
    <font>
      <name val="Aptos"/>
      <color rgb="FF203346"/>
      <sz val="10"/>
    </font>
    <font>
      <name val="Aptos"/>
      <b val="1"/>
      <color rgb="FF19734A"/>
      <sz val="10"/>
    </font>
    <font>
      <name val="Aptos"/>
      <color rgb="FF19734A"/>
      <sz val="10"/>
    </font>
    <font>
      <name val="Aptos"/>
      <b val="1"/>
      <color rgb="FF64748B"/>
      <sz val="10"/>
    </font>
    <font>
      <name val="Aptos"/>
      <b val="1"/>
      <color rgb="FF223873"/>
      <sz val="12"/>
    </font>
    <font>
      <name val="Aptos"/>
      <color rgb="FF64748B"/>
      <sz val="10"/>
    </font>
    <font>
      <name val="Aptos"/>
      <b val="1"/>
      <color rgb="FFAB3C11"/>
    </font>
    <font>
      <name val="Aptos"/>
      <color rgb="FF174AA2"/>
      <sz val="10"/>
    </font>
    <font>
      <name val="Aptos"/>
      <b val="1"/>
      <color rgb="FF164DAD"/>
      <sz val="10"/>
    </font>
    <font>
      <name val="Aptos"/>
      <color rgb="FF164DAD"/>
      <sz val="10"/>
    </font>
    <font>
      <name val="Aptos"/>
      <b val="1"/>
      <color rgb="FF223873"/>
      <sz val="10"/>
    </font>
    <font>
      <name val="Aptos"/>
      <color rgb="FF223873"/>
      <sz val="10"/>
    </font>
    <font>
      <name val="Aptos"/>
      <b val="1"/>
      <color rgb="FF9D591D"/>
      <sz val="10"/>
    </font>
    <font>
      <name val="Aptos"/>
      <color rgb="FF9D591D"/>
      <sz val="10"/>
    </font>
    <font>
      <name val="Aptos"/>
      <b val="1"/>
      <color rgb="FF94720F"/>
    </font>
    <font>
      <name val="Aptos"/>
      <b val="1"/>
      <color rgb="FF223873"/>
      <sz val="19"/>
    </font>
    <font>
      <name val="Aptos"/>
      <b val="1"/>
      <color rgb="FF64748B"/>
    </font>
    <font>
      <name val="Arial"/>
      <color rgb="FF174AA2"/>
      <sz val="10"/>
    </font>
    <font>
      <name val="Aptos"/>
      <b val="1"/>
      <color rgb="FFA34E06"/>
      <sz val="10"/>
    </font>
    <font>
      <name val="Aptos"/>
      <i val="1"/>
      <color rgb="FFB45309"/>
      <sz val="10"/>
    </font>
    <font>
      <name val="Arial"/>
      <color rgb="FF203346"/>
      <sz val="10"/>
    </font>
    <font>
      <name val="Aptos"/>
      <b val="1"/>
      <color rgb="FF1C59AC"/>
      <sz val="11"/>
    </font>
    <font>
      <name val="Aptos"/>
      <b val="1"/>
      <color rgb="FF203346"/>
      <sz val="10"/>
    </font>
    <font>
      <name val="Aptos"/>
      <b val="1"/>
      <color rgb="FF174AA2"/>
      <sz val="10"/>
    </font>
    <font>
      <name val="Aptos"/>
      <b val="1"/>
      <color rgb="FF223873"/>
    </font>
    <font>
      <name val="Aptos"/>
      <b val="1"/>
      <color rgb="FF9A4A0F"/>
    </font>
    <font>
      <name val="Play"/>
      <b val="1"/>
      <color rgb="FFFFFFFF"/>
      <sz val="16"/>
    </font>
    <font>
      <name val="Aptos"/>
      <i val="1"/>
      <color rgb="FF64748B"/>
      <sz val="10"/>
    </font>
    <font>
      <name val="Aptos"/>
      <b val="1"/>
      <color rgb="FFFFFFFF"/>
      <sz val="11"/>
    </font>
    <font>
      <name val="Aptos"/>
      <b val="1"/>
      <color rgb="FF0A9444"/>
      <sz val="10"/>
    </font>
    <font>
      <name val="Aptos"/>
      <b val="1"/>
      <color rgb="FFA65D05"/>
      <sz val="10"/>
    </font>
    <font>
      <name val="Aptos"/>
      <i val="1"/>
      <color rgb="FF203346"/>
      <sz val="10"/>
    </font>
    <font>
      <name val="Aptos"/>
      <b val="1"/>
      <color rgb="FFFFFFFF"/>
      <sz val="16"/>
    </font>
    <font>
      <name val="Aptos"/>
      <color rgb="FF233245"/>
      <sz val="10"/>
    </font>
    <font>
      <name val="Aptos"/>
      <b val="1"/>
      <color rgb="FFB84631"/>
      <sz val="10"/>
    </font>
    <font>
      <name val="Play"/>
      <b val="1"/>
      <color rgb="FFFFFFFF"/>
      <sz val="17"/>
    </font>
    <font>
      <name val="Aptos"/>
      <i val="1"/>
      <color rgb="FF637689"/>
      <sz val="10"/>
    </font>
    <font>
      <name val="Aptos"/>
      <color rgb="FF27425A"/>
      <sz val="10"/>
    </font>
    <font>
      <name val="Aptos"/>
      <color rgb="FF1D4ED8"/>
      <sz val="10"/>
    </font>
    <font>
      <name val="Aptos"/>
      <b val="1"/>
      <color rgb="00FFFFFF"/>
      <sz val="16"/>
    </font>
    <font>
      <name val="Aptos"/>
      <b val="1"/>
      <color rgb="001557B0"/>
      <sz val="10"/>
    </font>
    <font>
      <name val="Aptos"/>
      <color rgb="0065717E"/>
      <sz val="10"/>
    </font>
    <font>
      <name val="Aptos"/>
      <b val="1"/>
      <color rgb="00FFFFFF"/>
      <sz val="10"/>
    </font>
    <font>
      <name val="Aptos"/>
      <b val="1"/>
      <color rgb="0065717E"/>
      <sz val="10"/>
    </font>
    <font>
      <name val="Aptos"/>
      <color rgb="00202936"/>
      <sz val="10"/>
    </font>
    <font>
      <name val="Aptos"/>
      <b val="1"/>
      <color rgb="00915300"/>
    </font>
    <font>
      <name val="Aptos"/>
      <b val="1"/>
      <color rgb="00FFFFFF"/>
    </font>
    <font>
      <name val="Aptos"/>
      <color rgb="00223042"/>
      <sz val="10"/>
    </font>
    <font>
      <name val="Aptos"/>
      <b val="1"/>
      <color rgb="00223042"/>
      <sz val="10"/>
    </font>
    <font>
      <name val="Arial"/>
      <b val="1"/>
      <color rgb="00FFFFFF"/>
      <sz val="15"/>
    </font>
    <font>
      <name val="Arial"/>
      <i val="1"/>
      <color rgb="00172B4D"/>
      <sz val="10"/>
    </font>
    <font>
      <name val="Arial"/>
      <b val="1"/>
      <color rgb="00FFFFFF"/>
      <sz val="10"/>
    </font>
    <font>
      <name val="Arial"/>
      <color rgb="00223873"/>
      <sz val="10"/>
    </font>
    <font>
      <name val="Arial"/>
      <color rgb="00172B4D"/>
      <sz val="10"/>
    </font>
    <font>
      <name val="Arial"/>
      <b val="1"/>
      <color rgb="000A9444"/>
      <sz val="10"/>
    </font>
    <font>
      <name val="Arial"/>
      <b val="1"/>
      <color rgb="009C5700"/>
      <sz val="10"/>
    </font>
    <font>
      <name val="Arial"/>
      <color rgb="009AA5B1"/>
      <sz val="10"/>
    </font>
  </fonts>
  <fills count="27">
    <fill>
      <patternFill/>
    </fill>
    <fill>
      <patternFill patternType="lightGray"/>
    </fill>
    <fill>
      <patternFill patternType="solid">
        <fgColor rgb="FF223873"/>
        <bgColor rgb="FF223873"/>
      </patternFill>
    </fill>
    <fill>
      <patternFill patternType="solid">
        <fgColor rgb="FFF5F8FA"/>
        <bgColor rgb="FFF5F8FA"/>
      </patternFill>
    </fill>
    <fill>
      <patternFill patternType="solid">
        <fgColor rgb="FF0A9444"/>
        <bgColor rgb="FF0A9444"/>
      </patternFill>
    </fill>
    <fill>
      <patternFill patternType="solid">
        <fgColor rgb="FFFFFFFF"/>
        <bgColor rgb="FFFFFFFF"/>
      </patternFill>
    </fill>
    <fill>
      <patternFill patternType="solid">
        <fgColor rgb="FFE9F5ED"/>
        <bgColor rgb="FFE9F5ED"/>
      </patternFill>
    </fill>
    <fill>
      <patternFill patternType="solid">
        <fgColor rgb="FFFFF5D9"/>
        <bgColor rgb="FFFFF5D9"/>
      </patternFill>
    </fill>
    <fill>
      <patternFill patternType="solid">
        <fgColor rgb="FFEAF7EF"/>
        <bgColor rgb="FFEAF7EF"/>
      </patternFill>
    </fill>
    <fill>
      <patternFill patternType="solid">
        <fgColor rgb="FFFBE9E7"/>
        <bgColor rgb="FFFBE9E7"/>
      </patternFill>
    </fill>
    <fill>
      <patternFill patternType="solid">
        <fgColor rgb="FFFFF0D1"/>
        <bgColor rgb="FFFFF0D1"/>
      </patternFill>
    </fill>
    <fill>
      <patternFill patternType="solid">
        <fgColor rgb="FFEFF8F2"/>
        <bgColor rgb="FFEFF8F2"/>
      </patternFill>
    </fill>
    <fill>
      <patternFill patternType="solid">
        <fgColor rgb="FFFFF0D9"/>
        <bgColor rgb="FFFFF0D9"/>
      </patternFill>
    </fill>
    <fill>
      <patternFill patternType="solid">
        <fgColor rgb="FFF5F7FA"/>
        <bgColor rgb="FFF5F7FA"/>
      </patternFill>
    </fill>
    <fill>
      <patternFill patternType="solid">
        <fgColor rgb="FFE7EEF9"/>
        <bgColor rgb="FFE7EEF9"/>
      </patternFill>
    </fill>
    <fill>
      <patternFill patternType="solid">
        <fgColor rgb="FFF4F7FA"/>
        <bgColor rgb="FFF4F7FA"/>
      </patternFill>
    </fill>
    <fill>
      <patternFill patternType="solid">
        <fgColor rgb="FFFFF6CF"/>
        <bgColor rgb="FFFFF6CF"/>
      </patternFill>
    </fill>
    <fill>
      <patternFill patternType="solid">
        <fgColor rgb="00223873"/>
      </patternFill>
    </fill>
    <fill>
      <patternFill patternType="solid">
        <fgColor rgb="00F5F8FA"/>
      </patternFill>
    </fill>
    <fill>
      <patternFill patternType="solid">
        <fgColor rgb="00E7F5EB"/>
      </patternFill>
    </fill>
    <fill>
      <patternFill patternType="solid">
        <fgColor rgb="00FFFFFF"/>
      </patternFill>
    </fill>
    <fill>
      <patternFill patternType="solid">
        <fgColor rgb="00F7FAFC"/>
      </patternFill>
    </fill>
    <fill>
      <patternFill patternType="solid">
        <fgColor rgb="00FFF0C2"/>
      </patternFill>
    </fill>
    <fill>
      <patternFill patternType="solid">
        <fgColor rgb="00FFF5E4"/>
      </patternFill>
    </fill>
    <fill>
      <patternFill patternType="solid">
        <fgColor rgb="000A9444"/>
      </patternFill>
    </fill>
    <fill>
      <patternFill patternType="solid">
        <fgColor rgb="00FFF0DC"/>
      </patternFill>
    </fill>
    <fill>
      <patternFill patternType="solid">
        <fgColor rgb="00EAF7F0"/>
      </patternFill>
    </fill>
  </fills>
  <borders count="6">
    <border/>
    <border>
      <left/>
      <top/>
      <bottom/>
    </border>
    <border>
      <top/>
      <bottom/>
    </border>
    <border>
      <right/>
      <top/>
      <bottom/>
    </border>
    <border>
      <left/>
      <right/>
      <top/>
      <bottom/>
    </border>
    <border>
      <bottom style="hair">
        <color rgb="00DCE6E9"/>
      </bottom>
    </border>
  </borders>
  <cellStyleXfs count="1">
    <xf numFmtId="0" fontId="0" fillId="0" borderId="0"/>
  </cellStyleXfs>
  <cellXfs count="14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pivotButton="0" quotePrefix="0" xfId="0"/>
    <xf numFmtId="0" fontId="4" fillId="3" borderId="1" applyAlignment="1" pivotButton="0" quotePrefix="0" xfId="0">
      <alignment vertical="center" wrapText="1"/>
    </xf>
    <xf numFmtId="0" fontId="5" fillId="4" borderId="4" applyAlignment="1" pivotButton="0" quotePrefix="0" xfId="0">
      <alignment horizontal="left" vertical="center" wrapText="1"/>
    </xf>
    <xf numFmtId="0" fontId="5" fillId="4" borderId="4" applyAlignment="1" pivotButton="0" quotePrefix="0" xfId="0">
      <alignment vertical="center" wrapText="1"/>
    </xf>
    <xf numFmtId="0" fontId="6" fillId="5" borderId="4" applyAlignment="1" pivotButton="0" quotePrefix="0" xfId="0">
      <alignment vertical="center" wrapText="1"/>
    </xf>
    <xf numFmtId="0" fontId="7" fillId="5" borderId="4" applyAlignment="1" pivotButton="0" quotePrefix="0" xfId="0">
      <alignment vertical="center" wrapText="1"/>
    </xf>
    <xf numFmtId="0" fontId="8" fillId="5" borderId="4" applyAlignment="1" pivotButton="0" quotePrefix="0" xfId="0">
      <alignment vertical="center" wrapText="1"/>
    </xf>
    <xf numFmtId="0" fontId="9" fillId="6" borderId="4" applyAlignment="1" pivotButton="0" quotePrefix="0" xfId="0">
      <alignment vertical="center" wrapText="1"/>
    </xf>
    <xf numFmtId="0" fontId="10" fillId="6" borderId="4" applyAlignment="1" pivotButton="0" quotePrefix="0" xfId="0">
      <alignment vertical="center" wrapText="1"/>
    </xf>
    <xf numFmtId="0" fontId="6" fillId="3" borderId="4" applyAlignment="1" pivotButton="0" quotePrefix="0" xfId="0">
      <alignment vertical="center" wrapText="1"/>
    </xf>
    <xf numFmtId="0" fontId="7" fillId="3" borderId="4" applyAlignment="1" pivotButton="0" quotePrefix="0" xfId="0">
      <alignment vertical="center" wrapText="1"/>
    </xf>
    <xf numFmtId="0" fontId="12" fillId="0" borderId="0" pivotButton="0" quotePrefix="0" xfId="0"/>
    <xf numFmtId="0" fontId="8" fillId="3" borderId="4" applyAlignment="1" pivotButton="0" quotePrefix="0" xfId="0">
      <alignment vertical="center" wrapText="1"/>
    </xf>
    <xf numFmtId="0" fontId="11" fillId="5" borderId="4" applyAlignment="1" pivotButton="0" quotePrefix="0" xfId="0">
      <alignment vertical="center" wrapText="1"/>
    </xf>
    <xf numFmtId="0" fontId="13" fillId="5" borderId="4" applyAlignment="1" pivotButton="0" quotePrefix="0" xfId="0">
      <alignment vertical="center" wrapText="1"/>
    </xf>
    <xf numFmtId="0" fontId="14" fillId="5" borderId="4" applyAlignment="1" pivotButton="0" quotePrefix="0" xfId="0">
      <alignment horizontal="center" vertical="center"/>
    </xf>
    <xf numFmtId="164" fontId="10" fillId="6" borderId="4" applyAlignment="1" pivotButton="0" quotePrefix="0" xfId="0">
      <alignment vertical="center" wrapText="1"/>
    </xf>
    <xf numFmtId="0" fontId="6" fillId="0" borderId="0" applyAlignment="1" pivotButton="0" quotePrefix="0" xfId="0">
      <alignment horizontal="center"/>
    </xf>
    <xf numFmtId="0" fontId="7" fillId="6" borderId="4" applyAlignment="1" pivotButton="0" quotePrefix="0" xfId="0">
      <alignment vertical="center" wrapText="1"/>
    </xf>
    <xf numFmtId="0" fontId="15" fillId="7" borderId="4" applyAlignment="1" pivotButton="0" quotePrefix="0" xfId="0">
      <alignment vertical="center" wrapText="1"/>
    </xf>
    <xf numFmtId="0" fontId="16" fillId="7" borderId="4" applyAlignment="1" pivotButton="0" quotePrefix="0" xfId="0">
      <alignment vertical="center" wrapText="1"/>
    </xf>
    <xf numFmtId="0" fontId="17" fillId="7" borderId="4" applyAlignment="1" pivotButton="0" quotePrefix="0" xfId="0">
      <alignment vertical="center" wrapText="1"/>
    </xf>
    <xf numFmtId="165" fontId="15" fillId="7" borderId="4" applyAlignment="1" pivotButton="0" quotePrefix="0" xfId="0">
      <alignment vertical="center" wrapText="1"/>
    </xf>
    <xf numFmtId="0" fontId="18" fillId="8" borderId="4" applyAlignment="1" pivotButton="0" quotePrefix="0" xfId="0">
      <alignment vertical="center" wrapText="1"/>
    </xf>
    <xf numFmtId="0" fontId="19" fillId="8" borderId="4" applyAlignment="1" pivotButton="0" quotePrefix="0" xfId="0">
      <alignment vertical="center" wrapText="1"/>
    </xf>
    <xf numFmtId="0" fontId="11" fillId="3" borderId="4" applyAlignment="1" pivotButton="0" quotePrefix="0" xfId="0">
      <alignment vertical="center" wrapText="1"/>
    </xf>
    <xf numFmtId="0" fontId="13" fillId="3" borderId="4" applyAlignment="1" pivotButton="0" quotePrefix="0" xfId="0">
      <alignment vertical="center" wrapText="1"/>
    </xf>
    <xf numFmtId="0" fontId="14" fillId="3" borderId="4" applyAlignment="1" pivotButton="0" quotePrefix="0" xfId="0">
      <alignment horizontal="center" vertical="center"/>
    </xf>
    <xf numFmtId="0" fontId="20" fillId="9" borderId="4" applyAlignment="1" pivotButton="0" quotePrefix="0" xfId="0">
      <alignment vertical="center" wrapText="1"/>
    </xf>
    <xf numFmtId="0" fontId="21" fillId="9" borderId="4" applyAlignment="1" pivotButton="0" quotePrefix="0" xfId="0">
      <alignment vertical="center" wrapText="1"/>
    </xf>
    <xf numFmtId="0" fontId="9" fillId="3" borderId="4" applyAlignment="1" pivotButton="0" quotePrefix="0" xfId="0">
      <alignment vertical="center" wrapText="1"/>
    </xf>
    <xf numFmtId="0" fontId="10" fillId="3" borderId="4" applyAlignment="1" pivotButton="0" quotePrefix="0" xfId="0">
      <alignment vertical="center" wrapText="1"/>
    </xf>
    <xf numFmtId="164" fontId="10" fillId="3" borderId="4" applyAlignment="1" pivotButton="0" quotePrefix="0" xfId="0">
      <alignment vertical="center" wrapText="1"/>
    </xf>
    <xf numFmtId="0" fontId="20" fillId="10" borderId="4" applyAlignment="1" pivotButton="0" quotePrefix="0" xfId="0">
      <alignment vertical="center" wrapText="1"/>
    </xf>
    <xf numFmtId="0" fontId="21" fillId="10" borderId="4" applyAlignment="1" pivotButton="0" quotePrefix="0" xfId="0">
      <alignment vertical="center" wrapText="1"/>
    </xf>
    <xf numFmtId="0" fontId="22" fillId="3" borderId="4" applyAlignment="1" pivotButton="0" quotePrefix="0" xfId="0">
      <alignment horizontal="center" vertical="center"/>
    </xf>
    <xf numFmtId="0" fontId="22" fillId="5" borderId="4" applyAlignment="1" pivotButton="0" quotePrefix="0" xfId="0">
      <alignment horizontal="center" vertical="center"/>
    </xf>
    <xf numFmtId="0" fontId="23" fillId="6" borderId="4" applyAlignment="1" pivotButton="0" quotePrefix="0" xfId="0">
      <alignment horizontal="center" vertical="center"/>
    </xf>
    <xf numFmtId="9" fontId="23" fillId="6" borderId="4" applyAlignment="1" pivotButton="0" quotePrefix="0" xfId="0">
      <alignment horizontal="center" vertical="center"/>
    </xf>
    <xf numFmtId="0" fontId="8" fillId="3" borderId="1" applyAlignment="1" pivotButton="0" quotePrefix="0" xfId="0">
      <alignment vertical="center" wrapText="1"/>
    </xf>
    <xf numFmtId="0" fontId="8" fillId="0" borderId="0" applyAlignment="1" pivotButton="0" quotePrefix="0" xfId="0">
      <alignment vertical="center" wrapText="1"/>
    </xf>
    <xf numFmtId="0" fontId="5" fillId="2" borderId="4" applyAlignment="1" pivotButton="0" quotePrefix="0" xfId="0">
      <alignment vertical="center" wrapText="1"/>
    </xf>
    <xf numFmtId="0" fontId="24" fillId="5" borderId="4" applyAlignment="1" pivotButton="0" quotePrefix="0" xfId="0">
      <alignment horizontal="center" vertical="center"/>
    </xf>
    <xf numFmtId="0" fontId="24" fillId="3" borderId="4" applyAlignment="1" pivotButton="0" quotePrefix="0" xfId="0">
      <alignment horizontal="center" vertical="center"/>
    </xf>
    <xf numFmtId="0" fontId="25" fillId="7" borderId="4" applyAlignment="1" pivotButton="0" quotePrefix="0" xfId="0">
      <alignment vertical="center" wrapText="1"/>
    </xf>
    <xf numFmtId="0" fontId="15" fillId="11" borderId="4" applyAlignment="1" pivotButton="0" quotePrefix="0" xfId="0">
      <alignment vertical="center" wrapText="1"/>
    </xf>
    <xf numFmtId="0" fontId="26" fillId="12" borderId="1" pivotButton="0" quotePrefix="0" xfId="0"/>
    <xf numFmtId="0" fontId="7" fillId="0" borderId="0" pivotButton="0" quotePrefix="0" xfId="0"/>
    <xf numFmtId="0" fontId="27" fillId="0" borderId="0" applyAlignment="1" pivotButton="0" quotePrefix="0" xfId="0">
      <alignment wrapText="1"/>
    </xf>
    <xf numFmtId="0" fontId="28" fillId="5" borderId="4" applyAlignment="1" pivotButton="0" quotePrefix="0" xfId="0">
      <alignment vertical="center" wrapText="1"/>
    </xf>
    <xf numFmtId="0" fontId="29" fillId="0" borderId="0" pivotButton="0" quotePrefix="0" xfId="0"/>
    <xf numFmtId="0" fontId="25" fillId="7" borderId="4" applyAlignment="1" pivotButton="0" quotePrefix="0" xfId="0">
      <alignment vertical="center" wrapText="1"/>
    </xf>
    <xf numFmtId="0" fontId="28" fillId="5" borderId="4" applyAlignment="1" pivotButton="0" quotePrefix="0" xfId="0">
      <alignment vertical="center" wrapText="1"/>
    </xf>
    <xf numFmtId="0" fontId="3" fillId="0" borderId="0" pivotButton="0" quotePrefix="0" xfId="0"/>
    <xf numFmtId="0" fontId="28" fillId="3" borderId="4" applyAlignment="1" pivotButton="0" quotePrefix="0" xfId="0">
      <alignment vertical="center" wrapText="1"/>
    </xf>
    <xf numFmtId="0" fontId="30" fillId="3" borderId="4" applyAlignment="1" pivotButton="0" quotePrefix="0" xfId="0">
      <alignment vertical="center" wrapText="1"/>
    </xf>
    <xf numFmtId="166" fontId="31" fillId="7" borderId="4" applyAlignment="1" pivotButton="0" quotePrefix="0" xfId="0">
      <alignment vertical="center" wrapText="1"/>
    </xf>
    <xf numFmtId="167" fontId="31" fillId="7" borderId="4" applyAlignment="1" pivotButton="0" quotePrefix="0" xfId="0">
      <alignment vertical="center" wrapText="1"/>
    </xf>
    <xf numFmtId="168" fontId="15" fillId="7" borderId="4" applyAlignment="1" pivotButton="0" quotePrefix="0" xfId="0">
      <alignment vertical="center" wrapText="1"/>
    </xf>
    <xf numFmtId="169" fontId="8" fillId="5" borderId="4" applyAlignment="1" pivotButton="0" quotePrefix="0" xfId="0">
      <alignment vertical="center" wrapText="1"/>
    </xf>
    <xf numFmtId="164" fontId="8" fillId="5" borderId="4" applyAlignment="1" pivotButton="0" quotePrefix="0" xfId="0">
      <alignment vertical="center" wrapText="1"/>
    </xf>
    <xf numFmtId="169" fontId="8" fillId="3" borderId="4" applyAlignment="1" pivotButton="0" quotePrefix="0" xfId="0">
      <alignment vertical="center" wrapText="1"/>
    </xf>
    <xf numFmtId="164" fontId="8" fillId="3" borderId="4" applyAlignment="1" pivotButton="0" quotePrefix="0" xfId="0">
      <alignment vertical="center" wrapText="1"/>
    </xf>
    <xf numFmtId="0" fontId="32" fillId="0" borderId="0" pivotButton="0" quotePrefix="0" xfId="0"/>
    <xf numFmtId="0" fontId="8" fillId="0" borderId="0" pivotButton="0" quotePrefix="0" xfId="0"/>
    <xf numFmtId="0" fontId="33" fillId="12" borderId="1" pivotButton="0" quotePrefix="0" xfId="0"/>
    <xf numFmtId="0" fontId="34" fillId="2" borderId="1" applyAlignment="1" pivotButton="0" quotePrefix="0" xfId="0">
      <alignment vertical="center"/>
    </xf>
    <xf numFmtId="0" fontId="35" fillId="0" borderId="0" applyAlignment="1" pivotButton="0" quotePrefix="0" xfId="0">
      <alignment vertical="center" wrapText="1"/>
    </xf>
    <xf numFmtId="0" fontId="36" fillId="4" borderId="1" applyAlignment="1" pivotButton="0" quotePrefix="0" xfId="0">
      <alignment vertical="center"/>
    </xf>
    <xf numFmtId="0" fontId="8" fillId="0" borderId="0" applyAlignment="1" pivotButton="0" quotePrefix="0" xfId="0">
      <alignment vertical="top" wrapText="1"/>
    </xf>
    <xf numFmtId="0" fontId="37" fillId="11" borderId="4" applyAlignment="1" pivotButton="0" quotePrefix="0" xfId="0">
      <alignment vertical="top" wrapText="1"/>
    </xf>
    <xf numFmtId="0" fontId="8" fillId="13" borderId="4" applyAlignment="1" pivotButton="0" quotePrefix="0" xfId="0">
      <alignment vertical="top" wrapText="1"/>
    </xf>
    <xf numFmtId="0" fontId="38" fillId="7" borderId="4" applyAlignment="1" pivotButton="0" quotePrefix="0" xfId="0">
      <alignment vertical="top" wrapText="1"/>
    </xf>
    <xf numFmtId="0" fontId="18" fillId="7" borderId="1" applyAlignment="1" pivotButton="0" quotePrefix="0" xfId="0">
      <alignment vertical="center" wrapText="1"/>
    </xf>
    <xf numFmtId="0" fontId="39" fillId="0" borderId="0" applyAlignment="1" pivotButton="0" quotePrefix="0" xfId="0">
      <alignment vertical="center" wrapText="1"/>
    </xf>
    <xf numFmtId="0" fontId="40" fillId="2" borderId="1" applyAlignment="1" pivotButton="0" quotePrefix="0" xfId="0">
      <alignment vertical="center" wrapText="1"/>
    </xf>
    <xf numFmtId="0" fontId="41" fillId="14" borderId="1" applyAlignment="1" pivotButton="0" quotePrefix="0" xfId="0">
      <alignment vertical="center" wrapText="1"/>
    </xf>
    <xf numFmtId="0" fontId="41" fillId="0" borderId="0" applyAlignment="1" pivotButton="0" quotePrefix="0" xfId="0">
      <alignment vertical="center" wrapText="1"/>
    </xf>
    <xf numFmtId="0" fontId="42" fillId="9" borderId="4" applyAlignment="1" pivotButton="0" quotePrefix="0" xfId="0">
      <alignment vertical="center" wrapText="1"/>
    </xf>
    <xf numFmtId="0" fontId="41" fillId="15" borderId="4" applyAlignment="1" pivotButton="0" quotePrefix="0" xfId="0">
      <alignment vertical="center" wrapText="1"/>
    </xf>
    <xf numFmtId="0" fontId="17" fillId="0" borderId="0" applyAlignment="1" pivotButton="0" quotePrefix="0" xfId="0">
      <alignment vertical="center" wrapText="1"/>
    </xf>
    <xf numFmtId="0" fontId="17" fillId="15" borderId="4" applyAlignment="1" pivotButton="0" quotePrefix="0" xfId="0">
      <alignment vertical="center" wrapText="1"/>
    </xf>
    <xf numFmtId="0" fontId="43" fillId="2" borderId="0" applyAlignment="1" pivotButton="0" quotePrefix="0" xfId="0">
      <alignment vertical="center"/>
    </xf>
    <xf numFmtId="0" fontId="44" fillId="0" borderId="0" pivotButton="0" quotePrefix="0" xfId="0"/>
    <xf numFmtId="0" fontId="5" fillId="4" borderId="0" applyAlignment="1" pivotButton="0" quotePrefix="0" xfId="0">
      <alignment vertical="center" wrapText="1"/>
    </xf>
    <xf numFmtId="0" fontId="18" fillId="0" borderId="0" applyAlignment="1" pivotButton="0" quotePrefix="0" xfId="0">
      <alignment vertical="top" wrapText="1"/>
    </xf>
    <xf numFmtId="0" fontId="45" fillId="0" borderId="0" applyAlignment="1" pivotButton="0" quotePrefix="0" xfId="0">
      <alignment vertical="top" wrapText="1"/>
    </xf>
    <xf numFmtId="0" fontId="18" fillId="15" borderId="0" applyAlignment="1" pivotButton="0" quotePrefix="0" xfId="0">
      <alignment vertical="top" wrapText="1"/>
    </xf>
    <xf numFmtId="0" fontId="45" fillId="15" borderId="0" applyAlignment="1" pivotButton="0" quotePrefix="0" xfId="0">
      <alignment vertical="top" wrapText="1"/>
    </xf>
    <xf numFmtId="0" fontId="46" fillId="16" borderId="0" applyAlignment="1" pivotButton="0" quotePrefix="0" xfId="0">
      <alignment vertical="top" wrapText="1"/>
    </xf>
    <xf numFmtId="0" fontId="0" fillId="0" borderId="0" pivotButton="0" quotePrefix="0" xfId="0"/>
    <xf numFmtId="0" fontId="1" fillId="2" borderId="4" applyAlignment="1" pivotButton="0" quotePrefix="0" xfId="0">
      <alignment horizontal="left" vertical="center"/>
    </xf>
    <xf numFmtId="0" fontId="4" fillId="3" borderId="4" applyAlignment="1" pivotButton="0" quotePrefix="0" xfId="0">
      <alignment vertical="center" wrapText="1"/>
    </xf>
    <xf numFmtId="0" fontId="26" fillId="12" borderId="4" pivotButton="0" quotePrefix="0" xfId="0"/>
    <xf numFmtId="0" fontId="47" fillId="17" borderId="0" applyAlignment="1" pivotButton="0" quotePrefix="0" xfId="0">
      <alignment vertical="center" wrapText="1"/>
    </xf>
    <xf numFmtId="0" fontId="0" fillId="0" borderId="0" applyAlignment="1" pivotButton="0" quotePrefix="0" xfId="0">
      <alignment vertical="center" wrapText="1"/>
    </xf>
    <xf numFmtId="0" fontId="48" fillId="0" borderId="0" applyAlignment="1" pivotButton="0" quotePrefix="0" xfId="0">
      <alignment vertical="center" wrapText="1"/>
    </xf>
    <xf numFmtId="0" fontId="49" fillId="0" borderId="0" applyAlignment="1" pivotButton="0" quotePrefix="0" xfId="0">
      <alignment vertical="center" wrapText="1"/>
    </xf>
    <xf numFmtId="0" fontId="50" fillId="17" borderId="0" applyAlignment="1" pivotButton="0" quotePrefix="0" xfId="0">
      <alignment vertical="center" wrapText="1"/>
    </xf>
    <xf numFmtId="0" fontId="51" fillId="18" borderId="0" applyAlignment="1" pivotButton="0" quotePrefix="0" xfId="0">
      <alignment vertical="top" wrapText="1"/>
    </xf>
    <xf numFmtId="0" fontId="49" fillId="18" borderId="0" applyAlignment="1" pivotButton="0" quotePrefix="0" xfId="0">
      <alignment vertical="top" wrapText="1"/>
    </xf>
    <xf numFmtId="0" fontId="52" fillId="18" borderId="0" applyAlignment="1" pivotButton="0" quotePrefix="0" xfId="0">
      <alignment vertical="top" wrapText="1"/>
    </xf>
    <xf numFmtId="0" fontId="52" fillId="19" borderId="0" applyAlignment="1" pivotButton="0" quotePrefix="0" xfId="0">
      <alignment vertical="top" wrapText="1"/>
    </xf>
    <xf numFmtId="0" fontId="51" fillId="20" borderId="0" applyAlignment="1" pivotButton="0" quotePrefix="0" xfId="0">
      <alignment vertical="top" wrapText="1"/>
    </xf>
    <xf numFmtId="0" fontId="49" fillId="20" borderId="0" applyAlignment="1" pivotButton="0" quotePrefix="0" xfId="0">
      <alignment vertical="top" wrapText="1"/>
    </xf>
    <xf numFmtId="0" fontId="52" fillId="20" borderId="0" applyAlignment="1" pivotButton="0" quotePrefix="0" xfId="0">
      <alignment vertical="top" wrapText="1"/>
    </xf>
    <xf numFmtId="0" fontId="52" fillId="21" borderId="0" applyAlignment="1" pivotButton="0" quotePrefix="0" xfId="0">
      <alignment vertical="top" wrapText="1"/>
    </xf>
    <xf numFmtId="0" fontId="48" fillId="22" borderId="0" applyAlignment="1" pivotButton="0" quotePrefix="0" xfId="0">
      <alignment vertical="top" wrapText="1"/>
    </xf>
    <xf numFmtId="0" fontId="53" fillId="21" borderId="0" applyAlignment="1" pivotButton="0" quotePrefix="0" xfId="0">
      <alignment vertical="top" wrapText="1"/>
    </xf>
    <xf numFmtId="0" fontId="54" fillId="17" borderId="0" applyAlignment="1" pivotButton="0" quotePrefix="0" xfId="0">
      <alignment vertical="center" wrapText="1"/>
    </xf>
    <xf numFmtId="0" fontId="55" fillId="23" borderId="0" applyAlignment="1" pivotButton="0" quotePrefix="0" xfId="0">
      <alignment vertical="top" wrapText="1"/>
    </xf>
    <xf numFmtId="0" fontId="56" fillId="23" borderId="0" applyAlignment="1" pivotButton="0" quotePrefix="0" xfId="0">
      <alignment vertical="top" wrapText="1"/>
    </xf>
    <xf numFmtId="0" fontId="55" fillId="21" borderId="0" applyAlignment="1" pivotButton="0" quotePrefix="0" xfId="0">
      <alignment vertical="top" wrapText="1"/>
    </xf>
    <xf numFmtId="0" fontId="56" fillId="21" borderId="0" applyAlignment="1" pivotButton="0" quotePrefix="0" xfId="0">
      <alignment vertical="top" wrapText="1"/>
    </xf>
    <xf numFmtId="0" fontId="55" fillId="20" borderId="0" applyAlignment="1" pivotButton="0" quotePrefix="0" xfId="0">
      <alignment vertical="top" wrapText="1"/>
    </xf>
    <xf numFmtId="0" fontId="56" fillId="20" borderId="0" applyAlignment="1" pivotButton="0" quotePrefix="0" xfId="0">
      <alignment vertical="top" wrapText="1"/>
    </xf>
    <xf numFmtId="0" fontId="33" fillId="12" borderId="4" pivotButton="0" quotePrefix="0" xfId="0"/>
    <xf numFmtId="0" fontId="34" fillId="2" borderId="4" applyAlignment="1" pivotButton="0" quotePrefix="0" xfId="0">
      <alignment vertical="center"/>
    </xf>
    <xf numFmtId="0" fontId="36" fillId="4" borderId="4" applyAlignment="1" pivotButton="0" quotePrefix="0" xfId="0">
      <alignment vertical="center"/>
    </xf>
    <xf numFmtId="0" fontId="18" fillId="7" borderId="4" applyAlignment="1" pivotButton="0" quotePrefix="0" xfId="0">
      <alignment vertical="center" wrapText="1"/>
    </xf>
    <xf numFmtId="0" fontId="40" fillId="2" borderId="4" applyAlignment="1" pivotButton="0" quotePrefix="0" xfId="0">
      <alignment vertical="center" wrapText="1"/>
    </xf>
    <xf numFmtId="0" fontId="41" fillId="14" borderId="4" applyAlignment="1" pivotButton="0" quotePrefix="0" xfId="0">
      <alignment vertical="center" wrapText="1"/>
    </xf>
    <xf numFmtId="0" fontId="57" fillId="17" borderId="0" applyAlignment="1" pivotButton="0" quotePrefix="0" xfId="0">
      <alignment vertical="center"/>
    </xf>
    <xf numFmtId="0" fontId="58" fillId="0" borderId="0" applyAlignment="1" pivotButton="0" quotePrefix="0" xfId="0">
      <alignment vertical="center" wrapText="1"/>
    </xf>
    <xf numFmtId="0" fontId="59" fillId="24" borderId="0" applyAlignment="1" pivotButton="0" quotePrefix="0" xfId="0">
      <alignment vertical="center" wrapText="1"/>
    </xf>
    <xf numFmtId="0" fontId="60" fillId="0" borderId="5" applyAlignment="1" pivotButton="0" quotePrefix="0" xfId="0">
      <alignment horizontal="left" vertical="center" wrapText="1"/>
    </xf>
    <xf numFmtId="0" fontId="61" fillId="0" borderId="5" applyAlignment="1" pivotButton="0" quotePrefix="0" xfId="0">
      <alignment horizontal="left" vertical="center" wrapText="1"/>
    </xf>
    <xf numFmtId="0" fontId="62" fillId="0" borderId="5" applyAlignment="1" pivotButton="0" quotePrefix="0" xfId="0">
      <alignment horizontal="left" vertical="center" wrapText="1"/>
    </xf>
    <xf numFmtId="0" fontId="60" fillId="21" borderId="5" applyAlignment="1" pivotButton="0" quotePrefix="0" xfId="0">
      <alignment horizontal="left" vertical="center" wrapText="1"/>
    </xf>
    <xf numFmtId="0" fontId="61" fillId="21" borderId="5" applyAlignment="1" pivotButton="0" quotePrefix="0" xfId="0">
      <alignment horizontal="left" vertical="center" wrapText="1"/>
    </xf>
    <xf numFmtId="0" fontId="62" fillId="21" borderId="5" applyAlignment="1" pivotButton="0" quotePrefix="0" xfId="0">
      <alignment horizontal="left" vertical="center" wrapText="1"/>
    </xf>
    <xf numFmtId="0" fontId="63" fillId="21" borderId="5" applyAlignment="1" pivotButton="0" quotePrefix="0" xfId="0">
      <alignment horizontal="left" vertical="center" wrapText="1"/>
    </xf>
    <xf numFmtId="0" fontId="60" fillId="25" borderId="5" applyAlignment="1" pivotButton="0" quotePrefix="0" xfId="0">
      <alignment horizontal="left" vertical="center" wrapText="1"/>
    </xf>
    <xf numFmtId="0" fontId="61" fillId="25" borderId="5" applyAlignment="1" pivotButton="0" quotePrefix="0" xfId="0">
      <alignment horizontal="left" vertical="center" wrapText="1"/>
    </xf>
    <xf numFmtId="0" fontId="59" fillId="24" borderId="0" applyAlignment="1" pivotButton="0" quotePrefix="0" xfId="0">
      <alignment horizontal="center" vertical="center" wrapText="1"/>
    </xf>
    <xf numFmtId="0" fontId="62" fillId="26" borderId="5" applyAlignment="1" pivotButton="0" quotePrefix="0" xfId="0">
      <alignment horizontal="center" vertical="center"/>
    </xf>
    <xf numFmtId="0" fontId="64" fillId="0" borderId="5" applyAlignment="1" pivotButton="0" quotePrefix="0" xfId="0">
      <alignment horizontal="center" vertical="center"/>
    </xf>
    <xf numFmtId="0" fontId="64" fillId="21" borderId="5" applyAlignment="1" pivotButton="0" quotePrefix="0" xfId="0">
      <alignment horizontal="center" vertical="center"/>
    </xf>
  </cellXfs>
  <cellStyles count="1">
    <cellStyle name="Normal" xfId="0" builtinId="0"/>
  </cellStyles>
  <dxfs count="2">
    <dxf>
      <font/>
      <fill>
        <patternFill patternType="solid">
          <fgColor rgb="FFE9F5ED"/>
          <bgColor rgb="FFE9F5ED"/>
        </patternFill>
      </fill>
      <border/>
    </dxf>
    <dxf>
      <font/>
      <fill>
        <patternFill patternType="solid">
          <fgColor rgb="FFFFF0D9"/>
          <bgColor rgb="FFFF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None</author>
  </authors>
  <commentList>
    <comment ref="F4" authorId="0" shapeId="0">
      <text>
        <t>Chọn A, B, C, Khác hoặc Không áp dụng. Nếu chọn Khác hãy ghi đầy đủ tại G.</t>
      </text>
    </comment>
    <comment ref="H4" authorId="0" shapeId="0">
      <text>
        <t>Chỉ chọn Đã chốt sau khi người có trách nhiệm xác nhận quyết định.</t>
      </text>
    </comment>
  </commentList>
</comments>
</file>

<file path=xl/comments/comment2.xml><?xml version="1.0" encoding="utf-8"?>
<comments xmlns="http://schemas.openxmlformats.org/spreadsheetml/2006/main">
  <authors>
    <author>None</author>
  </authors>
  <commentList>
    <comment ref="E5" authorId="0" shapeId="0">
      <text>
        <t>Dữ liệu nguồn: Bảng PRICE_LIST người dùng cung cấp ngày 11/10/2026.</t>
      </text>
    </comment>
    <comment ref="E6" authorId="0" shapeId="0">
      <text>
        <t>Dữ liệu nguồn: Bảng PRICE_LIST người dùng cung cấp ngày 11/10/2026.</t>
      </text>
    </comment>
    <comment ref="E7" authorId="0" shapeId="0">
      <text>
        <t>Dữ liệu nguồn: Bảng PRICE_LIST người dùng cung cấp ngày 11/10/2026.</t>
      </text>
    </comment>
    <comment ref="E8" authorId="0" shapeId="0">
      <text>
        <t>Dữ liệu nguồn: Bảng PRICE_LIST người dùng cung cấp ngày 11/10/2026.</t>
      </text>
    </comment>
    <comment ref="E9" authorId="0" shapeId="0">
      <text>
        <t>Dữ liệu nguồn: Bảng PRICE_LIST người dùng cung cấp ngày 11/10/2026.</t>
      </text>
    </comment>
    <comment ref="E10" authorId="0" shapeId="0">
      <text>
        <t>Dữ liệu nguồn: Bảng PRICE_LIST người dùng cung cấp ngày 11/10/2026.</t>
      </text>
    </comment>
    <comment ref="E11" authorId="0" shapeId="0">
      <text>
        <t>Dữ liệu nguồn: Bảng PRICE_LIST người dùng cung cấp ngày 11/10/2026.</t>
      </text>
    </comment>
    <comment ref="E12" authorId="0" shapeId="0">
      <text>
        <t>Dữ liệu nguồn: Bảng PRICE_LIST người dùng cung cấp ngày 11/10/2026.</t>
      </text>
    </comment>
    <comment ref="E13" authorId="0" shapeId="0">
      <text>
        <t>Nguồn: Sơn Cảng chốt 100.000 đồng/giờ điện; thông báo phạt vé 250.000 đồng.</t>
      </text>
    </comment>
    <comment ref="E14" authorId="0" shapeId="0">
      <text>
        <t>Nguồn: Sơn Cảng chốt 100.000 đồng/giờ điện; thông báo phạt vé 250.000 đồng.</t>
      </text>
    </comment>
    <comment ref="E15" authorId="0" shapeId="0">
      <text>
        <t>Nguồn: Sơn Cảng chốt 100.000 đồng/giờ điện; thông báo phạt vé 250.000 đồng.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0A9444"/>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94" min="1" max="1"/>
    <col width="19" customWidth="1" style="94" min="2" max="2"/>
    <col width="22" customWidth="1" style="94" min="3" max="3"/>
    <col width="19" customWidth="1" style="94" min="4" max="4"/>
    <col width="20" customWidth="1" style="94" min="5" max="5"/>
    <col width="19" customWidth="1" style="94" min="6" max="6"/>
    <col width="20" customWidth="1" style="94" min="7" max="7"/>
    <col width="18" customWidth="1" style="94" min="8" max="8"/>
    <col width="19" customWidth="1" style="94" min="9" max="9"/>
  </cols>
  <sheetData>
    <row r="1" ht="36" customHeight="1" s="94">
      <c r="A1" s="95" t="inlineStr">
        <is>
          <t>BẢNG TỔNG HỢP YÊU CẦU PWA SƠN CẢNG — V3</t>
        </is>
      </c>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11/10/2026 | Đã nhập nguyên văn phản hồi V1 đúng; bổ sung đăng ký cắm điện trước khi cont vào và chỉnh số cont.</t>
        </is>
      </c>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c r="A4" s="15" t="inlineStr">
        <is>
          <t>TIẾN ĐỘ XÁC NHẬN</t>
        </is>
      </c>
      <c r="J4" s="57" t="n"/>
      <c r="K4" s="57" t="n"/>
      <c r="L4" s="57" t="n"/>
      <c r="M4" s="57" t="n"/>
      <c r="N4" s="57" t="n"/>
      <c r="O4" s="57" t="n"/>
      <c r="P4" s="57" t="n"/>
      <c r="Q4" s="57" t="n"/>
      <c r="R4" s="57" t="n"/>
      <c r="S4" s="57" t="n"/>
      <c r="T4" s="57" t="n"/>
      <c r="U4" s="57" t="n"/>
      <c r="V4" s="57" t="n"/>
      <c r="W4" s="57" t="n"/>
      <c r="X4" s="57" t="n"/>
      <c r="Y4" s="57" t="n"/>
      <c r="Z4" s="57" t="n"/>
    </row>
    <row r="5">
      <c r="A5" s="21" t="inlineStr">
        <is>
          <t>TỔNG CÂU HỎI</t>
        </is>
      </c>
      <c r="B5" s="57" t="n"/>
      <c r="C5" s="21" t="inlineStr">
        <is>
          <t>ĐÃ CÓ LỰA CHỌN</t>
        </is>
      </c>
      <c r="D5" s="57" t="n"/>
      <c r="E5" s="21" t="inlineStr">
        <is>
          <t>CẦN LÀM RÕ</t>
        </is>
      </c>
      <c r="F5" s="57" t="n"/>
      <c r="G5" s="21" t="inlineStr">
        <is>
          <t>P0 CẦN XỬ LÝ</t>
        </is>
      </c>
      <c r="H5" s="57" t="n"/>
      <c r="I5" s="21" t="inlineStr">
        <is>
          <t>ĐỦ RÕ ĐẶC TẢ</t>
        </is>
      </c>
      <c r="J5" s="57" t="n"/>
      <c r="K5" s="57" t="n"/>
      <c r="L5" s="57" t="n"/>
      <c r="M5" s="57" t="n"/>
      <c r="N5" s="57" t="n"/>
      <c r="O5" s="57" t="n"/>
      <c r="P5" s="57" t="n"/>
      <c r="Q5" s="57" t="n"/>
      <c r="R5" s="57" t="n"/>
      <c r="S5" s="57" t="n"/>
      <c r="T5" s="57" t="n"/>
      <c r="U5" s="57" t="n"/>
      <c r="V5" s="57" t="n"/>
      <c r="W5" s="57" t="n"/>
      <c r="X5" s="57" t="n"/>
      <c r="Y5" s="57" t="n"/>
      <c r="Z5" s="57" t="n"/>
    </row>
    <row r="6" ht="39.75" customHeight="1" s="94">
      <c r="A6" s="41">
        <f>COUNTA('01_CAU_HOI'!$A$5:$A$250)</f>
        <v/>
      </c>
      <c r="B6" s="57" t="n"/>
      <c r="C6" s="41">
        <f>COUNTIF('01_CAU_HOI'!$F$5:$F$250,"&lt;&gt;")</f>
        <v/>
      </c>
      <c r="D6" s="57" t="n"/>
      <c r="E6" s="41">
        <f>COUNTIF('01_CAU_HOI'!$N$5:$N$250,"Cần làm rõ")</f>
        <v/>
      </c>
      <c r="F6" s="57" t="n"/>
      <c r="G6" s="41">
        <f>COUNTIFS('01_CAU_HOI'!$C$5:$C$250,"P0",'01_CAU_HOI'!$N$5:$N$250,"Cần làm rõ")+COUNTIFS('01_CAU_HOI'!$C$5:$C$250,"P0",'01_CAU_HOI'!$N$5:$N$250,"Chưa trả lời")</f>
        <v/>
      </c>
      <c r="H6" s="57" t="n"/>
      <c r="I6" s="42">
        <f>IFERROR(COUNTIF('01_CAU_HOI'!$N$5:$N$250,"Đủ rõ để đặc tả")/A6,0)</f>
        <v/>
      </c>
      <c r="J6" s="57" t="n"/>
      <c r="K6" s="57" t="n"/>
      <c r="L6" s="57" t="n"/>
      <c r="M6" s="57" t="n"/>
      <c r="N6" s="57" t="n"/>
      <c r="O6" s="57" t="n"/>
      <c r="P6" s="57" t="n"/>
      <c r="Q6" s="57" t="n"/>
      <c r="R6" s="57" t="n"/>
      <c r="S6" s="57" t="n"/>
      <c r="T6" s="57" t="n"/>
      <c r="U6" s="57" t="n"/>
      <c r="V6" s="57" t="n"/>
      <c r="W6" s="57" t="n"/>
      <c r="X6" s="57" t="n"/>
      <c r="Y6" s="57" t="n"/>
      <c r="Z6" s="57" t="n"/>
    </row>
    <row r="7">
      <c r="A7" s="57" t="n"/>
      <c r="B7" s="57" t="n"/>
      <c r="C7" s="57" t="n"/>
      <c r="D7" s="57" t="n"/>
      <c r="E7" s="57" t="n"/>
      <c r="F7" s="57" t="n"/>
      <c r="G7" s="57" t="n"/>
      <c r="H7" s="57" t="n"/>
      <c r="I7" s="57" t="n"/>
      <c r="J7" s="57" t="n"/>
      <c r="K7" s="57" t="n"/>
      <c r="L7" s="57" t="n"/>
      <c r="M7" s="57" t="n"/>
      <c r="N7" s="57" t="n"/>
      <c r="O7" s="57" t="n"/>
      <c r="P7" s="57" t="n"/>
      <c r="Q7" s="57" t="n"/>
      <c r="R7" s="57" t="n"/>
      <c r="S7" s="57" t="n"/>
      <c r="T7" s="57" t="n"/>
      <c r="U7" s="57" t="n"/>
      <c r="V7" s="57" t="n"/>
      <c r="W7" s="57" t="n"/>
      <c r="X7" s="57" t="n"/>
      <c r="Y7" s="57" t="n"/>
      <c r="Z7" s="57" t="n"/>
    </row>
    <row r="8">
      <c r="A8" s="15" t="inlineStr">
        <is>
          <t>CÁCH ĐIỀN FILE</t>
        </is>
      </c>
      <c r="J8" s="57" t="n"/>
      <c r="K8" s="57" t="n"/>
      <c r="L8" s="57" t="n"/>
      <c r="M8" s="57" t="n"/>
      <c r="N8" s="57" t="n"/>
      <c r="O8" s="57" t="n"/>
      <c r="P8" s="57" t="n"/>
      <c r="Q8" s="57" t="n"/>
      <c r="R8" s="57" t="n"/>
      <c r="S8" s="57" t="n"/>
      <c r="T8" s="57" t="n"/>
      <c r="U8" s="57" t="n"/>
      <c r="V8" s="57" t="n"/>
      <c r="W8" s="57" t="n"/>
      <c r="X8" s="57" t="n"/>
      <c r="Y8" s="57" t="n"/>
      <c r="Z8" s="57" t="n"/>
    </row>
    <row r="9" ht="27.75" customHeight="1" s="94">
      <c r="A9" s="16" t="inlineStr">
        <is>
          <t>1. Mở 01_CAU_HOI: F/G/H giữ NGUYÊN phản hồi V1 của bạn; không cần nhập lại.</t>
        </is>
      </c>
      <c r="J9" s="57" t="n"/>
      <c r="K9" s="57" t="n"/>
      <c r="L9" s="57" t="n"/>
      <c r="M9" s="57" t="n"/>
      <c r="N9" s="57" t="n"/>
      <c r="O9" s="57" t="n"/>
      <c r="P9" s="57" t="n"/>
      <c r="Q9" s="57" t="n"/>
      <c r="R9" s="57" t="n"/>
      <c r="S9" s="57" t="n"/>
      <c r="T9" s="57" t="n"/>
      <c r="U9" s="57" t="n"/>
      <c r="V9" s="57" t="n"/>
      <c r="W9" s="57" t="n"/>
      <c r="X9" s="57" t="n"/>
      <c r="Y9" s="57" t="n"/>
      <c r="Z9" s="57" t="n"/>
    </row>
    <row r="10" ht="34.5" customHeight="1" s="94">
      <c r="A10" s="44" t="inlineStr">
        <is>
          <t>2. Lọc N = Cần làm rõ/Chưa trả lời; hoặc vào 11_RA_SOAT_V1 để bổ sung quyết định và giải thích.</t>
        </is>
      </c>
      <c r="J10" s="57" t="n"/>
      <c r="K10" s="57" t="n"/>
      <c r="L10" s="57" t="n"/>
      <c r="M10" s="57" t="n"/>
      <c r="N10" s="57" t="n"/>
      <c r="O10" s="57" t="n"/>
      <c r="P10" s="57" t="n"/>
      <c r="Q10" s="57" t="n"/>
      <c r="R10" s="57" t="n"/>
      <c r="S10" s="57" t="n"/>
      <c r="T10" s="57" t="n"/>
      <c r="U10" s="57" t="n"/>
      <c r="V10" s="57" t="n"/>
      <c r="W10" s="57" t="n"/>
      <c r="X10" s="57" t="n"/>
      <c r="Y10" s="57" t="n"/>
      <c r="Z10" s="57" t="n"/>
    </row>
    <row r="11" ht="27.75" customHeight="1" s="94">
      <c r="A11" s="16" t="inlineStr">
        <is>
          <t>3. Những câu PR/SC liên quan container dự kiến, sai số cont đã được đưa từ V2 sang và vẫn giữ trạng thái đúng.</t>
        </is>
      </c>
      <c r="J11" s="57" t="n"/>
      <c r="K11" s="57" t="n"/>
      <c r="L11" s="57" t="n"/>
      <c r="M11" s="57" t="n"/>
      <c r="N11" s="57" t="n"/>
      <c r="O11" s="57" t="n"/>
      <c r="P11" s="57" t="n"/>
      <c r="Q11" s="57" t="n"/>
      <c r="R11" s="57" t="n"/>
      <c r="S11" s="57" t="n"/>
      <c r="T11" s="57" t="n"/>
      <c r="U11" s="57" t="n"/>
      <c r="V11" s="57" t="n"/>
      <c r="W11" s="57" t="n"/>
      <c r="X11" s="57" t="n"/>
      <c r="Y11" s="57" t="n"/>
      <c r="Z11" s="57" t="n"/>
    </row>
    <row r="12" ht="34.5" customHeight="1" s="94">
      <c r="A12" s="44" t="inlineStr">
        <is>
          <t>4. 02_DA_CHOT tổng hợp các nguyên tắc được xác nhận; 12_TRA_LOI_V1_GOC lưu nguyên các câu trả lời V1 để đối chiếu.</t>
        </is>
      </c>
      <c r="J12" s="57" t="n"/>
      <c r="K12" s="57" t="n"/>
      <c r="L12" s="57" t="n"/>
      <c r="M12" s="57" t="n"/>
      <c r="N12" s="57" t="n"/>
      <c r="O12" s="57" t="n"/>
      <c r="P12" s="57" t="n"/>
      <c r="Q12" s="57" t="n"/>
      <c r="R12" s="57" t="n"/>
      <c r="S12" s="57" t="n"/>
      <c r="T12" s="57" t="n"/>
      <c r="U12" s="57" t="n"/>
      <c r="V12" s="57" t="n"/>
      <c r="W12" s="57" t="n"/>
      <c r="X12" s="57" t="n"/>
      <c r="Y12" s="57" t="n"/>
      <c r="Z12" s="57" t="n"/>
    </row>
    <row r="13" ht="27.75" customHeight="1" s="94">
      <c r="A13" s="16" t="inlineStr">
        <is>
          <t>5. Tiếp tục rà soát giá/thu tiền/ngoại lệ cho ra; KHÔNG xem mọi ô H=Đã chốt là đặc tả đã đủ rõ.</t>
        </is>
      </c>
      <c r="J13" s="57" t="n"/>
      <c r="K13" s="57" t="n"/>
      <c r="L13" s="57" t="n"/>
      <c r="M13" s="57" t="n"/>
      <c r="N13" s="57" t="n"/>
      <c r="O13" s="57" t="n"/>
      <c r="P13" s="57" t="n"/>
      <c r="Q13" s="57" t="n"/>
      <c r="R13" s="57" t="n"/>
      <c r="S13" s="57" t="n"/>
      <c r="T13" s="57" t="n"/>
      <c r="U13" s="57" t="n"/>
      <c r="V13" s="57" t="n"/>
      <c r="W13" s="57" t="n"/>
      <c r="X13" s="57" t="n"/>
      <c r="Y13" s="57" t="n"/>
      <c r="Z13" s="57" t="n"/>
    </row>
    <row r="14" ht="27.75" customHeight="1" s="94">
      <c r="A14" s="44" t="inlineStr">
        <is>
          <t>6. Dùng 04_PHAN_QUYEN để gán quyền, 05_KICH_BAN để kiểm thử, 09_TINH_DIEN để thử tiền điện 15 phút.</t>
        </is>
      </c>
      <c r="J14" s="57" t="n"/>
      <c r="K14" s="57" t="n"/>
      <c r="L14" s="57" t="n"/>
      <c r="M14" s="57" t="n"/>
      <c r="N14" s="57" t="n"/>
      <c r="O14" s="57" t="n"/>
      <c r="P14" s="57" t="n"/>
      <c r="Q14" s="57" t="n"/>
      <c r="R14" s="57" t="n"/>
      <c r="S14" s="57" t="n"/>
      <c r="T14" s="57" t="n"/>
      <c r="U14" s="57" t="n"/>
      <c r="V14" s="57" t="n"/>
      <c r="W14" s="57" t="n"/>
      <c r="X14" s="57" t="n"/>
      <c r="Y14" s="57" t="n"/>
      <c r="Z14" s="57" t="n"/>
    </row>
    <row r="15" ht="34.5" customHeight="1" s="94">
      <c r="A15" s="16" t="inlineStr">
        <is>
          <t>7. Sử dụng các tab tham chiếu: giá, tài khoản, mapping, đối soát và quy trình dự kiến/sửa số cont.</t>
        </is>
      </c>
      <c r="J15" s="57" t="n"/>
      <c r="K15" s="57" t="n"/>
      <c r="L15" s="57" t="n"/>
      <c r="M15" s="57" t="n"/>
      <c r="N15" s="57" t="n"/>
      <c r="O15" s="57" t="n"/>
      <c r="P15" s="57" t="n"/>
      <c r="Q15" s="57" t="n"/>
      <c r="R15" s="57" t="n"/>
      <c r="S15" s="57" t="n"/>
      <c r="T15" s="57" t="n"/>
      <c r="U15" s="57" t="n"/>
      <c r="V15" s="57" t="n"/>
      <c r="W15" s="57" t="n"/>
      <c r="X15" s="57" t="n"/>
      <c r="Y15" s="57" t="n"/>
      <c r="Z15" s="57" t="n"/>
    </row>
    <row r="16">
      <c r="A16" s="57" t="n"/>
      <c r="B16" s="57" t="n"/>
      <c r="C16" s="57" t="n"/>
      <c r="D16" s="57" t="n"/>
      <c r="E16" s="57" t="n"/>
      <c r="F16" s="57" t="n"/>
      <c r="G16" s="57" t="n"/>
      <c r="H16" s="57" t="n"/>
      <c r="I16" s="57" t="n"/>
      <c r="J16" s="57" t="n"/>
      <c r="K16" s="57" t="n"/>
      <c r="L16" s="57" t="n"/>
      <c r="M16" s="57" t="n"/>
      <c r="N16" s="57" t="n"/>
      <c r="O16" s="57" t="n"/>
      <c r="P16" s="57" t="n"/>
      <c r="Q16" s="57" t="n"/>
      <c r="R16" s="57" t="n"/>
      <c r="S16" s="57" t="n"/>
      <c r="T16" s="57" t="n"/>
      <c r="U16" s="57" t="n"/>
      <c r="V16" s="57" t="n"/>
      <c r="W16" s="57" t="n"/>
      <c r="X16" s="57" t="n"/>
      <c r="Y16" s="57" t="n"/>
      <c r="Z16" s="57" t="n"/>
    </row>
    <row r="17">
      <c r="A17" s="57" t="n"/>
      <c r="B17" s="57" t="n"/>
      <c r="C17" s="57" t="n"/>
      <c r="D17" s="57" t="n"/>
      <c r="E17" s="57" t="n"/>
      <c r="F17" s="57" t="n"/>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c r="A18" s="15" t="inlineStr">
        <is>
          <t>TỔNG HỢP THEO NHÓM</t>
        </is>
      </c>
      <c r="J18" s="57" t="n"/>
      <c r="K18" s="57" t="n"/>
      <c r="L18" s="57" t="n"/>
      <c r="M18" s="57" t="n"/>
      <c r="N18" s="57" t="n"/>
      <c r="O18" s="57" t="n"/>
      <c r="P18" s="57" t="n"/>
      <c r="Q18" s="57" t="n"/>
      <c r="R18" s="57" t="n"/>
      <c r="S18" s="57" t="n"/>
      <c r="T18" s="57" t="n"/>
      <c r="U18" s="57" t="n"/>
      <c r="V18" s="57" t="n"/>
      <c r="W18" s="57" t="n"/>
      <c r="X18" s="57" t="n"/>
      <c r="Y18" s="57" t="n"/>
      <c r="Z18" s="57" t="n"/>
    </row>
    <row r="19">
      <c r="A19" s="45" t="inlineStr">
        <is>
          <t>Nhóm nghiệp vụ</t>
        </is>
      </c>
      <c r="B19" s="57" t="n"/>
      <c r="C19" s="57" t="n"/>
      <c r="D19" s="45" t="inlineStr">
        <is>
          <t>Tổng</t>
        </is>
      </c>
      <c r="E19" s="57" t="n"/>
      <c r="F19" s="45" t="inlineStr">
        <is>
          <t>Đủ rõ</t>
        </is>
      </c>
      <c r="G19" s="57" t="n"/>
      <c r="H19" s="45" t="inlineStr">
        <is>
          <t>Cần xử lý</t>
        </is>
      </c>
      <c r="I19" s="57" t="n"/>
      <c r="J19" s="57" t="n"/>
      <c r="K19" s="57" t="n"/>
      <c r="L19" s="57" t="n"/>
      <c r="M19" s="57" t="n"/>
      <c r="N19" s="57" t="n"/>
      <c r="O19" s="57" t="n"/>
      <c r="P19" s="57" t="n"/>
      <c r="Q19" s="57" t="n"/>
      <c r="R19" s="57" t="n"/>
      <c r="S19" s="57" t="n"/>
      <c r="T19" s="57" t="n"/>
      <c r="U19" s="57" t="n"/>
      <c r="V19" s="57" t="n"/>
      <c r="W19" s="57" t="n"/>
      <c r="X19" s="57" t="n"/>
      <c r="Y19" s="57" t="n"/>
      <c r="Z19" s="57" t="n"/>
    </row>
    <row r="20" ht="24" customHeight="1" s="94">
      <c r="A20" s="44" t="inlineStr">
        <is>
          <t>01. Vé xe / cổng</t>
        </is>
      </c>
      <c r="D20" s="44">
        <f>COUNTIF('01_CAU_HOI'!$B$5:$B$250,A20)</f>
        <v/>
      </c>
      <c r="E20" s="57" t="n"/>
      <c r="F20" s="44">
        <f>COUNTIFS('01_CAU_HOI'!$B$5:$B$250,A20,'01_CAU_HOI'!$N$5:$N$250,"Đủ rõ để đặc tả")</f>
        <v/>
      </c>
      <c r="G20" s="57" t="n"/>
      <c r="H20" s="44">
        <f>COUNTIFS('01_CAU_HOI'!$B$5:$B$250,A20,'01_CAU_HOI'!$N$5:$N$250,"Cần làm rõ")+COUNTIFS('01_CAU_HOI'!$B$5:$B$250,A20,'01_CAU_HOI'!$N$5:$N$250,"Chưa trả lời")</f>
        <v/>
      </c>
      <c r="I20" s="57" t="n"/>
      <c r="J20" s="57" t="n"/>
      <c r="K20" s="57" t="n"/>
      <c r="L20" s="57" t="n"/>
      <c r="M20" s="57" t="n"/>
      <c r="N20" s="57" t="n"/>
      <c r="O20" s="57" t="n"/>
      <c r="P20" s="57" t="n"/>
      <c r="Q20" s="57" t="n"/>
      <c r="R20" s="57" t="n"/>
      <c r="S20" s="57" t="n"/>
      <c r="T20" s="57" t="n"/>
      <c r="U20" s="57" t="n"/>
      <c r="V20" s="57" t="n"/>
      <c r="W20" s="57" t="n"/>
      <c r="X20" s="57" t="n"/>
      <c r="Y20" s="57" t="n"/>
      <c r="Z20" s="57" t="n"/>
    </row>
    <row r="21" ht="24" customHeight="1" s="94">
      <c r="A21" s="16" t="inlineStr">
        <is>
          <t>02. Lưu container</t>
        </is>
      </c>
      <c r="D21" s="16">
        <f>COUNTIF('01_CAU_HOI'!$B$5:$B$250,A21)</f>
        <v/>
      </c>
      <c r="E21" s="57" t="n"/>
      <c r="F21" s="16">
        <f>COUNTIFS('01_CAU_HOI'!$B$5:$B$250,A21,'01_CAU_HOI'!$N$5:$N$250,"Đủ rõ để đặc tả")</f>
        <v/>
      </c>
      <c r="G21" s="57" t="n"/>
      <c r="H21" s="16">
        <f>COUNTIFS('01_CAU_HOI'!$B$5:$B$250,A21,'01_CAU_HOI'!$N$5:$N$250,"Cần làm rõ")+COUNTIFS('01_CAU_HOI'!$B$5:$B$250,A21,'01_CAU_HOI'!$N$5:$N$250,"Chưa trả lời")</f>
        <v/>
      </c>
      <c r="I21" s="57" t="n"/>
      <c r="J21" s="57" t="n"/>
      <c r="K21" s="57" t="n"/>
      <c r="L21" s="57" t="n"/>
      <c r="M21" s="57" t="n"/>
      <c r="N21" s="57" t="n"/>
      <c r="O21" s="57" t="n"/>
      <c r="P21" s="57" t="n"/>
      <c r="Q21" s="57" t="n"/>
      <c r="R21" s="57" t="n"/>
      <c r="S21" s="57" t="n"/>
      <c r="T21" s="57" t="n"/>
      <c r="U21" s="57" t="n"/>
      <c r="V21" s="57" t="n"/>
      <c r="W21" s="57" t="n"/>
      <c r="X21" s="57" t="n"/>
      <c r="Y21" s="57" t="n"/>
      <c r="Z21" s="57" t="n"/>
    </row>
    <row r="22" ht="24" customHeight="1" s="94">
      <c r="A22" s="44" t="inlineStr">
        <is>
          <t>03. Cắm/rút điện</t>
        </is>
      </c>
      <c r="D22" s="44">
        <f>COUNTIF('01_CAU_HOI'!$B$5:$B$250,A22)</f>
        <v/>
      </c>
      <c r="E22" s="57" t="n"/>
      <c r="F22" s="44">
        <f>COUNTIFS('01_CAU_HOI'!$B$5:$B$250,A22,'01_CAU_HOI'!$N$5:$N$250,"Đủ rõ để đặc tả")</f>
        <v/>
      </c>
      <c r="G22" s="57" t="n"/>
      <c r="H22" s="44">
        <f>COUNTIFS('01_CAU_HOI'!$B$5:$B$250,A22,'01_CAU_HOI'!$N$5:$N$250,"Cần làm rõ")+COUNTIFS('01_CAU_HOI'!$B$5:$B$250,A22,'01_CAU_HOI'!$N$5:$N$250,"Chưa trả lời")</f>
        <v/>
      </c>
      <c r="I22" s="57" t="n"/>
      <c r="J22" s="57" t="n"/>
      <c r="K22" s="57" t="n"/>
      <c r="L22" s="57" t="n"/>
      <c r="M22" s="57" t="n"/>
      <c r="N22" s="57" t="n"/>
      <c r="O22" s="57" t="n"/>
      <c r="P22" s="57" t="n"/>
      <c r="Q22" s="57" t="n"/>
      <c r="R22" s="57" t="n"/>
      <c r="S22" s="57" t="n"/>
      <c r="T22" s="57" t="n"/>
      <c r="U22" s="57" t="n"/>
      <c r="V22" s="57" t="n"/>
      <c r="W22" s="57" t="n"/>
      <c r="X22" s="57" t="n"/>
      <c r="Y22" s="57" t="n"/>
      <c r="Z22" s="57" t="n"/>
    </row>
    <row r="23" ht="24" customHeight="1" s="94">
      <c r="A23" s="16" t="inlineStr">
        <is>
          <t>04. Thanh toán</t>
        </is>
      </c>
      <c r="D23" s="16">
        <f>COUNTIF('01_CAU_HOI'!$B$5:$B$250,A23)</f>
        <v/>
      </c>
      <c r="E23" s="57" t="n"/>
      <c r="F23" s="16">
        <f>COUNTIFS('01_CAU_HOI'!$B$5:$B$250,A23,'01_CAU_HOI'!$N$5:$N$250,"Đủ rõ để đặc tả")</f>
        <v/>
      </c>
      <c r="G23" s="57" t="n"/>
      <c r="H23" s="16">
        <f>COUNTIFS('01_CAU_HOI'!$B$5:$B$250,A23,'01_CAU_HOI'!$N$5:$N$250,"Cần làm rõ")+COUNTIFS('01_CAU_HOI'!$B$5:$B$250,A23,'01_CAU_HOI'!$N$5:$N$250,"Chưa trả lời")</f>
        <v/>
      </c>
      <c r="I23" s="57" t="n"/>
      <c r="J23" s="57" t="n"/>
      <c r="K23" s="57" t="n"/>
      <c r="L23" s="57" t="n"/>
      <c r="M23" s="57" t="n"/>
      <c r="N23" s="57" t="n"/>
      <c r="O23" s="57" t="n"/>
      <c r="P23" s="57" t="n"/>
      <c r="Q23" s="57" t="n"/>
      <c r="R23" s="57" t="n"/>
      <c r="S23" s="57" t="n"/>
      <c r="T23" s="57" t="n"/>
      <c r="U23" s="57" t="n"/>
      <c r="V23" s="57" t="n"/>
      <c r="W23" s="57" t="n"/>
      <c r="X23" s="57" t="n"/>
      <c r="Y23" s="57" t="n"/>
      <c r="Z23" s="57" t="n"/>
    </row>
    <row r="24" ht="24" customHeight="1" s="94">
      <c r="A24" s="44" t="inlineStr">
        <is>
          <t>05. Phân quyền</t>
        </is>
      </c>
      <c r="D24" s="44">
        <f>COUNTIF('01_CAU_HOI'!$B$5:$B$250,A24)</f>
        <v/>
      </c>
      <c r="E24" s="57" t="n"/>
      <c r="F24" s="44">
        <f>COUNTIFS('01_CAU_HOI'!$B$5:$B$250,A24,'01_CAU_HOI'!$N$5:$N$250,"Đủ rõ để đặc tả")</f>
        <v/>
      </c>
      <c r="G24" s="57" t="n"/>
      <c r="H24" s="44">
        <f>COUNTIFS('01_CAU_HOI'!$B$5:$B$250,A24,'01_CAU_HOI'!$N$5:$N$250,"Cần làm rõ")+COUNTIFS('01_CAU_HOI'!$B$5:$B$250,A24,'01_CAU_HOI'!$N$5:$N$250,"Chưa trả lời")</f>
        <v/>
      </c>
      <c r="I24" s="57" t="n"/>
      <c r="J24" s="57" t="n"/>
      <c r="K24" s="57" t="n"/>
      <c r="L24" s="57" t="n"/>
      <c r="M24" s="57" t="n"/>
      <c r="N24" s="57" t="n"/>
      <c r="O24" s="57" t="n"/>
      <c r="P24" s="57" t="n"/>
      <c r="Q24" s="57" t="n"/>
      <c r="R24" s="57" t="n"/>
      <c r="S24" s="57" t="n"/>
      <c r="T24" s="57" t="n"/>
      <c r="U24" s="57" t="n"/>
      <c r="V24" s="57" t="n"/>
      <c r="W24" s="57" t="n"/>
      <c r="X24" s="57" t="n"/>
      <c r="Y24" s="57" t="n"/>
      <c r="Z24" s="57" t="n"/>
    </row>
    <row r="25" ht="24" customHeight="1" s="94">
      <c r="A25" s="16" t="inlineStr">
        <is>
          <t>06. Điều phối / container</t>
        </is>
      </c>
      <c r="D25" s="16">
        <f>COUNTIF('01_CAU_HOI'!$B$5:$B$250,A25)</f>
        <v/>
      </c>
      <c r="E25" s="57" t="n"/>
      <c r="F25" s="16">
        <f>COUNTIFS('01_CAU_HOI'!$B$5:$B$250,A25,'01_CAU_HOI'!$N$5:$N$250,"Đủ rõ để đặc tả")</f>
        <v/>
      </c>
      <c r="G25" s="57" t="n"/>
      <c r="H25" s="16">
        <f>COUNTIFS('01_CAU_HOI'!$B$5:$B$250,A25,'01_CAU_HOI'!$N$5:$N$250,"Cần làm rõ")+COUNTIFS('01_CAU_HOI'!$B$5:$B$250,A25,'01_CAU_HOI'!$N$5:$N$250,"Chưa trả lời")</f>
        <v/>
      </c>
      <c r="I25" s="57" t="n"/>
      <c r="J25" s="57" t="n"/>
      <c r="K25" s="57" t="n"/>
      <c r="L25" s="57" t="n"/>
      <c r="M25" s="57" t="n"/>
      <c r="N25" s="57" t="n"/>
      <c r="O25" s="57" t="n"/>
      <c r="P25" s="57" t="n"/>
      <c r="Q25" s="57" t="n"/>
      <c r="R25" s="57" t="n"/>
      <c r="S25" s="57" t="n"/>
      <c r="T25" s="57" t="n"/>
      <c r="U25" s="57" t="n"/>
      <c r="V25" s="57" t="n"/>
      <c r="W25" s="57" t="n"/>
      <c r="X25" s="57" t="n"/>
      <c r="Y25" s="57" t="n"/>
      <c r="Z25" s="57" t="n"/>
    </row>
    <row r="26" ht="24" customHeight="1" s="94">
      <c r="A26" s="44" t="inlineStr">
        <is>
          <t>07. Báo cáo / đối soát</t>
        </is>
      </c>
      <c r="D26" s="44">
        <f>COUNTIF('01_CAU_HOI'!$B$5:$B$250,A26)</f>
        <v/>
      </c>
      <c r="E26" s="57" t="n"/>
      <c r="F26" s="44">
        <f>COUNTIFS('01_CAU_HOI'!$B$5:$B$250,A26,'01_CAU_HOI'!$N$5:$N$250,"Đủ rõ để đặc tả")</f>
        <v/>
      </c>
      <c r="G26" s="57" t="n"/>
      <c r="H26" s="44">
        <f>COUNTIFS('01_CAU_HOI'!$B$5:$B$250,A26,'01_CAU_HOI'!$N$5:$N$250,"Cần làm rõ")+COUNTIFS('01_CAU_HOI'!$B$5:$B$250,A26,'01_CAU_HOI'!$N$5:$N$250,"Chưa trả lời")</f>
        <v/>
      </c>
      <c r="I26" s="57" t="n"/>
      <c r="J26" s="57" t="n"/>
      <c r="K26" s="57" t="n"/>
      <c r="L26" s="57" t="n"/>
      <c r="M26" s="57" t="n"/>
      <c r="N26" s="57" t="n"/>
      <c r="O26" s="57" t="n"/>
      <c r="P26" s="57" t="n"/>
      <c r="Q26" s="57" t="n"/>
      <c r="R26" s="57" t="n"/>
      <c r="S26" s="57" t="n"/>
      <c r="T26" s="57" t="n"/>
      <c r="U26" s="57" t="n"/>
      <c r="V26" s="57" t="n"/>
      <c r="W26" s="57" t="n"/>
      <c r="X26" s="57" t="n"/>
      <c r="Y26" s="57" t="n"/>
      <c r="Z26" s="57" t="n"/>
    </row>
    <row r="27" ht="24" customHeight="1" s="94">
      <c r="A27" s="16" t="inlineStr">
        <is>
          <t>08. Kỹ thuật / bảo mật</t>
        </is>
      </c>
      <c r="D27" s="16">
        <f>COUNTIF('01_CAU_HOI'!$B$5:$B$250,A27)</f>
        <v/>
      </c>
      <c r="E27" s="57" t="n"/>
      <c r="F27" s="16">
        <f>COUNTIFS('01_CAU_HOI'!$B$5:$B$250,A27,'01_CAU_HOI'!$N$5:$N$250,"Đủ rõ để đặc tả")</f>
        <v/>
      </c>
      <c r="G27" s="57" t="n"/>
      <c r="H27" s="16">
        <f>COUNTIFS('01_CAU_HOI'!$B$5:$B$250,A27,'01_CAU_HOI'!$N$5:$N$250,"Cần làm rõ")+COUNTIFS('01_CAU_HOI'!$B$5:$B$250,A27,'01_CAU_HOI'!$N$5:$N$250,"Chưa trả lời")</f>
        <v/>
      </c>
      <c r="I27" s="57" t="n"/>
      <c r="J27" s="57" t="n"/>
      <c r="K27" s="57" t="n"/>
      <c r="L27" s="57" t="n"/>
      <c r="M27" s="57" t="n"/>
      <c r="N27" s="57" t="n"/>
      <c r="O27" s="57" t="n"/>
      <c r="P27" s="57" t="n"/>
      <c r="Q27" s="57" t="n"/>
      <c r="R27" s="57" t="n"/>
      <c r="S27" s="57" t="n"/>
      <c r="T27" s="57" t="n"/>
      <c r="U27" s="57" t="n"/>
      <c r="V27" s="57" t="n"/>
      <c r="W27" s="57" t="n"/>
      <c r="X27" s="57" t="n"/>
      <c r="Y27" s="57" t="n"/>
      <c r="Z27" s="57" t="n"/>
    </row>
    <row r="28" ht="24" customHeight="1" s="94">
      <c r="A28" s="44" t="inlineStr">
        <is>
          <t>09. Chuyển dữ liệu</t>
        </is>
      </c>
      <c r="D28" s="44">
        <f>COUNTIF('01_CAU_HOI'!$B$5:$B$250,A28)</f>
        <v/>
      </c>
      <c r="E28" s="57" t="n"/>
      <c r="F28" s="44">
        <f>COUNTIFS('01_CAU_HOI'!$B$5:$B$250,A28,'01_CAU_HOI'!$N$5:$N$250,"Đủ rõ để đặc tả")</f>
        <v/>
      </c>
      <c r="G28" s="57" t="n"/>
      <c r="H28" s="44">
        <f>COUNTIFS('01_CAU_HOI'!$B$5:$B$250,A28,'01_CAU_HOI'!$N$5:$N$250,"Cần làm rõ")+COUNTIFS('01_CAU_HOI'!$B$5:$B$250,A28,'01_CAU_HOI'!$N$5:$N$250,"Chưa trả lời")</f>
        <v/>
      </c>
      <c r="I28" s="57" t="n"/>
      <c r="J28" s="57" t="n"/>
      <c r="K28" s="57" t="n"/>
      <c r="L28" s="57" t="n"/>
      <c r="M28" s="57" t="n"/>
      <c r="N28" s="57" t="n"/>
      <c r="O28" s="57" t="n"/>
      <c r="P28" s="57" t="n"/>
      <c r="Q28" s="57" t="n"/>
      <c r="R28" s="57" t="n"/>
      <c r="S28" s="57" t="n"/>
      <c r="T28" s="57" t="n"/>
      <c r="U28" s="57" t="n"/>
      <c r="V28" s="57" t="n"/>
      <c r="W28" s="57" t="n"/>
      <c r="X28" s="57" t="n"/>
      <c r="Y28" s="57" t="n"/>
      <c r="Z28" s="57" t="n"/>
    </row>
    <row r="29" ht="24" customHeight="1" s="94">
      <c r="A29" s="16" t="inlineStr">
        <is>
          <t>10. Nghiệm thu / triển khai</t>
        </is>
      </c>
      <c r="D29" s="16">
        <f>COUNTIF('01_CAU_HOI'!$B$5:$B$250,A29)</f>
        <v/>
      </c>
      <c r="E29" s="57" t="n"/>
      <c r="F29" s="16">
        <f>COUNTIFS('01_CAU_HOI'!$B$5:$B$250,A29,'01_CAU_HOI'!$N$5:$N$250,"Đủ rõ để đặc tả")</f>
        <v/>
      </c>
      <c r="G29" s="57" t="n"/>
      <c r="H29" s="16">
        <f>COUNTIFS('01_CAU_HOI'!$B$5:$B$250,A29,'01_CAU_HOI'!$N$5:$N$250,"Cần làm rõ")+COUNTIFS('01_CAU_HOI'!$B$5:$B$250,A29,'01_CAU_HOI'!$N$5:$N$250,"Chưa trả lời")</f>
        <v/>
      </c>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s="94">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28.5" customHeight="1" s="94">
      <c r="A32" s="97" t="inlineStr">
        <is>
          <t>LƯU Ý: 98 dòng V1 được giữ nguyên trạng thái người dùng tự đánh dấu; cột RÀ SOÁT mới là thước đo độ đủ rõ để lập trình.</t>
        </is>
      </c>
      <c r="J32" s="57" t="n"/>
      <c r="K32" s="57" t="n"/>
      <c r="L32" s="57" t="n"/>
      <c r="M32" s="57" t="n"/>
      <c r="N32" s="57" t="n"/>
      <c r="O32" s="57" t="n"/>
      <c r="P32" s="57" t="n"/>
      <c r="Q32" s="57" t="n"/>
      <c r="R32" s="57" t="n"/>
      <c r="S32" s="57" t="n"/>
      <c r="T32" s="57" t="n"/>
      <c r="U32" s="57" t="n"/>
      <c r="V32" s="57" t="n"/>
      <c r="W32" s="57" t="n"/>
      <c r="X32" s="57" t="n"/>
      <c r="Y32" s="57" t="n"/>
      <c r="Z32" s="57" t="n"/>
    </row>
    <row r="33" ht="15.75" customHeight="1" s="94">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s="94">
      <c r="A34" s="51" t="inlineStr">
        <is>
          <t>DỮ LIỆU GỐC: PRICE_LIST và USERS do Sơn Cảng cung cấp; VEHICLE 315 bản ghi, CONTAINER 259 bản ghi (tính từ các tệp đính kèm).</t>
        </is>
      </c>
      <c r="J34" s="57" t="n"/>
      <c r="K34" s="57" t="n"/>
      <c r="L34" s="57" t="n"/>
      <c r="M34" s="57" t="n"/>
      <c r="N34" s="57" t="n"/>
      <c r="O34" s="57" t="n"/>
      <c r="P34" s="57" t="n"/>
      <c r="Q34" s="57" t="n"/>
      <c r="R34" s="57" t="n"/>
      <c r="S34" s="57" t="n"/>
      <c r="T34" s="57" t="n"/>
      <c r="U34" s="57" t="n"/>
      <c r="V34" s="57" t="n"/>
      <c r="W34" s="57" t="n"/>
      <c r="X34" s="57" t="n"/>
      <c r="Y34" s="57" t="n"/>
      <c r="Z34" s="57" t="n"/>
    </row>
    <row r="35" ht="27.75" customHeight="1" s="94">
      <c r="A35" s="52" t="inlineStr">
        <is>
          <t>BẢN V1 TRẢ LỜI ĐÚNG ĐÃ NHẬP: Untitled spreadsheet (1).xlsx | Không tự sửa dữ liệu gốc; mọi điểm xung đột được đánh dấu.</t>
        </is>
      </c>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s="94">
      <c r="A36" s="54" t="inlineStr">
        <is>
          <t>Đi tới bảng CÂU HỎI</t>
        </is>
      </c>
      <c r="B36" s="57" t="n"/>
      <c r="C36" s="57" t="n"/>
      <c r="D36" s="54" t="inlineStr">
        <is>
          <t>Đi tới các quyết định ĐÃ CHỐT</t>
        </is>
      </c>
      <c r="E36" s="57" t="n"/>
      <c r="F36" s="57" t="n"/>
      <c r="G36" s="54" t="inlineStr">
        <is>
          <t>Đi tới MA TRẬN PHÂN QUYỀN</t>
        </is>
      </c>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s="94">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s="94">
      <c r="A38" s="54" t="inlineStr">
        <is>
          <t>Đi tới BẢNG GIÁ</t>
        </is>
      </c>
      <c r="B38" s="57" t="n"/>
      <c r="C38" s="57" t="n"/>
      <c r="D38" s="54" t="inlineStr">
        <is>
          <t>Đi tới TÌNH HUỐNG UAT</t>
        </is>
      </c>
      <c r="E38" s="57" t="n"/>
      <c r="F38" s="57" t="n"/>
      <c r="G38" s="54" t="inlineStr">
        <is>
          <t>Đi tới MÔ PHỎNG TIỀN ĐIỆN</t>
        </is>
      </c>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s="94">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s="94">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mergeCells count="24">
    <mergeCell ref="A25:C25"/>
    <mergeCell ref="A18:I18"/>
    <mergeCell ref="A27:C27"/>
    <mergeCell ref="A21:C21"/>
    <mergeCell ref="A12:I12"/>
    <mergeCell ref="A26:C26"/>
    <mergeCell ref="A2:I2"/>
    <mergeCell ref="A23:C23"/>
    <mergeCell ref="A32:I32"/>
    <mergeCell ref="A14:I14"/>
    <mergeCell ref="A22:C22"/>
    <mergeCell ref="A8:I8"/>
    <mergeCell ref="A29:C29"/>
    <mergeCell ref="A4:I4"/>
    <mergeCell ref="A20:C20"/>
    <mergeCell ref="A28:C28"/>
    <mergeCell ref="A10:I10"/>
    <mergeCell ref="A13:I13"/>
    <mergeCell ref="A9:I9"/>
    <mergeCell ref="A34:I34"/>
    <mergeCell ref="A24:C24"/>
    <mergeCell ref="A15:I15"/>
    <mergeCell ref="A11:I11"/>
    <mergeCell ref="A1:I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2.xml><?xml version="1.0" encoding="utf-8"?>
<worksheet xmlns="http://schemas.openxmlformats.org/spreadsheetml/2006/main">
  <sheetPr>
    <tabColor rgb="FF0A9444"/>
    <outlinePr summaryBelow="1" summaryRight="1"/>
    <pageSetUpPr fitToPage="1"/>
  </sheetPr>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10" customWidth="1" style="94" min="1" max="1"/>
    <col width="27" customWidth="1" style="94" min="2" max="2"/>
    <col width="11" customWidth="1" style="94" min="3" max="3"/>
    <col width="77" customWidth="1" style="94" min="4" max="4"/>
    <col width="79" customWidth="1" style="94" min="5" max="5"/>
    <col width="18" customWidth="1" style="94" min="6" max="6"/>
    <col width="65" customWidth="1" style="94" min="7" max="7"/>
    <col width="21" customWidth="1" style="94" min="8" max="8"/>
    <col width="35" customWidth="1" style="94" min="9" max="9"/>
    <col width="25" customWidth="1" style="94" min="10" max="10"/>
    <col width="18" customWidth="1" style="94" min="11" max="11"/>
    <col width="56" customWidth="1" style="94" min="12" max="12"/>
    <col width="40" customWidth="1" style="94" min="13" max="13"/>
    <col width="24" customWidth="1" style="94" min="14" max="14"/>
    <col width="74" customWidth="1" style="94" min="15" max="15"/>
  </cols>
  <sheetData>
    <row r="1" ht="36" customHeight="1" s="94">
      <c r="A1" s="95" t="inlineStr">
        <is>
          <t>BẢNG CÂU HỎI PWA SƠN CẢNG — ĐÃ HỢP NHẤT TRẢ LỜI V1</t>
        </is>
      </c>
      <c r="P1" s="57" t="n"/>
      <c r="Q1" s="57" t="n"/>
      <c r="R1" s="57" t="n"/>
      <c r="S1" s="57" t="n"/>
      <c r="T1" s="57" t="n"/>
      <c r="U1" s="57" t="n"/>
      <c r="V1" s="57" t="n"/>
      <c r="W1" s="57" t="n"/>
      <c r="X1" s="57" t="n"/>
      <c r="Y1" s="57" t="n"/>
      <c r="Z1" s="57" t="n"/>
    </row>
    <row r="2" ht="33" customHeight="1" s="94">
      <c r="A2" s="96" t="inlineStr">
        <is>
          <t>Cột F/G/H: dữ liệu trả lời nguyên văn từ V1; cột N/O: kết quả rà soát của trợ lý. Cần làm rõ KHÔNG đồng nghĩa bác bỏ câu trả lời.</t>
        </is>
      </c>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54" customHeight="1" s="94">
      <c r="A4" s="7" t="inlineStr">
        <is>
          <t>Mã</t>
        </is>
      </c>
      <c r="B4" s="7" t="inlineStr">
        <is>
          <t>Nhóm nghiệp vụ</t>
        </is>
      </c>
      <c r="C4" s="7" t="inlineStr">
        <is>
          <t>Ưu tiên</t>
        </is>
      </c>
      <c r="D4" s="7" t="inlineStr">
        <is>
          <t>Câu hỏi cần chốt</t>
        </is>
      </c>
      <c r="E4" s="7" t="inlineStr">
        <is>
          <t>Phương án gợi ý / cách điền</t>
        </is>
      </c>
      <c r="F4" s="7" t="inlineStr">
        <is>
          <t>Lựa chọn (điền)</t>
        </is>
      </c>
      <c r="G4" s="7" t="inlineStr">
        <is>
          <t>Quyết định/Thông số cụ thể (điền)</t>
        </is>
      </c>
      <c r="H4" s="7" t="inlineStr">
        <is>
          <t>Trạng thái (điền)</t>
        </is>
      </c>
      <c r="I4" s="7" t="inlineStr">
        <is>
          <t>Đơn vị xác nhận đề xuất</t>
        </is>
      </c>
      <c r="J4" s="7" t="inlineStr">
        <is>
          <t>Người xác nhận (điền)</t>
        </is>
      </c>
      <c r="K4" s="7" t="inlineStr">
        <is>
          <t>Ngày chốt (điền)</t>
        </is>
      </c>
      <c r="L4" s="7" t="inlineStr">
        <is>
          <t>Ghi chú bổ sung (điền)</t>
        </is>
      </c>
      <c r="M4" s="7" t="inlineStr">
        <is>
          <t>Căn cứ / nguồn</t>
        </is>
      </c>
      <c r="N4" s="7" t="inlineStr">
        <is>
          <t>ĐÁNH GIÁ RÀ SOÁT</t>
        </is>
      </c>
      <c r="O4" s="7" t="inlineStr">
        <is>
          <t>LƯU Ý / CẦN XÁC NHẬN</t>
        </is>
      </c>
      <c r="P4" s="57" t="n"/>
      <c r="Q4" s="57" t="n"/>
      <c r="R4" s="57" t="n"/>
      <c r="S4" s="57" t="n"/>
      <c r="T4" s="57" t="n"/>
      <c r="U4" s="57" t="n"/>
      <c r="V4" s="57" t="n"/>
      <c r="W4" s="57" t="n"/>
      <c r="X4" s="57" t="n"/>
      <c r="Y4" s="57" t="n"/>
      <c r="Z4" s="57" t="n"/>
    </row>
    <row r="5" ht="60" customHeight="1" s="94">
      <c r="A5" s="17" t="inlineStr">
        <is>
          <t>V01</t>
        </is>
      </c>
      <c r="B5" s="18" t="inlineStr">
        <is>
          <t>01. Vé xe / cổng</t>
        </is>
      </c>
      <c r="C5" s="19" t="inlineStr">
        <is>
          <t>P0</t>
        </is>
      </c>
      <c r="D5" s="10" t="inlineStr">
        <is>
          <t>Đầu kéo vào KHÔNG có container (vé vào 0đ), sau đó kéo container ra: có thu thêm 250.000đ ở lượt ra không?</t>
        </is>
      </c>
      <c r="E5" s="10" t="inlineStr">
        <is>
          <t>A. Không, giữ giá tại cổng vào; B. Có, bổ sung phí khi ra có kéo cont; C. Chính sách khác.</t>
        </is>
      </c>
      <c r="F5" s="24" t="inlineStr">
        <is>
          <t>A</t>
        </is>
      </c>
      <c r="G5" s="23" t="n"/>
      <c r="H5" s="25" t="inlineStr">
        <is>
          <t>Đã chốt</t>
        </is>
      </c>
      <c r="I5" s="10" t="inlineStr">
        <is>
          <t>Ban quản lý Sơn Cảng</t>
        </is>
      </c>
      <c r="J5" s="23" t="n"/>
      <c r="K5" s="26" t="n"/>
      <c r="L5" s="23" t="n"/>
      <c r="M5" s="10" t="inlineStr">
        <is>
          <t>PRICE_LIST + luồng xe nhận container</t>
        </is>
      </c>
      <c r="N5" s="27" t="inlineStr">
        <is>
          <t>Đủ rõ để đặc tả</t>
        </is>
      </c>
      <c r="O5" s="28" t="inlineStr">
        <is>
          <t>Có lựa chọn được người dùng đánh dấu đã chốt; giữ nguyên câu trả lời và ghi chú.</t>
        </is>
      </c>
      <c r="P5" s="57" t="n"/>
      <c r="Q5" s="57" t="n"/>
      <c r="R5" s="57" t="n"/>
      <c r="S5" s="57" t="n"/>
      <c r="T5" s="57" t="n"/>
      <c r="U5" s="57" t="n"/>
      <c r="V5" s="57" t="n"/>
      <c r="W5" s="57" t="n"/>
      <c r="X5" s="57" t="n"/>
      <c r="Y5" s="57" t="n"/>
      <c r="Z5" s="57" t="n"/>
    </row>
    <row r="6" ht="60" customHeight="1" s="94">
      <c r="A6" s="29" t="inlineStr">
        <is>
          <t>V02</t>
        </is>
      </c>
      <c r="B6" s="30" t="inlineStr">
        <is>
          <t>01. Vé xe / cổng</t>
        </is>
      </c>
      <c r="C6" s="31" t="inlineStr">
        <is>
          <t>P0</t>
        </is>
      </c>
      <c r="D6" s="16" t="inlineStr">
        <is>
          <t>Vé vào có bắt buộc thu ngay trước khi cho xe qua cổng vào, hay được phép ghi Chưa thu để bổ sung sau?</t>
        </is>
      </c>
      <c r="E6" s="16" t="inlineStr">
        <is>
          <t>A. Bắt buộc thu đủ; B. Cho ghi Chưa thu có điều kiện; C. Chỉ ngoại lệ cần phê duyệt.</t>
        </is>
      </c>
      <c r="F6" s="24" t="inlineStr">
        <is>
          <t>A</t>
        </is>
      </c>
      <c r="G6" s="25" t="inlineStr">
        <is>
          <t>Nhưng cũng có trường họp thu sau(ít)</t>
        </is>
      </c>
      <c r="H6" s="25" t="inlineStr">
        <is>
          <t>Đã chốt</t>
        </is>
      </c>
      <c r="I6" s="16" t="inlineStr">
        <is>
          <t>Trưởng BP An ninh + CCKB</t>
        </is>
      </c>
      <c r="J6" s="23" t="n"/>
      <c r="K6" s="26" t="n"/>
      <c r="L6" s="23" t="n"/>
      <c r="M6" s="16" t="inlineStr">
        <is>
          <t>Trao đổi nghiệp vụ Sơn Cảng, 10-11/10/2026</t>
        </is>
      </c>
      <c r="N6" s="32" t="inlineStr">
        <is>
          <t>Cần làm rõ</t>
        </is>
      </c>
      <c r="O6" s="33" t="inlineStr">
        <is>
          <t>Thu vé ngay là mặc định, nhưng ghi chú cho phép thu sau (ít). Cần xác định ai cho phép và cách báo Chưa thu.</t>
        </is>
      </c>
      <c r="P6" s="57" t="n"/>
      <c r="Q6" s="57" t="n"/>
      <c r="R6" s="57" t="n"/>
      <c r="S6" s="57" t="n"/>
      <c r="T6" s="57" t="n"/>
      <c r="U6" s="57" t="n"/>
      <c r="V6" s="57" t="n"/>
      <c r="W6" s="57" t="n"/>
      <c r="X6" s="57" t="n"/>
      <c r="Y6" s="57" t="n"/>
      <c r="Z6" s="57" t="n"/>
    </row>
    <row r="7" ht="64.5" customHeight="1" s="94">
      <c r="A7" s="17" t="inlineStr">
        <is>
          <t>V03</t>
        </is>
      </c>
      <c r="B7" s="18" t="inlineStr">
        <is>
          <t>01. Vé xe / cổng</t>
        </is>
      </c>
      <c r="C7" s="19" t="inlineStr">
        <is>
          <t>P0</t>
        </is>
      </c>
      <c r="D7" s="10" t="inlineStr">
        <is>
          <t>Xe container KHÔNG lạnh/container khô hiện có được tiếp nhận không? Nếu có mã xe và đơn giá vé nào?</t>
        </is>
      </c>
      <c r="E7" s="10" t="inlineStr">
        <is>
          <t>A. Dùng CONT_LANH nếu chung 250.000đ; B. Tạo mã giá xe container khác; C. Không sử dụng loại này.</t>
        </is>
      </c>
      <c r="F7" s="24" t="inlineStr">
        <is>
          <t>Khác</t>
        </is>
      </c>
      <c r="G7" s="25" t="inlineStr">
        <is>
          <t>Chỉ có xe cont(250K) và xe đầu kéo k còn(0Đ)</t>
        </is>
      </c>
      <c r="H7" s="25" t="inlineStr">
        <is>
          <t>Đã chốt</t>
        </is>
      </c>
      <c r="I7" s="10" t="inlineStr">
        <is>
          <t>Trưởng BP An ninh</t>
        </is>
      </c>
      <c r="J7" s="23" t="n"/>
      <c r="K7" s="26" t="n"/>
      <c r="L7" s="23" t="n"/>
      <c r="M7" s="10" t="inlineStr">
        <is>
          <t>Trao đổi nghiệp vụ Sơn Cảng, 10-11/10/2026</t>
        </is>
      </c>
      <c r="N7" s="37" t="inlineStr">
        <is>
          <t>Cần làm rõ</t>
        </is>
      </c>
      <c r="O7" s="38" t="inlineStr">
        <is>
          <t>Người dùng dùng tên “xe cont” chung; PRICE_LIST hiện ghi CONT_LANH. Cần rà nhãn hiển thị, không đổi mã giá đã chốt.</t>
        </is>
      </c>
      <c r="P7" s="57" t="n"/>
      <c r="Q7" s="57" t="n"/>
      <c r="R7" s="57" t="n"/>
      <c r="S7" s="57" t="n"/>
      <c r="T7" s="57" t="n"/>
      <c r="U7" s="57" t="n"/>
      <c r="V7" s="57" t="n"/>
      <c r="W7" s="57" t="n"/>
      <c r="X7" s="57" t="n"/>
      <c r="Y7" s="57" t="n"/>
      <c r="Z7" s="57" t="n"/>
    </row>
    <row r="8" ht="60" customHeight="1" s="94">
      <c r="A8" s="29" t="inlineStr">
        <is>
          <t>V04</t>
        </is>
      </c>
      <c r="B8" s="30" t="inlineStr">
        <is>
          <t>01. Vé xe / cổng</t>
        </is>
      </c>
      <c r="C8" s="39" t="inlineStr">
        <is>
          <t>P1</t>
        </is>
      </c>
      <c r="D8" s="16" t="inlineStr">
        <is>
          <t>Xe bo ba bánh không có biển số được phân biệt lượt bằng mã vé; có cần thêm tên lái xe/đặc điểm xe/ảnh xe không?</t>
        </is>
      </c>
      <c r="E8" s="16" t="inlineStr">
        <is>
          <t>A. Chỉ mã vé tự sinh; B. Thêm thông tin nhận diện; C. Có thể nhập biển số khi có.</t>
        </is>
      </c>
      <c r="F8" s="24" t="inlineStr">
        <is>
          <t>A</t>
        </is>
      </c>
      <c r="G8" s="25" t="inlineStr">
        <is>
          <t>chỉ sinh cũng được nhưng đến lúc ra cũng chịu à, hoặc có thể sinh mã r điền vào vé thôi</t>
        </is>
      </c>
      <c r="H8" s="25" t="inlineStr">
        <is>
          <t>Đã chốt</t>
        </is>
      </c>
      <c r="I8" s="16" t="inlineStr">
        <is>
          <t>Trưởng BP An ninh</t>
        </is>
      </c>
      <c r="J8" s="23" t="n"/>
      <c r="K8" s="26" t="n"/>
      <c r="L8" s="23" t="n"/>
      <c r="M8" s="16" t="inlineStr">
        <is>
          <t>Trao đổi nghiệp vụ Sơn Cảng, 10-11/10/2026</t>
        </is>
      </c>
      <c r="N8" s="32" t="inlineStr">
        <is>
          <t>Cần làm rõ</t>
        </is>
      </c>
      <c r="O8" s="33" t="inlineStr">
        <is>
          <t>Không có biển số; người dùng lo không biết đối chiếu khi ra. Cần quy trình mã vé/tìm lượt.</t>
        </is>
      </c>
      <c r="P8" s="57" t="n"/>
      <c r="Q8" s="57" t="n"/>
      <c r="R8" s="57" t="n"/>
      <c r="S8" s="57" t="n"/>
      <c r="T8" s="57" t="n"/>
      <c r="U8" s="57" t="n"/>
      <c r="V8" s="57" t="n"/>
      <c r="W8" s="57" t="n"/>
      <c r="X8" s="57" t="n"/>
      <c r="Y8" s="57" t="n"/>
      <c r="Z8" s="57" t="n"/>
    </row>
    <row r="9" ht="64.5" customHeight="1" s="94">
      <c r="A9" s="17" t="inlineStr">
        <is>
          <t>V05</t>
        </is>
      </c>
      <c r="B9" s="18" t="inlineStr">
        <is>
          <t>01. Vé xe / cổng</t>
        </is>
      </c>
      <c r="C9" s="19" t="inlineStr">
        <is>
          <t>P0</t>
        </is>
      </c>
      <c r="D9" s="10" t="inlineStr">
        <is>
          <t>Vé giấy 2 liên có cần nhập/kiểm soát SỐ VÉ GIẤY bắt buộc khi ghi nhận xe vào không?</t>
        </is>
      </c>
      <c r="E9" s="10" t="inlineStr">
        <is>
          <t>A. Bắt buộc; B. Khuyến khích, không bắt buộc; C. Chuyển sang in/QR từ PWA.</t>
        </is>
      </c>
      <c r="F9" s="24" t="inlineStr">
        <is>
          <t>B</t>
        </is>
      </c>
      <c r="G9" s="25" t="inlineStr">
        <is>
          <t xml:space="preserve">sau này sẽ in </t>
        </is>
      </c>
      <c r="H9" s="25" t="inlineStr">
        <is>
          <t>Đã chốt</t>
        </is>
      </c>
      <c r="I9" s="10" t="inlineStr">
        <is>
          <t>Trưởng BP An ninh</t>
        </is>
      </c>
      <c r="J9" s="23" t="n"/>
      <c r="K9" s="26" t="n"/>
      <c r="L9" s="23" t="n"/>
      <c r="M9" s="10" t="inlineStr">
        <is>
          <t>Trao đổi nghiệp vụ Sơn Cảng, 10-11/10/2026</t>
        </is>
      </c>
      <c r="N9" s="37" t="inlineStr">
        <is>
          <t>Cần làm rõ</t>
        </is>
      </c>
      <c r="O9" s="38" t="inlineStr">
        <is>
          <t>Số vé giấy hiện không bắt buộc; người dùng nói “sau này sẽ in”. Cần xác định thuộc giai đoạn nào.</t>
        </is>
      </c>
      <c r="P9" s="57" t="n"/>
      <c r="Q9" s="57" t="n"/>
      <c r="R9" s="57" t="n"/>
      <c r="S9" s="57" t="n"/>
      <c r="T9" s="57" t="n"/>
      <c r="U9" s="57" t="n"/>
      <c r="V9" s="57" t="n"/>
      <c r="W9" s="57" t="n"/>
      <c r="X9" s="57" t="n"/>
      <c r="Y9" s="57" t="n"/>
      <c r="Z9" s="57" t="n"/>
    </row>
    <row r="10" ht="54.75" customHeight="1" s="94">
      <c r="A10" s="29" t="inlineStr">
        <is>
          <t>V06</t>
        </is>
      </c>
      <c r="B10" s="30" t="inlineStr">
        <is>
          <t>01. Vé xe / cổng</t>
        </is>
      </c>
      <c r="C10" s="31" t="inlineStr">
        <is>
          <t>P0</t>
        </is>
      </c>
      <c r="D10" s="16" t="inlineStr">
        <is>
          <t>Mất liên 02, phạt 250.000đ: bộ phận nào xác nhận, thu tiền và đánh dấu đã xử lý?</t>
        </is>
      </c>
      <c r="E10" s="16" t="inlineStr">
        <is>
          <t>A. An ninh nhận phạt; B. CCKB thu; C. An ninh xác nhận mất, CCKB thu; ghi rõ ngoại lệ.</t>
        </is>
      </c>
      <c r="F10" s="24" t="inlineStr">
        <is>
          <t>A</t>
        </is>
      </c>
      <c r="G10" s="23" t="n"/>
      <c r="H10" s="25" t="inlineStr">
        <is>
          <t>Đã chốt</t>
        </is>
      </c>
      <c r="I10" s="16" t="inlineStr">
        <is>
          <t>Trưởng BP An ninh + CCKB</t>
        </is>
      </c>
      <c r="J10" s="23" t="n"/>
      <c r="K10" s="26" t="n"/>
      <c r="L10" s="23" t="n"/>
      <c r="M10" s="16" t="inlineStr">
        <is>
          <t>Thông báo vé giấy Sơn Cảng</t>
        </is>
      </c>
      <c r="N10" s="27" t="inlineStr">
        <is>
          <t>Đủ rõ để đặc tả</t>
        </is>
      </c>
      <c r="O10" s="28" t="inlineStr">
        <is>
          <t>Có lựa chọn được người dùng đánh dấu đã chốt; giữ nguyên câu trả lời và ghi chú.</t>
        </is>
      </c>
      <c r="P10" s="57" t="n"/>
      <c r="Q10" s="57" t="n"/>
      <c r="R10" s="57" t="n"/>
      <c r="S10" s="57" t="n"/>
      <c r="T10" s="57" t="n"/>
      <c r="U10" s="57" t="n"/>
      <c r="V10" s="57" t="n"/>
      <c r="W10" s="57" t="n"/>
      <c r="X10" s="57" t="n"/>
      <c r="Y10" s="57" t="n"/>
      <c r="Z10" s="57" t="n"/>
    </row>
    <row r="11" ht="54.75" customHeight="1" s="94">
      <c r="A11" s="17" t="inlineStr">
        <is>
          <t>V07</t>
        </is>
      </c>
      <c r="B11" s="18" t="inlineStr">
        <is>
          <t>01. Vé xe / cổng</t>
        </is>
      </c>
      <c r="C11" s="40" t="inlineStr">
        <is>
          <t>P1</t>
        </is>
      </c>
      <c r="D11" s="10" t="inlineStr">
        <is>
          <t>Trường hợp khách có vé nhưng số vé/biển số không khớp: cho sửa vé tại cổng hay báo Trưởng BP xử lý?</t>
        </is>
      </c>
      <c r="E11" s="10" t="inlineStr">
        <is>
          <t>A. Chặn và yêu cầu phê duyệt; B. Cho xác minh bằng chứng từ; C. Quy trình khác.</t>
        </is>
      </c>
      <c r="F11" s="24" t="inlineStr">
        <is>
          <t>A</t>
        </is>
      </c>
      <c r="G11" s="23" t="n"/>
      <c r="H11" s="25" t="inlineStr">
        <is>
          <t>Đã chốt</t>
        </is>
      </c>
      <c r="I11" s="10" t="inlineStr">
        <is>
          <t>Trưởng BP An ninh</t>
        </is>
      </c>
      <c r="J11" s="23" t="n"/>
      <c r="K11" s="26" t="n"/>
      <c r="L11" s="23" t="n"/>
      <c r="M11" s="10" t="inlineStr">
        <is>
          <t>Trao đổi nghiệp vụ Sơn Cảng, 10-11/10/2026</t>
        </is>
      </c>
      <c r="N11" s="27" t="inlineStr">
        <is>
          <t>Đủ rõ để đặc tả</t>
        </is>
      </c>
      <c r="O11" s="28" t="inlineStr">
        <is>
          <t>Có lựa chọn được người dùng đánh dấu đã chốt; giữ nguyên câu trả lời và ghi chú.</t>
        </is>
      </c>
      <c r="P11" s="57" t="n"/>
      <c r="Q11" s="57" t="n"/>
      <c r="R11" s="57" t="n"/>
      <c r="S11" s="57" t="n"/>
      <c r="T11" s="57" t="n"/>
      <c r="U11" s="57" t="n"/>
      <c r="V11" s="57" t="n"/>
      <c r="W11" s="57" t="n"/>
      <c r="X11" s="57" t="n"/>
      <c r="Y11" s="57" t="n"/>
      <c r="Z11" s="57" t="n"/>
    </row>
    <row r="12" ht="60" customHeight="1" s="94">
      <c r="A12" s="29" t="inlineStr">
        <is>
          <t>V08</t>
        </is>
      </c>
      <c r="B12" s="30" t="inlineStr">
        <is>
          <t>01. Vé xe / cổng</t>
        </is>
      </c>
      <c r="C12" s="39" t="inlineStr">
        <is>
          <t>P1</t>
        </is>
      </c>
      <c r="D12" s="16" t="inlineStr">
        <is>
          <t>Xe sang tải (tạp), đầu kéo 0đ có cần ghi nhận phiếu/vé giấy và xác nhận trạng thái Miễn phí hay không?</t>
        </is>
      </c>
      <c r="E12" s="16" t="inlineStr">
        <is>
          <t>A. Có kiểm soát đủ; B. Chỉ ghi lượt; C. Trường hợp khác.</t>
        </is>
      </c>
      <c r="F12" s="24" t="inlineStr">
        <is>
          <t>A</t>
        </is>
      </c>
      <c r="G12" s="23" t="n"/>
      <c r="H12" s="25" t="inlineStr">
        <is>
          <t>Đã chốt</t>
        </is>
      </c>
      <c r="I12" s="16" t="inlineStr">
        <is>
          <t>Trưởng BP An ninh</t>
        </is>
      </c>
      <c r="J12" s="23" t="n"/>
      <c r="K12" s="26" t="n"/>
      <c r="L12" s="23" t="n"/>
      <c r="M12" s="16" t="inlineStr">
        <is>
          <t>Trao đổi nghiệp vụ Sơn Cảng, 10-11/10/2026</t>
        </is>
      </c>
      <c r="N12" s="27" t="inlineStr">
        <is>
          <t>Đủ rõ để đặc tả</t>
        </is>
      </c>
      <c r="O12" s="28" t="inlineStr">
        <is>
          <t>Có lựa chọn được người dùng đánh dấu đã chốt; giữ nguyên câu trả lời và ghi chú.</t>
        </is>
      </c>
      <c r="P12" s="57" t="n"/>
      <c r="Q12" s="57" t="n"/>
      <c r="R12" s="57" t="n"/>
      <c r="S12" s="57" t="n"/>
      <c r="T12" s="57" t="n"/>
      <c r="U12" s="57" t="n"/>
      <c r="V12" s="57" t="n"/>
      <c r="W12" s="57" t="n"/>
      <c r="X12" s="57" t="n"/>
      <c r="Y12" s="57" t="n"/>
      <c r="Z12" s="57" t="n"/>
    </row>
    <row r="13" ht="60" customHeight="1" s="94">
      <c r="A13" s="17" t="inlineStr">
        <is>
          <t>V09</t>
        </is>
      </c>
      <c r="B13" s="18" t="inlineStr">
        <is>
          <t>01. Vé xe / cổng</t>
        </is>
      </c>
      <c r="C13" s="40" t="inlineStr">
        <is>
          <t>P1</t>
        </is>
      </c>
      <c r="D13" s="10" t="inlineStr">
        <is>
          <t>Khi xe vào có kéo container, được phép nhập số container tạm/chưa rõ chính xác hay luôn bắt buộc số hợp lệ?</t>
        </is>
      </c>
      <c r="E13" s="10" t="inlineStr">
        <is>
          <t>A. Bắt buộc mã chính xác; B. Cho tạo tạm có phê duyệt; C. Được sửa trong thời hạn.</t>
        </is>
      </c>
      <c r="F13" s="24" t="inlineStr">
        <is>
          <t>A</t>
        </is>
      </c>
      <c r="G13" s="23" t="n"/>
      <c r="H13" s="25" t="inlineStr">
        <is>
          <t>Đã chốt</t>
        </is>
      </c>
      <c r="I13" s="10" t="inlineStr">
        <is>
          <t>Trưởng BP An ninh + Điều phối</t>
        </is>
      </c>
      <c r="J13" s="23" t="n"/>
      <c r="K13" s="26" t="n"/>
      <c r="L13" s="23" t="n"/>
      <c r="M13" s="10" t="inlineStr">
        <is>
          <t>Trao đổi nghiệp vụ Sơn Cảng, 10-11/10/2026</t>
        </is>
      </c>
      <c r="N13" s="32" t="inlineStr">
        <is>
          <t>Cần làm rõ</t>
        </is>
      </c>
      <c r="O13" s="33" t="inlineStr">
        <is>
          <t>Chọn số container chính xác khi vào, nhưng nghiệp vụ thực tế thường nhập nhầm; cần cơ chế sửa có lịch sử và đối chiếu.</t>
        </is>
      </c>
      <c r="P13" s="57" t="n"/>
      <c r="Q13" s="57" t="n"/>
      <c r="R13" s="57" t="n"/>
      <c r="S13" s="57" t="n"/>
      <c r="T13" s="57" t="n"/>
      <c r="U13" s="57" t="n"/>
      <c r="V13" s="57" t="n"/>
      <c r="W13" s="57" t="n"/>
      <c r="X13" s="57" t="n"/>
      <c r="Y13" s="57" t="n"/>
      <c r="Z13" s="57" t="n"/>
    </row>
    <row r="14" ht="60" customHeight="1" s="94">
      <c r="A14" s="29" t="inlineStr">
        <is>
          <t>V10</t>
        </is>
      </c>
      <c r="B14" s="30" t="inlineStr">
        <is>
          <t>01. Vé xe / cổng</t>
        </is>
      </c>
      <c r="C14" s="31" t="inlineStr">
        <is>
          <t>P0</t>
        </is>
      </c>
      <c r="D14" s="16" t="inlineStr">
        <is>
          <t>Một lượt xe có thể chở trên 01 container cùng lúc không, đặc biệt với xe nhỏ hoặc phương tiện đặc biệt?</t>
        </is>
      </c>
      <c r="E14" s="16" t="inlineStr">
        <is>
          <t>A. Chỉ 01; B. Cho nhiều container; C. Tùy loại xe.</t>
        </is>
      </c>
      <c r="F14" s="24" t="inlineStr">
        <is>
          <t>A</t>
        </is>
      </c>
      <c r="G14" s="23" t="n"/>
      <c r="H14" s="25" t="inlineStr">
        <is>
          <t>Đã chốt</t>
        </is>
      </c>
      <c r="I14" s="16" t="inlineStr">
        <is>
          <t>Trưởng BP An ninh + Điều phối</t>
        </is>
      </c>
      <c r="J14" s="23" t="n"/>
      <c r="K14" s="26" t="n"/>
      <c r="L14" s="23" t="n"/>
      <c r="M14" s="16" t="inlineStr">
        <is>
          <t>Trao đổi nghiệp vụ Sơn Cảng, 10-11/10/2026</t>
        </is>
      </c>
      <c r="N14" s="27" t="inlineStr">
        <is>
          <t>Đủ rõ để đặc tả</t>
        </is>
      </c>
      <c r="O14" s="28" t="inlineStr">
        <is>
          <t>Có lựa chọn được người dùng đánh dấu đã chốt; giữ nguyên câu trả lời và ghi chú.</t>
        </is>
      </c>
      <c r="P14" s="57" t="n"/>
      <c r="Q14" s="57" t="n"/>
      <c r="R14" s="57" t="n"/>
      <c r="S14" s="57" t="n"/>
      <c r="T14" s="57" t="n"/>
      <c r="U14" s="57" t="n"/>
      <c r="V14" s="57" t="n"/>
      <c r="W14" s="57" t="n"/>
      <c r="X14" s="57" t="n"/>
      <c r="Y14" s="57" t="n"/>
      <c r="Z14" s="57" t="n"/>
    </row>
    <row r="15" ht="60" customHeight="1" s="94">
      <c r="A15" s="17" t="inlineStr">
        <is>
          <t>V11</t>
        </is>
      </c>
      <c r="B15" s="18" t="inlineStr">
        <is>
          <t>01. Vé xe / cổng</t>
        </is>
      </c>
      <c r="C15" s="40" t="inlineStr">
        <is>
          <t>P1</t>
        </is>
      </c>
      <c r="D15" s="10" t="inlineStr">
        <is>
          <t>Khi xe ra không kéo container (đã hạ), có yêu cầu xác nhận riêng tại cổng hay chỉ chọn phương án ra không cont?</t>
        </is>
      </c>
      <c r="E15" s="10" t="inlineStr">
        <is>
          <t>A. Bắt buộc xác nhận; B. Theo trạng thái cont thực tế; C. Quy trình khác.</t>
        </is>
      </c>
      <c r="F15" s="24" t="inlineStr">
        <is>
          <t>A</t>
        </is>
      </c>
      <c r="G15" s="23" t="n"/>
      <c r="H15" s="25" t="inlineStr">
        <is>
          <t>Đã chốt</t>
        </is>
      </c>
      <c r="I15" s="10" t="inlineStr">
        <is>
          <t>Trưởng BP An ninh</t>
        </is>
      </c>
      <c r="J15" s="23" t="n"/>
      <c r="K15" s="26" t="n"/>
      <c r="L15" s="23" t="n"/>
      <c r="M15" s="10" t="inlineStr">
        <is>
          <t>Trao đổi nghiệp vụ Sơn Cảng, 10-11/10/2026</t>
        </is>
      </c>
      <c r="N15" s="27" t="inlineStr">
        <is>
          <t>Đủ rõ để đặc tả</t>
        </is>
      </c>
      <c r="O15" s="28" t="inlineStr">
        <is>
          <t>Có lựa chọn được người dùng đánh dấu đã chốt; giữ nguyên câu trả lời và ghi chú.</t>
        </is>
      </c>
      <c r="P15" s="57" t="n"/>
      <c r="Q15" s="57" t="n"/>
      <c r="R15" s="57" t="n"/>
      <c r="S15" s="57" t="n"/>
      <c r="T15" s="57" t="n"/>
      <c r="U15" s="57" t="n"/>
      <c r="V15" s="57" t="n"/>
      <c r="W15" s="57" t="n"/>
      <c r="X15" s="57" t="n"/>
      <c r="Y15" s="57" t="n"/>
      <c r="Z15" s="57" t="n"/>
    </row>
    <row r="16" ht="64.5" customHeight="1" s="94">
      <c r="A16" s="29" t="inlineStr">
        <is>
          <t>V12</t>
        </is>
      </c>
      <c r="B16" s="30" t="inlineStr">
        <is>
          <t>01. Vé xe / cổng</t>
        </is>
      </c>
      <c r="C16" s="39" t="inlineStr">
        <is>
          <t>P1</t>
        </is>
      </c>
      <c r="D16" s="16" t="inlineStr">
        <is>
          <t>Sửa GIO_VAO/GIO_RA, biển số hoặc loại xe: ai được sửa, giới hạn thời gian và cần bằng chứng gì?</t>
        </is>
      </c>
      <c r="E16" s="16" t="inlineStr">
        <is>
          <t>A. Nhân viên sửa trước ra; B. TBP duyệt khi đã ra; C. Mọi sửa phải TBP duyệt.</t>
        </is>
      </c>
      <c r="F16" s="24" t="inlineStr">
        <is>
          <t>C</t>
        </is>
      </c>
      <c r="G16" s="25" t="inlineStr">
        <is>
          <t>cho phép sửa linh hoạt nhưng có log</t>
        </is>
      </c>
      <c r="H16" s="25" t="inlineStr">
        <is>
          <t>Đã chốt</t>
        </is>
      </c>
      <c r="I16" s="16" t="inlineStr">
        <is>
          <t>Trưởng BP An ninh</t>
        </is>
      </c>
      <c r="J16" s="23" t="n"/>
      <c r="K16" s="26" t="n"/>
      <c r="L16" s="23" t="n"/>
      <c r="M16" s="16" t="inlineStr">
        <is>
          <t>Trao đổi nghiệp vụ Sơn Cảng, 10-11/10/2026</t>
        </is>
      </c>
      <c r="N16" s="32" t="inlineStr">
        <is>
          <t>Cần làm rõ</t>
        </is>
      </c>
      <c r="O16" s="33" t="inlineStr">
        <is>
          <t>F=C (mọi sửa qua TBP) nhưng G=cho sửa linh hoạt, có log; cần chốt quyền riêng trước và sau khi xe đã ra.</t>
        </is>
      </c>
      <c r="P16" s="57" t="n"/>
      <c r="Q16" s="57" t="n"/>
      <c r="R16" s="57" t="n"/>
      <c r="S16" s="57" t="n"/>
      <c r="T16" s="57" t="n"/>
      <c r="U16" s="57" t="n"/>
      <c r="V16" s="57" t="n"/>
      <c r="W16" s="57" t="n"/>
      <c r="X16" s="57" t="n"/>
      <c r="Y16" s="57" t="n"/>
      <c r="Z16" s="57" t="n"/>
    </row>
    <row r="17" ht="54.75" customHeight="1" s="94">
      <c r="A17" s="17" t="inlineStr">
        <is>
          <t>L01</t>
        </is>
      </c>
      <c r="B17" s="18" t="inlineStr">
        <is>
          <t>02. Lưu container</t>
        </is>
      </c>
      <c r="C17" s="19" t="inlineStr">
        <is>
          <t>P0</t>
        </is>
      </c>
      <c r="D17" s="10" t="inlineStr">
        <is>
          <t>Nếu container vào trước 22:00 và ra đúng 22:00, có ghi nhận 1 đêm hay chưa?</t>
        </is>
      </c>
      <c r="E17" s="10" t="inlineStr">
        <is>
          <t>A. Tính 1 đêm (&gt;=22:00); B. Chưa tính nếu ra đúng 22:00; C. Theo công thức AppSheet V1 đã nghiệm thu.</t>
        </is>
      </c>
      <c r="F17" s="24" t="inlineStr">
        <is>
          <t>A</t>
        </is>
      </c>
      <c r="G17" s="23" t="n"/>
      <c r="H17" s="25" t="inlineStr">
        <is>
          <t>Đã chốt</t>
        </is>
      </c>
      <c r="I17" s="10" t="inlineStr">
        <is>
          <t>Trưởng BP CCKB</t>
        </is>
      </c>
      <c r="J17" s="23" t="n"/>
      <c r="K17" s="26" t="n"/>
      <c r="L17" s="23" t="n"/>
      <c r="M17" s="10" t="inlineStr">
        <is>
          <t>Thông báo 22:00–06:00</t>
        </is>
      </c>
      <c r="N17" s="27" t="inlineStr">
        <is>
          <t>Đủ rõ để đặc tả</t>
        </is>
      </c>
      <c r="O17" s="28" t="inlineStr">
        <is>
          <t>Có lựa chọn được người dùng đánh dấu đã chốt; giữ nguyên câu trả lời và ghi chú.</t>
        </is>
      </c>
      <c r="P17" s="57" t="n"/>
      <c r="Q17" s="57" t="n"/>
      <c r="R17" s="57" t="n"/>
      <c r="S17" s="57" t="n"/>
      <c r="T17" s="57" t="n"/>
      <c r="U17" s="57" t="n"/>
      <c r="V17" s="57" t="n"/>
      <c r="W17" s="57" t="n"/>
      <c r="X17" s="57" t="n"/>
      <c r="Y17" s="57" t="n"/>
      <c r="Z17" s="57" t="n"/>
    </row>
    <row r="18" ht="54.75" customHeight="1" s="94">
      <c r="A18" s="29" t="inlineStr">
        <is>
          <t>L02</t>
        </is>
      </c>
      <c r="B18" s="30" t="inlineStr">
        <is>
          <t>02. Lưu container</t>
        </is>
      </c>
      <c r="C18" s="31" t="inlineStr">
        <is>
          <t>P0</t>
        </is>
      </c>
      <c r="D18" s="16" t="inlineStr">
        <is>
          <t>Nếu container vào đúng 06:00 hoặc ra đúng 06:00, quy tắc gán cho kỳ đêm nào?</t>
        </is>
      </c>
      <c r="E18" s="16" t="inlineStr">
        <is>
          <t>A. Kỳ đêm kết thúc tại 06:00, ra 06:00 có tính; B. Kết thúc trước 06:00 mới tính; C. Theo V1.</t>
        </is>
      </c>
      <c r="F18" s="24" t="inlineStr">
        <is>
          <t>A</t>
        </is>
      </c>
      <c r="G18" s="23" t="n"/>
      <c r="H18" s="25" t="inlineStr">
        <is>
          <t>Đã chốt</t>
        </is>
      </c>
      <c r="I18" s="16" t="inlineStr">
        <is>
          <t>Trưởng BP CCKB</t>
        </is>
      </c>
      <c r="J18" s="23" t="n"/>
      <c r="K18" s="26" t="n"/>
      <c r="L18" s="23" t="n"/>
      <c r="M18" s="16" t="inlineStr">
        <is>
          <t>Trao đổi nghiệp vụ Sơn Cảng, 10-11/10/2026</t>
        </is>
      </c>
      <c r="N18" s="27" t="inlineStr">
        <is>
          <t>Đủ rõ để đặc tả</t>
        </is>
      </c>
      <c r="O18" s="28" t="inlineStr">
        <is>
          <t>Có lựa chọn được người dùng đánh dấu đã chốt; giữ nguyên câu trả lời và ghi chú.</t>
        </is>
      </c>
      <c r="P18" s="57" t="n"/>
      <c r="Q18" s="57" t="n"/>
      <c r="R18" s="57" t="n"/>
      <c r="S18" s="57" t="n"/>
      <c r="T18" s="57" t="n"/>
      <c r="U18" s="57" t="n"/>
      <c r="V18" s="57" t="n"/>
      <c r="W18" s="57" t="n"/>
      <c r="X18" s="57" t="n"/>
      <c r="Y18" s="57" t="n"/>
      <c r="Z18" s="57" t="n"/>
    </row>
    <row r="19" ht="54.75" customHeight="1" s="94">
      <c r="A19" s="17" t="inlineStr">
        <is>
          <t>L03</t>
        </is>
      </c>
      <c r="B19" s="18" t="inlineStr">
        <is>
          <t>02. Lưu container</t>
        </is>
      </c>
      <c r="C19" s="19" t="inlineStr">
        <is>
          <t>P0</t>
        </is>
      </c>
      <c r="D19" s="10" t="inlineStr">
        <is>
          <t>Xe vào sau 22:00 (ví dụ 23:30) và ra trước 06:00 (02:00), đêm đó vẫn là 1 đêm miễn phí đúng không?</t>
        </is>
      </c>
      <c r="E19" s="10" t="inlineStr">
        <is>
          <t>A. Đúng; B. Chỉ khi qua mốc 06:00; C. Khác.</t>
        </is>
      </c>
      <c r="F19" s="24" t="inlineStr">
        <is>
          <t>A</t>
        </is>
      </c>
      <c r="G19" s="23" t="n"/>
      <c r="H19" s="25" t="inlineStr">
        <is>
          <t>Đã chốt</t>
        </is>
      </c>
      <c r="I19" s="10" t="inlineStr">
        <is>
          <t>Trưởng BP CCKB</t>
        </is>
      </c>
      <c r="J19" s="23" t="n"/>
      <c r="K19" s="26" t="n"/>
      <c r="L19" s="23" t="n"/>
      <c r="M19" s="10" t="inlineStr">
        <is>
          <t>Trao đổi nghiệp vụ Sơn Cảng, 10-11/10/2026</t>
        </is>
      </c>
      <c r="N19" s="27" t="inlineStr">
        <is>
          <t>Đủ rõ để đặc tả</t>
        </is>
      </c>
      <c r="O19" s="28" t="inlineStr">
        <is>
          <t>Có lựa chọn được người dùng đánh dấu đã chốt; giữ nguyên câu trả lời và ghi chú.</t>
        </is>
      </c>
      <c r="P19" s="57" t="n"/>
      <c r="Q19" s="57" t="n"/>
      <c r="R19" s="57" t="n"/>
      <c r="S19" s="57" t="n"/>
      <c r="T19" s="57" t="n"/>
      <c r="U19" s="57" t="n"/>
      <c r="V19" s="57" t="n"/>
      <c r="W19" s="57" t="n"/>
      <c r="X19" s="57" t="n"/>
      <c r="Y19" s="57" t="n"/>
      <c r="Z19" s="57" t="n"/>
    </row>
    <row r="20" ht="60" customHeight="1" s="94">
      <c r="A20" s="29" t="inlineStr">
        <is>
          <t>L04</t>
        </is>
      </c>
      <c r="B20" s="30" t="inlineStr">
        <is>
          <t>02. Lưu container</t>
        </is>
      </c>
      <c r="C20" s="31" t="inlineStr">
        <is>
          <t>P0</t>
        </is>
      </c>
      <c r="D20" s="16" t="inlineStr">
        <is>
          <t>CCKB đã duyệt thanh toán trước 22:00, nhưng container thực tế xuất sau 22:00 và phát sinh thêm kỳ đêm: quy trình cập nhật phí?</t>
        </is>
      </c>
      <c r="E20" s="16" t="inlineStr">
        <is>
          <t>A. Hủy hiệu lực xác nhận cũ, tính và thu thêm; B. Khóa phí tại giờ CCKB duyệt; C. Trường hợp ngoại lệ riêng.</t>
        </is>
      </c>
      <c r="F20" s="24" t="inlineStr">
        <is>
          <t>B</t>
        </is>
      </c>
      <c r="G20" s="25" t="inlineStr">
        <is>
          <t>Vì nhiều lúc thanh toán và rút rồi nhưng chưa ra nhé</t>
        </is>
      </c>
      <c r="H20" s="25" t="inlineStr">
        <is>
          <t>Đã chốt</t>
        </is>
      </c>
      <c r="I20" s="16" t="inlineStr">
        <is>
          <t>Trưởng BP CCKB + An ninh</t>
        </is>
      </c>
      <c r="J20" s="23" t="n"/>
      <c r="K20" s="26" t="n"/>
      <c r="L20" s="23" t="n"/>
      <c r="M20" s="16" t="inlineStr">
        <is>
          <t>Trao đổi nghiệp vụ Sơn Cảng, 10-11/10/2026</t>
        </is>
      </c>
      <c r="N20" s="32" t="inlineStr">
        <is>
          <t>Cần làm rõ</t>
        </is>
      </c>
      <c r="O20" s="33" t="inlineStr">
        <is>
          <t>F=B khóa phí tại giờ CCKB duyệt; T09 lại chọn tính lại tại lúc cont thực ra. Cần xác định mốc chốt phí sau 22:00.</t>
        </is>
      </c>
      <c r="P20" s="57" t="n"/>
      <c r="Q20" s="57" t="n"/>
      <c r="R20" s="57" t="n"/>
      <c r="S20" s="57" t="n"/>
      <c r="T20" s="57" t="n"/>
      <c r="U20" s="57" t="n"/>
      <c r="V20" s="57" t="n"/>
      <c r="W20" s="57" t="n"/>
      <c r="X20" s="57" t="n"/>
      <c r="Y20" s="57" t="n"/>
      <c r="Z20" s="57" t="n"/>
    </row>
    <row r="21" ht="54.75" customHeight="1" s="94">
      <c r="A21" s="17" t="inlineStr">
        <is>
          <t>L05</t>
        </is>
      </c>
      <c r="B21" s="18" t="inlineStr">
        <is>
          <t>02. Lưu container</t>
        </is>
      </c>
      <c r="C21" s="40" t="inlineStr">
        <is>
          <t>P1</t>
        </is>
      </c>
      <c r="D21" s="10" t="inlineStr">
        <is>
          <t>Container vào ra trong cùng ngày, chưa qua 22:00: SO_DEM_LUU hiển thị 0 hay tối thiểu 1 (miễn phí)?</t>
        </is>
      </c>
      <c r="E21" s="10" t="inlineStr">
        <is>
          <t>A. Hiển thị 0; B. Hiển thị 1 (miễn); C. Tách đêm thực tế / đêm tính tiền.</t>
        </is>
      </c>
      <c r="F21" s="24" t="inlineStr">
        <is>
          <t>B</t>
        </is>
      </c>
      <c r="G21" s="23" t="n"/>
      <c r="H21" s="25" t="inlineStr">
        <is>
          <t>Đã chốt</t>
        </is>
      </c>
      <c r="I21" s="10" t="inlineStr">
        <is>
          <t>Trưởng BP CCKB</t>
        </is>
      </c>
      <c r="J21" s="23" t="n"/>
      <c r="K21" s="26" t="n"/>
      <c r="L21" s="23" t="n"/>
      <c r="M21" s="10" t="inlineStr">
        <is>
          <t>Trao đổi nghiệp vụ Sơn Cảng, 10-11/10/2026</t>
        </is>
      </c>
      <c r="N21" s="27" t="inlineStr">
        <is>
          <t>Đủ rõ để đặc tả</t>
        </is>
      </c>
      <c r="O21" s="28" t="inlineStr">
        <is>
          <t>Có lựa chọn được người dùng đánh dấu đã chốt; giữ nguyên câu trả lời và ghi chú.</t>
        </is>
      </c>
      <c r="P21" s="57" t="n"/>
      <c r="Q21" s="57" t="n"/>
      <c r="R21" s="57" t="n"/>
      <c r="S21" s="57" t="n"/>
      <c r="T21" s="57" t="n"/>
      <c r="U21" s="57" t="n"/>
      <c r="V21" s="57" t="n"/>
      <c r="W21" s="57" t="n"/>
      <c r="X21" s="57" t="n"/>
      <c r="Y21" s="57" t="n"/>
      <c r="Z21" s="57" t="n"/>
    </row>
    <row r="22" ht="60" customHeight="1" s="94">
      <c r="A22" s="29" t="inlineStr">
        <is>
          <t>L06</t>
        </is>
      </c>
      <c r="B22" s="30" t="inlineStr">
        <is>
          <t>02. Lưu container</t>
        </is>
      </c>
      <c r="C22" s="39" t="inlineStr">
        <is>
          <t>P1</t>
        </is>
      </c>
      <c r="D22" s="16" t="inlineStr">
        <is>
          <t>Ai được sửa GIO_CONT_VAO/GIO_CONT_RA khi nhập muộn hoặc phát hiện sai? Việc sửa đã thu cần xử lý ra sao?</t>
        </is>
      </c>
      <c r="E22" s="16" t="inlineStr">
        <is>
          <t>A. Nhân viên đề xuất/TBP duyệt sau thu; B. TBP tự sửa có lý do; C. Quy trình khác.</t>
        </is>
      </c>
      <c r="F22" s="24" t="inlineStr">
        <is>
          <t>A</t>
        </is>
      </c>
      <c r="G22" s="25" t="inlineStr">
        <is>
          <t>A và B luôn</t>
        </is>
      </c>
      <c r="H22" s="25" t="inlineStr">
        <is>
          <t>Đã chốt</t>
        </is>
      </c>
      <c r="I22" s="16" t="inlineStr">
        <is>
          <t>Trưởng BP CCKB + An ninh</t>
        </is>
      </c>
      <c r="J22" s="23" t="n"/>
      <c r="K22" s="26" t="n"/>
      <c r="L22" s="23" t="n"/>
      <c r="M22" s="16" t="inlineStr">
        <is>
          <t>Trao đổi nghiệp vụ Sơn Cảng, 10-11/10/2026</t>
        </is>
      </c>
      <c r="N22" s="37" t="inlineStr">
        <is>
          <t>Cần làm rõ</t>
        </is>
      </c>
      <c r="O22" s="38" t="inlineStr">
        <is>
          <t>G=A và B: NV đề xuất/TBP duyệt hoặc TBP sửa trực tiếp; cần tách quyền theo trạng thái đã thu/chưa thu.</t>
        </is>
      </c>
      <c r="P22" s="57" t="n"/>
      <c r="Q22" s="57" t="n"/>
      <c r="R22" s="57" t="n"/>
      <c r="S22" s="57" t="n"/>
      <c r="T22" s="57" t="n"/>
      <c r="U22" s="57" t="n"/>
      <c r="V22" s="57" t="n"/>
      <c r="W22" s="57" t="n"/>
      <c r="X22" s="57" t="n"/>
      <c r="Y22" s="57" t="n"/>
      <c r="Z22" s="57" t="n"/>
    </row>
    <row r="23" ht="60" customHeight="1" s="94">
      <c r="A23" s="17" t="inlineStr">
        <is>
          <t>L07</t>
        </is>
      </c>
      <c r="B23" s="18" t="inlineStr">
        <is>
          <t>02. Lưu container</t>
        </is>
      </c>
      <c r="C23" s="19" t="inlineStr">
        <is>
          <t>P0</t>
        </is>
      </c>
      <c r="D23" s="10" t="inlineStr">
        <is>
          <t>Xe gốc đã ra nhưng container còn lại: CCKB duyệt tài chính cho lượt xe ra không kéo cont như thế nào?</t>
        </is>
      </c>
      <c r="E23" s="10" t="inlineStr">
        <is>
          <t>A. Chỉ cần vé xe; B. Cần xác nhận container tiếp tục ở bãi; C. Cần thêm xác nhận riêng.</t>
        </is>
      </c>
      <c r="F23" s="24" t="inlineStr">
        <is>
          <t>Khác</t>
        </is>
      </c>
      <c r="G23" s="25" t="inlineStr">
        <is>
          <t>duyệt theo container CCKB k quan tâ tới biểu số xe chỉ số cont</t>
        </is>
      </c>
      <c r="H23" s="25" t="inlineStr">
        <is>
          <t>Đã chốt</t>
        </is>
      </c>
      <c r="I23" s="10" t="inlineStr">
        <is>
          <t>Trưởng BP CCKB + An ninh</t>
        </is>
      </c>
      <c r="J23" s="23" t="n"/>
      <c r="K23" s="26" t="n"/>
      <c r="L23" s="23" t="n"/>
      <c r="M23" s="10" t="inlineStr">
        <is>
          <t>Trao đổi nghiệp vụ Sơn Cảng, 10-11/10/2026</t>
        </is>
      </c>
      <c r="N23" s="27" t="inlineStr">
        <is>
          <t>Đủ rõ để đặc tả</t>
        </is>
      </c>
      <c r="O23" s="28" t="inlineStr">
        <is>
          <t>Có lựa chọn được người dùng đánh dấu đã chốt; giữ nguyên câu trả lời và ghi chú.</t>
        </is>
      </c>
      <c r="P23" s="57" t="n"/>
      <c r="Q23" s="57" t="n"/>
      <c r="R23" s="57" t="n"/>
      <c r="S23" s="57" t="n"/>
      <c r="T23" s="57" t="n"/>
      <c r="U23" s="57" t="n"/>
      <c r="V23" s="57" t="n"/>
      <c r="W23" s="57" t="n"/>
      <c r="X23" s="57" t="n"/>
      <c r="Y23" s="57" t="n"/>
      <c r="Z23" s="57" t="n"/>
    </row>
    <row r="24" ht="60" customHeight="1" s="94">
      <c r="A24" s="29" t="inlineStr">
        <is>
          <t>L08</t>
        </is>
      </c>
      <c r="B24" s="30" t="inlineStr">
        <is>
          <t>02. Lưu container</t>
        </is>
      </c>
      <c r="C24" s="39" t="inlineStr">
        <is>
          <t>P1</t>
        </is>
      </c>
      <c r="D24" s="16" t="inlineStr">
        <is>
          <t>Nếu khách muốn trả trước một phần phí lưu container trong khi cont còn ở bãi, có cho phép ghi nhận không?</t>
        </is>
      </c>
      <c r="E24" s="16" t="inlineStr">
        <is>
          <t>A. Không; B. Có thanh toán trước, đối trừ khi ra; C. Chỉ nếu TBP duyệt.</t>
        </is>
      </c>
      <c r="F24" s="24" t="inlineStr">
        <is>
          <t>A</t>
        </is>
      </c>
      <c r="G24" s="23" t="n"/>
      <c r="H24" s="25" t="inlineStr">
        <is>
          <t>Đã chốt</t>
        </is>
      </c>
      <c r="I24" s="16" t="inlineStr">
        <is>
          <t>Trưởng BP CCKB</t>
        </is>
      </c>
      <c r="J24" s="23" t="n"/>
      <c r="K24" s="26" t="n"/>
      <c r="L24" s="23" t="n"/>
      <c r="M24" s="16" t="inlineStr">
        <is>
          <t>Trao đổi nghiệp vụ Sơn Cảng, 10-11/10/2026</t>
        </is>
      </c>
      <c r="N24" s="27" t="inlineStr">
        <is>
          <t>Đủ rõ để đặc tả</t>
        </is>
      </c>
      <c r="O24" s="28" t="inlineStr">
        <is>
          <t>Có lựa chọn được người dùng đánh dấu đã chốt; giữ nguyên câu trả lời và ghi chú.</t>
        </is>
      </c>
      <c r="P24" s="57" t="n"/>
      <c r="Q24" s="57" t="n"/>
      <c r="R24" s="57" t="n"/>
      <c r="S24" s="57" t="n"/>
      <c r="T24" s="57" t="n"/>
      <c r="U24" s="57" t="n"/>
      <c r="V24" s="57" t="n"/>
      <c r="W24" s="57" t="n"/>
      <c r="X24" s="57" t="n"/>
      <c r="Y24" s="57" t="n"/>
      <c r="Z24" s="57" t="n"/>
    </row>
    <row r="25" ht="60" customHeight="1" s="94">
      <c r="A25" s="17" t="inlineStr">
        <is>
          <t>L09</t>
        </is>
      </c>
      <c r="B25" s="18" t="inlineStr">
        <is>
          <t>02. Lưu container</t>
        </is>
      </c>
      <c r="C25" s="40" t="inlineStr">
        <is>
          <t>P1</t>
        </is>
      </c>
      <c r="D25" s="10" t="inlineStr">
        <is>
          <t>Đơn giá phí lưu khi thay PRICE_LIST trong thời gian một container đang lưu: giữ giá lúc vào hay áp dụng theo từng kỳ ngày?</t>
        </is>
      </c>
      <c r="E25" s="10" t="inlineStr">
        <is>
          <t>A. Chốt tại GIO_CONT_VAO; B. Mỗi kỳ đêm theo bảng giá hiệu lực; C. Điều chỉnh bằng quyết định cụ thể.</t>
        </is>
      </c>
      <c r="F25" s="24" t="inlineStr">
        <is>
          <t>B</t>
        </is>
      </c>
      <c r="G25" s="25" t="inlineStr">
        <is>
          <t xml:space="preserve">Cái này khó nhỉ? A và B đi cho linh hoạt </t>
        </is>
      </c>
      <c r="H25" s="25" t="inlineStr">
        <is>
          <t>Đã chốt</t>
        </is>
      </c>
      <c r="I25" s="10" t="inlineStr">
        <is>
          <t>Trưởng BP CCKB + Quản trị</t>
        </is>
      </c>
      <c r="J25" s="23" t="n"/>
      <c r="K25" s="26" t="n"/>
      <c r="L25" s="23" t="n"/>
      <c r="M25" s="10" t="inlineStr">
        <is>
          <t>Trao đổi nghiệp vụ Sơn Cảng, 10-11/10/2026</t>
        </is>
      </c>
      <c r="N25" s="37" t="inlineStr">
        <is>
          <t>Cần làm rõ</t>
        </is>
      </c>
      <c r="O25" s="38" t="inlineStr">
        <is>
          <t>F=B tính giá theo từng đêm nhưng G muốn cả A và B linh hoạt; cần chính sách mặc định và ngoại lệ theo quyền.</t>
        </is>
      </c>
      <c r="P25" s="57" t="n"/>
      <c r="Q25" s="57" t="n"/>
      <c r="R25" s="57" t="n"/>
      <c r="S25" s="57" t="n"/>
      <c r="T25" s="57" t="n"/>
      <c r="U25" s="57" t="n"/>
      <c r="V25" s="57" t="n"/>
      <c r="W25" s="57" t="n"/>
      <c r="X25" s="57" t="n"/>
      <c r="Y25" s="57" t="n"/>
      <c r="Z25" s="57" t="n"/>
    </row>
    <row r="26" ht="64.5" customHeight="1" s="94">
      <c r="A26" s="29" t="inlineStr">
        <is>
          <t>L10</t>
        </is>
      </c>
      <c r="B26" s="30" t="inlineStr">
        <is>
          <t>02. Lưu container</t>
        </is>
      </c>
      <c r="C26" s="39" t="inlineStr">
        <is>
          <t>P1</t>
        </is>
      </c>
      <c r="D26" s="16" t="inlineStr">
        <is>
          <t>Có cần tính phí lưu cho container chưa xác định HÀNG/RỖNG, hay phải chờ Điều phối xác nhận?</t>
        </is>
      </c>
      <c r="E26" s="16" t="inlineStr">
        <is>
          <t>A. Vẫn tính; B. Chặn thanh toán đến khi rõ trạng thái; C. Khác.</t>
        </is>
      </c>
      <c r="F26" s="24" t="inlineStr">
        <is>
          <t>A</t>
        </is>
      </c>
      <c r="G26" s="25" t="inlineStr">
        <is>
          <t>Vẫn tính, có thể phân quyền lại cho user nào đó đi đếm nhé k nhất thiết điều phôi</t>
        </is>
      </c>
      <c r="H26" s="25" t="inlineStr">
        <is>
          <t>Đã chốt</t>
        </is>
      </c>
      <c r="I26" s="16" t="inlineStr">
        <is>
          <t>Trưởng BP CCKB + Điều phối</t>
        </is>
      </c>
      <c r="J26" s="23" t="n"/>
      <c r="K26" s="26" t="n"/>
      <c r="L26" s="23" t="n"/>
      <c r="M26" s="16" t="inlineStr">
        <is>
          <t>Trao đổi nghiệp vụ Sơn Cảng, 10-11/10/2026</t>
        </is>
      </c>
      <c r="N26" s="27" t="inlineStr">
        <is>
          <t>Đủ rõ để đặc tả</t>
        </is>
      </c>
      <c r="O26" s="28" t="inlineStr">
        <is>
          <t>Có lựa chọn được người dùng đánh dấu đã chốt; giữ nguyên câu trả lời và ghi chú.</t>
        </is>
      </c>
      <c r="P26" s="57" t="n"/>
      <c r="Q26" s="57" t="n"/>
      <c r="R26" s="57" t="n"/>
      <c r="S26" s="57" t="n"/>
      <c r="T26" s="57" t="n"/>
      <c r="U26" s="57" t="n"/>
      <c r="V26" s="57" t="n"/>
      <c r="W26" s="57" t="n"/>
      <c r="X26" s="57" t="n"/>
      <c r="Y26" s="57" t="n"/>
      <c r="Z26" s="57" t="n"/>
    </row>
    <row r="27" ht="60" customHeight="1" s="94">
      <c r="A27" s="17" t="inlineStr">
        <is>
          <t>E01</t>
        </is>
      </c>
      <c r="B27" s="18" t="inlineStr">
        <is>
          <t>03. Cắm/rút điện</t>
        </is>
      </c>
      <c r="C27" s="19" t="inlineStr">
        <is>
          <t>P0</t>
        </is>
      </c>
      <c r="D27" s="10" t="inlineStr">
        <is>
          <t>CCKB được tạo phiên cắm/rút và nhập giờ sau khi An ninh báo qua Zalo mà KHÔNG lập trước lệnh trong PWA chứ?</t>
        </is>
      </c>
      <c r="E27" s="10" t="inlineStr">
        <is>
          <t>A. Có, được nhập hồi tố và ghi giờ báo; B. Luôn phải lập yêu cầu trước; C. Kết hợp cả hai.</t>
        </is>
      </c>
      <c r="F27" s="24" t="inlineStr">
        <is>
          <t>C</t>
        </is>
      </c>
      <c r="G27" s="25" t="inlineStr">
        <is>
          <t>Cả 2 đi cho thoải mái</t>
        </is>
      </c>
      <c r="H27" s="25" t="inlineStr">
        <is>
          <t>Đã chốt</t>
        </is>
      </c>
      <c r="I27" s="10" t="inlineStr">
        <is>
          <t>Trưởng BP CCKB + An ninh</t>
        </is>
      </c>
      <c r="J27" s="23" t="n"/>
      <c r="K27" s="26" t="n"/>
      <c r="L27" s="23" t="n"/>
      <c r="M27" s="10" t="inlineStr">
        <is>
          <t>Trao đổi nghiệp vụ Sơn Cảng, 10-11/10/2026</t>
        </is>
      </c>
      <c r="N27" s="27" t="inlineStr">
        <is>
          <t>Đủ rõ để đặc tả</t>
        </is>
      </c>
      <c r="O27" s="28" t="inlineStr">
        <is>
          <t>Có lựa chọn được người dùng đánh dấu đã chốt; giữ nguyên câu trả lời và ghi chú.</t>
        </is>
      </c>
      <c r="P27" s="57" t="n"/>
      <c r="Q27" s="57" t="n"/>
      <c r="R27" s="57" t="n"/>
      <c r="S27" s="57" t="n"/>
      <c r="T27" s="57" t="n"/>
      <c r="U27" s="57" t="n"/>
      <c r="V27" s="57" t="n"/>
      <c r="W27" s="57" t="n"/>
      <c r="X27" s="57" t="n"/>
      <c r="Y27" s="57" t="n"/>
      <c r="Z27" s="57" t="n"/>
    </row>
    <row r="28" ht="60" customHeight="1" s="94">
      <c r="A28" s="29" t="inlineStr">
        <is>
          <t>E02</t>
        </is>
      </c>
      <c r="B28" s="30" t="inlineStr">
        <is>
          <t>03. Cắm/rút điện</t>
        </is>
      </c>
      <c r="C28" s="31" t="inlineStr">
        <is>
          <t>P0</t>
        </is>
      </c>
      <c r="D28" s="16" t="inlineStr">
        <is>
          <t>Trường hợp khách yêu cầu cắm/rút trực tiếp với An ninh mà chưa báo CCKB: xử lý nhập và xác minh ra sao?</t>
        </is>
      </c>
      <c r="E28" s="16" t="inlineStr">
        <is>
          <t>A. An ninh báo CCKB, nhập sau; B. Không làm khi chưa có CCKB; C. Ngoại lệ theo ca.</t>
        </is>
      </c>
      <c r="F28" s="24" t="inlineStr">
        <is>
          <t>Khác</t>
        </is>
      </c>
      <c r="G28" s="25" t="inlineStr">
        <is>
          <t>A và B</t>
        </is>
      </c>
      <c r="H28" s="25" t="inlineStr">
        <is>
          <t>Đã chốt</t>
        </is>
      </c>
      <c r="I28" s="16" t="inlineStr">
        <is>
          <t>Trưởng BP CCKB + An ninh</t>
        </is>
      </c>
      <c r="J28" s="23" t="n"/>
      <c r="K28" s="26" t="n"/>
      <c r="L28" s="23" t="n"/>
      <c r="M28" s="16" t="inlineStr">
        <is>
          <t>Trao đổi nghiệp vụ Sơn Cảng, 10-11/10/2026</t>
        </is>
      </c>
      <c r="N28" s="37" t="inlineStr">
        <is>
          <t>Cần làm rõ</t>
        </is>
      </c>
      <c r="O28" s="38" t="inlineStr">
        <is>
          <t>G=A và B: yêu cầu khách đi thẳng tới An ninh, vừa cho làm trước vừa muốn chờ CCKB; cần luồng ngoại lệ rõ.</t>
        </is>
      </c>
      <c r="P28" s="57" t="n"/>
      <c r="Q28" s="57" t="n"/>
      <c r="R28" s="57" t="n"/>
      <c r="S28" s="57" t="n"/>
      <c r="T28" s="57" t="n"/>
      <c r="U28" s="57" t="n"/>
      <c r="V28" s="57" t="n"/>
      <c r="W28" s="57" t="n"/>
      <c r="X28" s="57" t="n"/>
      <c r="Y28" s="57" t="n"/>
      <c r="Z28" s="57" t="n"/>
    </row>
    <row r="29" ht="60" customHeight="1" s="94">
      <c r="A29" s="17" t="inlineStr">
        <is>
          <t>E03</t>
        </is>
      </c>
      <c r="B29" s="18" t="inlineStr">
        <is>
          <t>03. Cắm/rút điện</t>
        </is>
      </c>
      <c r="C29" s="40" t="inlineStr">
        <is>
          <t>P1</t>
        </is>
      </c>
      <c r="D29" s="10" t="inlineStr">
        <is>
          <t>Hình thức Theo giờ và Cắm liên tục có khác nhau ở cách vận hành/thanh toán hay hiện chỉ khác danh mục yêu cầu?</t>
        </is>
      </c>
      <c r="E29" s="10" t="inlineStr">
        <is>
          <t>A. Chỉ khác tên; B. Có quy tắc riêng, ghi cụ thể; C. Sẽ phân biệt ở giai đoạn sau.</t>
        </is>
      </c>
      <c r="F29" s="24" t="inlineStr">
        <is>
          <t>A</t>
        </is>
      </c>
      <c r="G29" s="25" t="inlineStr">
        <is>
          <t>CHỉ khác là 1 cái biết giờ rút 1 cái chưa</t>
        </is>
      </c>
      <c r="H29" s="25" t="inlineStr">
        <is>
          <t>Đã chốt</t>
        </is>
      </c>
      <c r="I29" s="10" t="inlineStr">
        <is>
          <t>Trưởng BP CCKB</t>
        </is>
      </c>
      <c r="J29" s="23" t="n"/>
      <c r="K29" s="26" t="n"/>
      <c r="L29" s="23" t="n"/>
      <c r="M29" s="10" t="inlineStr">
        <is>
          <t>Trao đổi nghiệp vụ Sơn Cảng, 10-11/10/2026</t>
        </is>
      </c>
      <c r="N29" s="37" t="inlineStr">
        <is>
          <t>Cần làm rõ</t>
        </is>
      </c>
      <c r="O29" s="38" t="inlineStr">
        <is>
          <t>G xác định theo giờ biết giờ rút dự kiến, liên tục chưa biết; trước đó form không yêu cầu giờ rút dự kiến. Cần là trường tùy chọn.</t>
        </is>
      </c>
      <c r="P29" s="57" t="n"/>
      <c r="Q29" s="57" t="n"/>
      <c r="R29" s="57" t="n"/>
      <c r="S29" s="57" t="n"/>
      <c r="T29" s="57" t="n"/>
      <c r="U29" s="57" t="n"/>
      <c r="V29" s="57" t="n"/>
      <c r="W29" s="57" t="n"/>
      <c r="X29" s="57" t="n"/>
      <c r="Y29" s="57" t="n"/>
      <c r="Z29" s="57" t="n"/>
    </row>
    <row r="30" ht="60" customHeight="1" s="94">
      <c r="A30" s="29" t="inlineStr">
        <is>
          <t>E04</t>
        </is>
      </c>
      <c r="B30" s="30" t="inlineStr">
        <is>
          <t>03. Cắm/rút điện</t>
        </is>
      </c>
      <c r="C30" s="31" t="inlineStr">
        <is>
          <t>P0</t>
        </is>
      </c>
      <c r="D30" s="16" t="inlineStr">
        <is>
          <t>CCKB nhập GIO_CAM_THUC_TE khi container đã rút rồi: cho phép nhập cả giờ cắm và rút trong một biểu mẫu không?</t>
        </is>
      </c>
      <c r="E30" s="16" t="inlineStr">
        <is>
          <t>A. Có; B. Tách thành hai bước bắt buộc; C. Chỉ TBP nhập hồi tố.</t>
        </is>
      </c>
      <c r="F30" s="24" t="inlineStr">
        <is>
          <t>A</t>
        </is>
      </c>
      <c r="G30" s="25" t="inlineStr">
        <is>
          <t>có cho thoải mái giờ chưa kiểm soát chặt lắm</t>
        </is>
      </c>
      <c r="H30" s="25" t="inlineStr">
        <is>
          <t>Đã chốt</t>
        </is>
      </c>
      <c r="I30" s="16" t="inlineStr">
        <is>
          <t>Trưởng BP CCKB</t>
        </is>
      </c>
      <c r="J30" s="23" t="n"/>
      <c r="K30" s="26" t="n"/>
      <c r="L30" s="23" t="n"/>
      <c r="M30" s="16" t="inlineStr">
        <is>
          <t>Trao đổi nghiệp vụ Sơn Cảng, 10-11/10/2026</t>
        </is>
      </c>
      <c r="N30" s="27" t="inlineStr">
        <is>
          <t>Đủ rõ để đặc tả</t>
        </is>
      </c>
      <c r="O30" s="28" t="inlineStr">
        <is>
          <t>Có lựa chọn được người dùng đánh dấu đã chốt; giữ nguyên câu trả lời và ghi chú.</t>
        </is>
      </c>
      <c r="P30" s="57" t="n"/>
      <c r="Q30" s="57" t="n"/>
      <c r="R30" s="57" t="n"/>
      <c r="S30" s="57" t="n"/>
      <c r="T30" s="57" t="n"/>
      <c r="U30" s="57" t="n"/>
      <c r="V30" s="57" t="n"/>
      <c r="W30" s="57" t="n"/>
      <c r="X30" s="57" t="n"/>
      <c r="Y30" s="57" t="n"/>
      <c r="Z30" s="57" t="n"/>
    </row>
    <row r="31" ht="64.5" customHeight="1" s="94">
      <c r="A31" s="17" t="inlineStr">
        <is>
          <t>E05</t>
        </is>
      </c>
      <c r="B31" s="18" t="inlineStr">
        <is>
          <t>03. Cắm/rút điện</t>
        </is>
      </c>
      <c r="C31" s="19" t="inlineStr">
        <is>
          <t>P0</t>
        </is>
      </c>
      <c r="D31" s="10" t="inlineStr">
        <is>
          <t>Khi An ninh báo giờ cắm/rút không chính xác, CCKB xác minh bằng cách nào trước khi sửa?</t>
        </is>
      </c>
      <c r="E31" s="10" t="inlineStr">
        <is>
          <t>A. CCKB chỉnh có ghi chú; B. Cần ảnh tin nhắn Zalo; C. Phải có TBP xác nhận khi chênh lệch lớn.</t>
        </is>
      </c>
      <c r="F31" s="24" t="inlineStr">
        <is>
          <t>Khác</t>
        </is>
      </c>
      <c r="G31" s="25" t="inlineStr">
        <is>
          <t>Hienj tại khi cắm rút thì an ninh sẽ quay bằng camera time stamp, rồi gửi nhóm</t>
        </is>
      </c>
      <c r="H31" s="25" t="inlineStr">
        <is>
          <t>Đã chốt</t>
        </is>
      </c>
      <c r="I31" s="10" t="inlineStr">
        <is>
          <t>Trưởng BP CCKB</t>
        </is>
      </c>
      <c r="J31" s="23" t="n"/>
      <c r="K31" s="26" t="n"/>
      <c r="L31" s="23" t="n"/>
      <c r="M31" s="10" t="inlineStr">
        <is>
          <t>Trao đổi nghiệp vụ Sơn Cảng, 10-11/10/2026</t>
        </is>
      </c>
      <c r="N31" s="27" t="inlineStr">
        <is>
          <t>Đủ rõ để đặc tả</t>
        </is>
      </c>
      <c r="O31" s="28" t="inlineStr">
        <is>
          <t>Có lựa chọn được người dùng đánh dấu đã chốt; giữ nguyên câu trả lời và ghi chú.</t>
        </is>
      </c>
      <c r="P31" s="57" t="n"/>
      <c r="Q31" s="57" t="n"/>
      <c r="R31" s="57" t="n"/>
      <c r="S31" s="57" t="n"/>
      <c r="T31" s="57" t="n"/>
      <c r="U31" s="57" t="n"/>
      <c r="V31" s="57" t="n"/>
      <c r="W31" s="57" t="n"/>
      <c r="X31" s="57" t="n"/>
      <c r="Y31" s="57" t="n"/>
      <c r="Z31" s="57" t="n"/>
    </row>
    <row r="32" ht="64.5" customHeight="1" s="94">
      <c r="A32" s="29" t="inlineStr">
        <is>
          <t>E06</t>
        </is>
      </c>
      <c r="B32" s="30" t="inlineStr">
        <is>
          <t>03. Cắm/rút điện</t>
        </is>
      </c>
      <c r="C32" s="31" t="inlineStr">
        <is>
          <t>P0</t>
        </is>
      </c>
      <c r="D32" s="16" t="inlineStr">
        <is>
          <t>Sau khi đã thu tiền điện, CCKB được sửa giờ tới mức nào và quy trình phê duyệt chênh lệch?</t>
        </is>
      </c>
      <c r="E32" s="16" t="inlineStr">
        <is>
          <t>A. NV tạo đề nghị/TBP CCKB duyệt; B. TBP sửa trực tiếp có nhật ký; C. NV được sửa và ghi lý do (không duyệt).</t>
        </is>
      </c>
      <c r="F32" s="24" t="inlineStr">
        <is>
          <t>B</t>
        </is>
      </c>
      <c r="G32" s="25" t="inlineStr">
        <is>
          <t>A Và B</t>
        </is>
      </c>
      <c r="H32" s="25" t="inlineStr">
        <is>
          <t>Đã chốt</t>
        </is>
      </c>
      <c r="I32" s="16" t="inlineStr">
        <is>
          <t>Trưởng BP CCKB</t>
        </is>
      </c>
      <c r="J32" s="23" t="n"/>
      <c r="K32" s="26" t="n"/>
      <c r="L32" s="23" t="n"/>
      <c r="M32" s="16" t="inlineStr">
        <is>
          <t>Đồng thuận sơ bộ: cần phê duyệt điều chỉnh sau thu</t>
        </is>
      </c>
      <c r="N32" s="32" t="inlineStr">
        <is>
          <t>Cần làm rõ</t>
        </is>
      </c>
      <c r="O32" s="33" t="inlineStr">
        <is>
          <t>F=B nhưng G=A và B: vừa NV đề nghị/TBP duyệt vừa TBP sửa trực tiếp; cần điều kiện khi nào mỗi cách.</t>
        </is>
      </c>
      <c r="P32" s="57" t="n"/>
      <c r="Q32" s="57" t="n"/>
      <c r="R32" s="57" t="n"/>
      <c r="S32" s="57" t="n"/>
      <c r="T32" s="57" t="n"/>
      <c r="U32" s="57" t="n"/>
      <c r="V32" s="57" t="n"/>
      <c r="W32" s="57" t="n"/>
      <c r="X32" s="57" t="n"/>
      <c r="Y32" s="57" t="n"/>
      <c r="Z32" s="57" t="n"/>
    </row>
    <row r="33" ht="64.5" customHeight="1" s="94">
      <c r="A33" s="17" t="inlineStr">
        <is>
          <t>E07</t>
        </is>
      </c>
      <c r="B33" s="18" t="inlineStr">
        <is>
          <t>03. Cắm/rút điện</t>
        </is>
      </c>
      <c r="C33" s="19" t="inlineStr">
        <is>
          <t>P0</t>
        </is>
      </c>
      <c r="D33" s="10" t="inlineStr">
        <is>
          <t>Phiên điện còn trạng thái Đang cắm trên PWA nhưng thực tế đã rút, container có được xuất không?</t>
        </is>
      </c>
      <c r="E33" s="10" t="inlineStr">
        <is>
          <t>A. CCKB bắt buộc hoàn thành ghi nhận trước khi ra; B. TBP duyệt xuất ngoại lệ; C. Khác.</t>
        </is>
      </c>
      <c r="F33" s="24" t="inlineStr">
        <is>
          <t>A</t>
        </is>
      </c>
      <c r="G33" s="25" t="inlineStr">
        <is>
          <t xml:space="preserve">Làm cách nào thoai r mái hon, CCKB cứ xác định xe đã được ra thì ra, nếu xe ra đến cổng mà chưa thấy được ra thì gọi hoặc nhắn nhóm có CCKB </t>
        </is>
      </c>
      <c r="H33" s="25" t="inlineStr">
        <is>
          <t>Đã chốt</t>
        </is>
      </c>
      <c r="I33" s="10" t="inlineStr">
        <is>
          <t>Trưởng BP CCKB + An ninh</t>
        </is>
      </c>
      <c r="J33" s="23" t="n"/>
      <c r="K33" s="26" t="n"/>
      <c r="L33" s="23" t="n"/>
      <c r="M33" s="10" t="inlineStr">
        <is>
          <t>Trao đổi nghiệp vụ Sơn Cảng, 10-11/10/2026</t>
        </is>
      </c>
      <c r="N33" s="32" t="inlineStr">
        <is>
          <t>Cần làm rõ</t>
        </is>
      </c>
      <c r="O33" s="33" t="inlineStr">
        <is>
          <t>F=A buộc cập nhật xong trước ra, nhưng G ưu tiên CCKB xác nhận bằng tay và Zalo khi cần; cần cơ chế override có audit.</t>
        </is>
      </c>
      <c r="P33" s="57" t="n"/>
      <c r="Q33" s="57" t="n"/>
      <c r="R33" s="57" t="n"/>
      <c r="S33" s="57" t="n"/>
      <c r="T33" s="57" t="n"/>
      <c r="U33" s="57" t="n"/>
      <c r="V33" s="57" t="n"/>
      <c r="W33" s="57" t="n"/>
      <c r="X33" s="57" t="n"/>
      <c r="Y33" s="57" t="n"/>
      <c r="Z33" s="57" t="n"/>
    </row>
    <row r="34" ht="60" customHeight="1" s="94">
      <c r="A34" s="29" t="inlineStr">
        <is>
          <t>E08</t>
        </is>
      </c>
      <c r="B34" s="30" t="inlineStr">
        <is>
          <t>03. Cắm/rút điện</t>
        </is>
      </c>
      <c r="C34" s="39" t="inlineStr">
        <is>
          <t>P1</t>
        </is>
      </c>
      <c r="D34" s="16" t="inlineStr">
        <is>
          <t>Khi không có mạng/không thể cập nhật giờ rút, cần quy trình bàn giao ngoài hệ thống và bổ sung dữ liệu như thế nào?</t>
        </is>
      </c>
      <c r="E34" s="16" t="inlineStr">
        <is>
          <t>A. Nhật ký giấy/Zalo rồi nhập lại có giờ nguồn; B. Không cho xuất cho đến khi hệ thống hoạt động; C. Ngoại lệ TBP.</t>
        </is>
      </c>
      <c r="F34" s="24" t="inlineStr">
        <is>
          <t>A</t>
        </is>
      </c>
      <c r="G34" s="25" t="inlineStr">
        <is>
          <t>chỗ này chưa hiểu</t>
        </is>
      </c>
      <c r="H34" s="25" t="inlineStr">
        <is>
          <t>Đã chốt</t>
        </is>
      </c>
      <c r="I34" s="16" t="inlineStr">
        <is>
          <t>Trưởng BP CCKB + Quản trị</t>
        </is>
      </c>
      <c r="J34" s="23" t="n"/>
      <c r="K34" s="26" t="n"/>
      <c r="L34" s="23" t="n"/>
      <c r="M34" s="16" t="inlineStr">
        <is>
          <t>Trao đổi nghiệp vụ Sơn Cảng, 10-11/10/2026</t>
        </is>
      </c>
      <c r="N34" s="32" t="inlineStr">
        <is>
          <t>Cần làm rõ</t>
        </is>
      </c>
      <c r="O34" s="33" t="inlineStr">
        <is>
          <t>G ghi “chỗ này chưa hiểu”; không thể coi là quyết định đã chốt dù F=A. Cần giải thích quy trình offline và nhập bù.</t>
        </is>
      </c>
      <c r="P34" s="57" t="n"/>
      <c r="Q34" s="57" t="n"/>
      <c r="R34" s="57" t="n"/>
      <c r="S34" s="57" t="n"/>
      <c r="T34" s="57" t="n"/>
      <c r="U34" s="57" t="n"/>
      <c r="V34" s="57" t="n"/>
      <c r="W34" s="57" t="n"/>
      <c r="X34" s="57" t="n"/>
      <c r="Y34" s="57" t="n"/>
      <c r="Z34" s="57" t="n"/>
    </row>
    <row r="35" ht="60" customHeight="1" s="94">
      <c r="A35" s="17" t="inlineStr">
        <is>
          <t>E09</t>
        </is>
      </c>
      <c r="B35" s="18" t="inlineStr">
        <is>
          <t>03. Cắm/rút điện</t>
        </is>
      </c>
      <c r="C35" s="40" t="inlineStr">
        <is>
          <t>P1</t>
        </is>
      </c>
      <c r="D35" s="10" t="inlineStr">
        <is>
          <t>Tổng thời gian thực tế tính bằng giây hay phút? Ví dụ 4 giờ 00 phút 01 giây có làm tròn thành 4 giờ 15 phút không?</t>
        </is>
      </c>
      <c r="E35" s="10" t="inlineStr">
        <is>
          <t>A. Bỏ giây/lấy phút; B. Giữ giây rồi làm tròn block 15 phút; C. Khác.</t>
        </is>
      </c>
      <c r="F35" s="24" t="inlineStr">
        <is>
          <t>Khác</t>
        </is>
      </c>
      <c r="G35" s="25" t="inlineStr">
        <is>
          <t>Hieện tại CCKB tự làm tròn</t>
        </is>
      </c>
      <c r="H35" s="25" t="inlineStr">
        <is>
          <t>Đã chốt</t>
        </is>
      </c>
      <c r="I35" s="10" t="inlineStr">
        <is>
          <t>Trưởng BP CCKB</t>
        </is>
      </c>
      <c r="J35" s="23" t="n"/>
      <c r="K35" s="26" t="n"/>
      <c r="L35" s="23" t="n"/>
      <c r="M35" s="10" t="inlineStr">
        <is>
          <t>Trao đổi nghiệp vụ Sơn Cảng, 10-11/10/2026</t>
        </is>
      </c>
      <c r="N35" s="32" t="inlineStr">
        <is>
          <t>Cần làm rõ</t>
        </is>
      </c>
      <c r="O35" s="33" t="inlineStr">
        <is>
          <t>G: CCKB tự làm tròn, trong khi đã chốt tính tròn lên mỗi 15 phút. Cần xác nhận tự tính mặc định + cho điều chỉnh thủ công.</t>
        </is>
      </c>
      <c r="P35" s="57" t="n"/>
      <c r="Q35" s="57" t="n"/>
      <c r="R35" s="57" t="n"/>
      <c r="S35" s="57" t="n"/>
      <c r="T35" s="57" t="n"/>
      <c r="U35" s="57" t="n"/>
      <c r="V35" s="57" t="n"/>
      <c r="W35" s="57" t="n"/>
      <c r="X35" s="57" t="n"/>
      <c r="Y35" s="57" t="n"/>
      <c r="Z35" s="57" t="n"/>
    </row>
    <row r="36" ht="60" customHeight="1" s="94">
      <c r="A36" s="29" t="inlineStr">
        <is>
          <t>E10</t>
        </is>
      </c>
      <c r="B36" s="30" t="inlineStr">
        <is>
          <t>03. Cắm/rút điện</t>
        </is>
      </c>
      <c r="C36" s="39" t="inlineStr">
        <is>
          <t>P1</t>
        </is>
      </c>
      <c r="D36" s="16" t="inlineStr">
        <is>
          <t>Phiên cắm ngắn dưới 15 phút hoặc vô tình cắm 0 phút: tính tối thiểu 15 phút khi có cắm thực tế không?</t>
        </is>
      </c>
      <c r="E36" s="16" t="inlineStr">
        <is>
          <t>A. &gt;0 phút tính 15 phút; B. Có mức tối thiểu khác; C. Không thu dưới ngưỡng.</t>
        </is>
      </c>
      <c r="F36" s="24" t="inlineStr">
        <is>
          <t>Khác</t>
        </is>
      </c>
      <c r="G36" s="25" t="inlineStr">
        <is>
          <t>Hieện tại CCKB tự làm tròn</t>
        </is>
      </c>
      <c r="H36" s="25" t="inlineStr">
        <is>
          <t>Đã chốt</t>
        </is>
      </c>
      <c r="I36" s="16" t="inlineStr">
        <is>
          <t>Trưởng BP CCKB</t>
        </is>
      </c>
      <c r="J36" s="23" t="n"/>
      <c r="K36" s="26" t="n"/>
      <c r="L36" s="23" t="n"/>
      <c r="M36" s="16" t="inlineStr">
        <is>
          <t>Trao đổi nghiệp vụ Sơn Cảng, 10-11/10/2026</t>
        </is>
      </c>
      <c r="N36" s="37" t="inlineStr">
        <is>
          <t>Cần làm rõ</t>
        </is>
      </c>
      <c r="O36" s="38" t="inlineStr">
        <is>
          <t>G: CCKB tự làm tròn; chưa khóa khoản phí tối thiểu cho phiên ngắn dưới 15 phút và 0 phút.</t>
        </is>
      </c>
      <c r="P36" s="57" t="n"/>
      <c r="Q36" s="57" t="n"/>
      <c r="R36" s="57" t="n"/>
      <c r="S36" s="57" t="n"/>
      <c r="T36" s="57" t="n"/>
      <c r="U36" s="57" t="n"/>
      <c r="V36" s="57" t="n"/>
      <c r="W36" s="57" t="n"/>
      <c r="X36" s="57" t="n"/>
      <c r="Y36" s="57" t="n"/>
      <c r="Z36" s="57" t="n"/>
    </row>
    <row r="37" ht="60" customHeight="1" s="94">
      <c r="A37" s="17" t="inlineStr">
        <is>
          <t>E11</t>
        </is>
      </c>
      <c r="B37" s="18" t="inlineStr">
        <is>
          <t>03. Cắm/rút điện</t>
        </is>
      </c>
      <c r="C37" s="40" t="inlineStr">
        <is>
          <t>P1</t>
        </is>
      </c>
      <c r="D37" s="10" t="inlineStr">
        <is>
          <t>Một container cắm/rút nhiều phiên trong cùng một lần vào bãi: làm tròn 15 phút riêng mỗi phiên hay gộp trước khi làm tròn?</t>
        </is>
      </c>
      <c r="E37" s="10" t="inlineStr">
        <is>
          <t>A. Riêng từng phiên; B. Gộp thời gian nhiều phiên; C. Theo hình thức dịch vụ.</t>
        </is>
      </c>
      <c r="F37" s="24" t="inlineStr">
        <is>
          <t>A</t>
        </is>
      </c>
      <c r="G37" s="23" t="n"/>
      <c r="H37" s="25" t="inlineStr">
        <is>
          <t>Đã chốt</t>
        </is>
      </c>
      <c r="I37" s="10" t="inlineStr">
        <is>
          <t>Trưởng BP CCKB</t>
        </is>
      </c>
      <c r="J37" s="23" t="n"/>
      <c r="K37" s="26" t="n"/>
      <c r="L37" s="23" t="n"/>
      <c r="M37" s="10" t="inlineStr">
        <is>
          <t>Trao đổi nghiệp vụ Sơn Cảng, 10-11/10/2026</t>
        </is>
      </c>
      <c r="N37" s="27" t="inlineStr">
        <is>
          <t>Đủ rõ để đặc tả</t>
        </is>
      </c>
      <c r="O37" s="28" t="inlineStr">
        <is>
          <t>Có lựa chọn được người dùng đánh dấu đã chốt; giữ nguyên câu trả lời và ghi chú.</t>
        </is>
      </c>
      <c r="P37" s="57" t="n"/>
      <c r="Q37" s="57" t="n"/>
      <c r="R37" s="57" t="n"/>
      <c r="S37" s="57" t="n"/>
      <c r="T37" s="57" t="n"/>
      <c r="U37" s="57" t="n"/>
      <c r="V37" s="57" t="n"/>
      <c r="W37" s="57" t="n"/>
      <c r="X37" s="57" t="n"/>
      <c r="Y37" s="57" t="n"/>
      <c r="Z37" s="57" t="n"/>
    </row>
    <row r="38" ht="60" customHeight="1" s="94">
      <c r="A38" s="29" t="inlineStr">
        <is>
          <t>E12</t>
        </is>
      </c>
      <c r="B38" s="30" t="inlineStr">
        <is>
          <t>03. Cắm/rút điện</t>
        </is>
      </c>
      <c r="C38" s="39" t="inlineStr">
        <is>
          <t>P1</t>
        </is>
      </c>
      <c r="D38" s="16" t="inlineStr">
        <is>
          <t>Có cho một container ghi nhận hai phiên cắm điện đồng thời hay bắt buộc mỗi thời điểm chỉ có một phiên?</t>
        </is>
      </c>
      <c r="E38" s="16" t="inlineStr">
        <is>
          <t>A. Chỉ một phiên hoạt động; B. Có nhiều ổ cắm/điểm cấp điện song song; C. Ngoại lệ.</t>
        </is>
      </c>
      <c r="F38" s="24" t="inlineStr">
        <is>
          <t>A</t>
        </is>
      </c>
      <c r="G38" s="23" t="n"/>
      <c r="H38" s="25" t="inlineStr">
        <is>
          <t>Đã chốt</t>
        </is>
      </c>
      <c r="I38" s="16" t="inlineStr">
        <is>
          <t>Trưởng BP CCKB</t>
        </is>
      </c>
      <c r="J38" s="23" t="n"/>
      <c r="K38" s="26" t="n"/>
      <c r="L38" s="23" t="n"/>
      <c r="M38" s="16" t="inlineStr">
        <is>
          <t>Trao đổi nghiệp vụ Sơn Cảng, 10-11/10/2026</t>
        </is>
      </c>
      <c r="N38" s="27" t="inlineStr">
        <is>
          <t>Đủ rõ để đặc tả</t>
        </is>
      </c>
      <c r="O38" s="28" t="inlineStr">
        <is>
          <t>Có lựa chọn được người dùng đánh dấu đã chốt; giữ nguyên câu trả lời và ghi chú.</t>
        </is>
      </c>
      <c r="P38" s="57" t="n"/>
      <c r="Q38" s="57" t="n"/>
      <c r="R38" s="57" t="n"/>
      <c r="S38" s="57" t="n"/>
      <c r="T38" s="57" t="n"/>
      <c r="U38" s="57" t="n"/>
      <c r="V38" s="57" t="n"/>
      <c r="W38" s="57" t="n"/>
      <c r="X38" s="57" t="n"/>
      <c r="Y38" s="57" t="n"/>
      <c r="Z38" s="57" t="n"/>
    </row>
    <row r="39" ht="64.5" customHeight="1" s="94">
      <c r="A39" s="17" t="inlineStr">
        <is>
          <t>E13</t>
        </is>
      </c>
      <c r="B39" s="18" t="inlineStr">
        <is>
          <t>03. Cắm/rút điện</t>
        </is>
      </c>
      <c r="C39" s="40" t="inlineStr">
        <is>
          <t>P1</t>
        </is>
      </c>
      <c r="D39" s="10" t="inlineStr">
        <is>
          <t>Khi cập nhật giá điện trong lúc phiên cắm đang chạy: giữ giá lúc bắt đầu hay áp giá mới khi rút?</t>
        </is>
      </c>
      <c r="E39" s="10" t="inlineStr">
        <is>
          <t>A. Giữ giá lúc cắm; B. Theo giá lúc rút; C. Chia theo thời điểm đổi giá.</t>
        </is>
      </c>
      <c r="F39" s="24" t="inlineStr">
        <is>
          <t>B</t>
        </is>
      </c>
      <c r="G39" s="25" t="inlineStr">
        <is>
          <t>tùy A và B</t>
        </is>
      </c>
      <c r="H39" s="25" t="inlineStr">
        <is>
          <t>Đã chốt</t>
        </is>
      </c>
      <c r="I39" s="10" t="inlineStr">
        <is>
          <t>Trưởng BP CCKB + Quản trị</t>
        </is>
      </c>
      <c r="J39" s="23" t="n"/>
      <c r="K39" s="26" t="n"/>
      <c r="L39" s="23" t="n"/>
      <c r="M39" s="10" t="inlineStr">
        <is>
          <t>Trao đổi nghiệp vụ Sơn Cảng, 10-11/10/2026</t>
        </is>
      </c>
      <c r="N39" s="37" t="inlineStr">
        <is>
          <t>Cần làm rõ</t>
        </is>
      </c>
      <c r="O39" s="38" t="inlineStr">
        <is>
          <t>F=B tính giá mới khi rút, nhưng G “tùy A và B”; cần chính sách mặc định theo phiên và lựa chọn điều chỉnh giá.</t>
        </is>
      </c>
      <c r="P39" s="57" t="n"/>
      <c r="Q39" s="57" t="n"/>
      <c r="R39" s="57" t="n"/>
      <c r="S39" s="57" t="n"/>
      <c r="T39" s="57" t="n"/>
      <c r="U39" s="57" t="n"/>
      <c r="V39" s="57" t="n"/>
      <c r="W39" s="57" t="n"/>
      <c r="X39" s="57" t="n"/>
      <c r="Y39" s="57" t="n"/>
      <c r="Z39" s="57" t="n"/>
    </row>
    <row r="40" ht="64.5" customHeight="1" s="94">
      <c r="A40" s="29" t="inlineStr">
        <is>
          <t>E14</t>
        </is>
      </c>
      <c r="B40" s="30" t="inlineStr">
        <is>
          <t>03. Cắm/rút điện</t>
        </is>
      </c>
      <c r="C40" s="39" t="inlineStr">
        <is>
          <t>P1</t>
        </is>
      </c>
      <c r="D40" s="16" t="inlineStr">
        <is>
          <t>Có yêu cầu lưu vị trí/ổ cắm/số công tơ/ảnh khi cắm, hay chỉ theo container và giờ thực tế?</t>
        </is>
      </c>
      <c r="E40" s="16" t="inlineStr">
        <is>
          <t>A. Chỉ cont và giờ; B. Thêm vị trí ổ cắm; C. Thêm ảnh/công tơ; ghi rõ.</t>
        </is>
      </c>
      <c r="F40" s="24" t="inlineStr">
        <is>
          <t>A</t>
        </is>
      </c>
      <c r="G40" s="25" t="inlineStr">
        <is>
          <t>có thể cho an ninh điền cái này cx được để họ nhớ, sau này làm sơ đồ cũng dễ</t>
        </is>
      </c>
      <c r="H40" s="25" t="inlineStr">
        <is>
          <t>Đã chốt</t>
        </is>
      </c>
      <c r="I40" s="16" t="inlineStr">
        <is>
          <t>Trưởng BP CCKB + An ninh</t>
        </is>
      </c>
      <c r="J40" s="23" t="n"/>
      <c r="K40" s="26" t="n"/>
      <c r="L40" s="23" t="n"/>
      <c r="M40" s="16" t="inlineStr">
        <is>
          <t>Trao đổi nghiệp vụ Sơn Cảng, 10-11/10/2026</t>
        </is>
      </c>
      <c r="N40" s="27" t="inlineStr">
        <is>
          <t>Đủ rõ để đặc tả</t>
        </is>
      </c>
      <c r="O40" s="28" t="inlineStr">
        <is>
          <t>Có lựa chọn được người dùng đánh dấu đã chốt; giữ nguyên câu trả lời và ghi chú.</t>
        </is>
      </c>
      <c r="P40" s="57" t="n"/>
      <c r="Q40" s="57" t="n"/>
      <c r="R40" s="57" t="n"/>
      <c r="S40" s="57" t="n"/>
      <c r="T40" s="57" t="n"/>
      <c r="U40" s="57" t="n"/>
      <c r="V40" s="57" t="n"/>
      <c r="W40" s="57" t="n"/>
      <c r="X40" s="57" t="n"/>
      <c r="Y40" s="57" t="n"/>
      <c r="Z40" s="57" t="n"/>
    </row>
    <row r="41" ht="54.75" customHeight="1" s="94">
      <c r="A41" s="17" t="inlineStr">
        <is>
          <t>E15</t>
        </is>
      </c>
      <c r="B41" s="18" t="inlineStr">
        <is>
          <t>03. Cắm/rút điện</t>
        </is>
      </c>
      <c r="C41" s="40" t="inlineStr">
        <is>
          <t>P1</t>
        </is>
      </c>
      <c r="D41" s="10" t="inlineStr">
        <is>
          <t>Ai là người được phép sửa danh mục đơn giá cắm điện và có cần TBP/BLĐ phê duyệt mức giá mới?</t>
        </is>
      </c>
      <c r="E41" s="10" t="inlineStr">
        <is>
          <t>A. Quản trị; B. Trưởng BP CCKB; C. CCKB đề xuất, Quản trị duyệt; khác.</t>
        </is>
      </c>
      <c r="F41" s="24" t="inlineStr">
        <is>
          <t>A</t>
        </is>
      </c>
      <c r="G41" s="23" t="n"/>
      <c r="H41" s="25" t="inlineStr">
        <is>
          <t>Đã chốt</t>
        </is>
      </c>
      <c r="I41" s="10" t="inlineStr">
        <is>
          <t>Trưởng BP CCKB + Quản trị</t>
        </is>
      </c>
      <c r="J41" s="23" t="n"/>
      <c r="K41" s="26" t="n"/>
      <c r="L41" s="23" t="n"/>
      <c r="M41" s="10" t="inlineStr">
        <is>
          <t>Trao đổi nghiệp vụ Sơn Cảng, 10-11/10/2026</t>
        </is>
      </c>
      <c r="N41" s="27" t="inlineStr">
        <is>
          <t>Đủ rõ để đặc tả</t>
        </is>
      </c>
      <c r="O41" s="28" t="inlineStr">
        <is>
          <t>Có lựa chọn được người dùng đánh dấu đã chốt; giữ nguyên câu trả lời và ghi chú.</t>
        </is>
      </c>
      <c r="P41" s="57" t="n"/>
      <c r="Q41" s="57" t="n"/>
      <c r="R41" s="57" t="n"/>
      <c r="S41" s="57" t="n"/>
      <c r="T41" s="57" t="n"/>
      <c r="U41" s="57" t="n"/>
      <c r="V41" s="57" t="n"/>
      <c r="W41" s="57" t="n"/>
      <c r="X41" s="57" t="n"/>
      <c r="Y41" s="57" t="n"/>
      <c r="Z41" s="57" t="n"/>
    </row>
    <row r="42" ht="54.75" customHeight="1" s="94">
      <c r="A42" s="29" t="inlineStr">
        <is>
          <t>E16</t>
        </is>
      </c>
      <c r="B42" s="30" t="inlineStr">
        <is>
          <t>03. Cắm/rút điện</t>
        </is>
      </c>
      <c r="C42" s="39" t="inlineStr">
        <is>
          <t>P1</t>
        </is>
      </c>
      <c r="D42" s="16" t="inlineStr">
        <is>
          <t>CCKB có cần chọn người An ninh đã trực tiếp cắm/rút, dù người nhập giờ là CCKB không?</t>
        </is>
      </c>
      <c r="E42" s="16" t="inlineStr">
        <is>
          <t>A. Có, bắt buộc chọn; B. Ghi chú tự do; C. Không cần.</t>
        </is>
      </c>
      <c r="F42" s="24" t="inlineStr">
        <is>
          <t>B</t>
        </is>
      </c>
      <c r="G42" s="23" t="n"/>
      <c r="H42" s="25" t="inlineStr">
        <is>
          <t>Đã chốt</t>
        </is>
      </c>
      <c r="I42" s="16" t="inlineStr">
        <is>
          <t>Trưởng BP CCKB + An ninh</t>
        </is>
      </c>
      <c r="J42" s="23" t="n"/>
      <c r="K42" s="26" t="n"/>
      <c r="L42" s="23" t="n"/>
      <c r="M42" s="16" t="inlineStr">
        <is>
          <t>Trao đổi nghiệp vụ Sơn Cảng, 10-11/10/2026</t>
        </is>
      </c>
      <c r="N42" s="27" t="inlineStr">
        <is>
          <t>Đủ rõ để đặc tả</t>
        </is>
      </c>
      <c r="O42" s="28" t="inlineStr">
        <is>
          <t>Có lựa chọn được người dùng đánh dấu đã chốt; giữ nguyên câu trả lời và ghi chú.</t>
        </is>
      </c>
      <c r="P42" s="57" t="n"/>
      <c r="Q42" s="57" t="n"/>
      <c r="R42" s="57" t="n"/>
      <c r="S42" s="57" t="n"/>
      <c r="T42" s="57" t="n"/>
      <c r="U42" s="57" t="n"/>
      <c r="V42" s="57" t="n"/>
      <c r="W42" s="57" t="n"/>
      <c r="X42" s="57" t="n"/>
      <c r="Y42" s="57" t="n"/>
      <c r="Z42" s="57" t="n"/>
    </row>
    <row r="43" ht="64.5" customHeight="1" s="94">
      <c r="A43" s="17" t="inlineStr">
        <is>
          <t>T01</t>
        </is>
      </c>
      <c r="B43" s="18" t="inlineStr">
        <is>
          <t>04. Thanh toán</t>
        </is>
      </c>
      <c r="C43" s="19" t="inlineStr">
        <is>
          <t>P0</t>
        </is>
      </c>
      <c r="D43" s="10" t="inlineStr">
        <is>
          <t>Có cho thanh toán từng phần phí điện/lưu hoặc nộp trước khi container xuất không?</t>
        </is>
      </c>
      <c r="E43" s="10" t="inlineStr">
        <is>
          <t>A. Không, thanh toán đủ theo khoản; B. Có, cho thanh toán một phần; C. Chỉ theo phê duyệt.</t>
        </is>
      </c>
      <c r="F43" s="24" t="inlineStr">
        <is>
          <t>B</t>
        </is>
      </c>
      <c r="G43" s="25" t="inlineStr">
        <is>
          <t>Linh hoạt thu cả hoặc thu từng phần</t>
        </is>
      </c>
      <c r="H43" s="25" t="inlineStr">
        <is>
          <t>Đã chốt</t>
        </is>
      </c>
      <c r="I43" s="10" t="inlineStr">
        <is>
          <t>Trưởng BP CCKB</t>
        </is>
      </c>
      <c r="J43" s="23" t="n"/>
      <c r="K43" s="26" t="n"/>
      <c r="L43" s="23" t="n"/>
      <c r="M43" s="10" t="inlineStr">
        <is>
          <t>Trao đổi nghiệp vụ Sơn Cảng, 10-11/10/2026</t>
        </is>
      </c>
      <c r="N43" s="37" t="inlineStr">
        <is>
          <t>Cần làm rõ</t>
        </is>
      </c>
      <c r="O43" s="38" t="inlineStr">
        <is>
          <t>F=B chỉ cho trả một phần, G cho cả trả đủ và trả một phần; cần xác định dữ liệu phân bổ giao dịch.</t>
        </is>
      </c>
      <c r="P43" s="57" t="n"/>
      <c r="Q43" s="57" t="n"/>
      <c r="R43" s="57" t="n"/>
      <c r="S43" s="57" t="n"/>
      <c r="T43" s="57" t="n"/>
      <c r="U43" s="57" t="n"/>
      <c r="V43" s="57" t="n"/>
      <c r="W43" s="57" t="n"/>
      <c r="X43" s="57" t="n"/>
      <c r="Y43" s="57" t="n"/>
      <c r="Z43" s="57" t="n"/>
    </row>
    <row r="44" ht="54.75" customHeight="1" s="94">
      <c r="A44" s="29" t="inlineStr">
        <is>
          <t>T02</t>
        </is>
      </c>
      <c r="B44" s="30" t="inlineStr">
        <is>
          <t>04. Thanh toán</t>
        </is>
      </c>
      <c r="C44" s="31" t="inlineStr">
        <is>
          <t>P0</t>
        </is>
      </c>
      <c r="D44" s="16" t="inlineStr">
        <is>
          <t>Một lần thanh toán có thể kết hợp tiền mặt và chuyển khoản không?</t>
        </is>
      </c>
      <c r="E44" s="16" t="inlineStr">
        <is>
          <t>A. Có, ghi mỗi phương thức một phần; B. Không, một giao dịch một phương thức; C. Tùy khoản.</t>
        </is>
      </c>
      <c r="F44" s="24" t="inlineStr">
        <is>
          <t>A</t>
        </is>
      </c>
      <c r="G44" s="23" t="n"/>
      <c r="H44" s="25" t="inlineStr">
        <is>
          <t>Đã chốt</t>
        </is>
      </c>
      <c r="I44" s="16" t="inlineStr">
        <is>
          <t>Trưởng BP CCKB</t>
        </is>
      </c>
      <c r="J44" s="23" t="n"/>
      <c r="K44" s="26" t="n"/>
      <c r="L44" s="23" t="n"/>
      <c r="M44" s="16" t="inlineStr">
        <is>
          <t>Trao đổi nghiệp vụ Sơn Cảng, 10-11/10/2026</t>
        </is>
      </c>
      <c r="N44" s="27" t="inlineStr">
        <is>
          <t>Đủ rõ để đặc tả</t>
        </is>
      </c>
      <c r="O44" s="28" t="inlineStr">
        <is>
          <t>Có lựa chọn được người dùng đánh dấu đã chốt; giữ nguyên câu trả lời và ghi chú.</t>
        </is>
      </c>
      <c r="P44" s="57" t="n"/>
      <c r="Q44" s="57" t="n"/>
      <c r="R44" s="57" t="n"/>
      <c r="S44" s="57" t="n"/>
      <c r="T44" s="57" t="n"/>
      <c r="U44" s="57" t="n"/>
      <c r="V44" s="57" t="n"/>
      <c r="W44" s="57" t="n"/>
      <c r="X44" s="57" t="n"/>
      <c r="Y44" s="57" t="n"/>
      <c r="Z44" s="57" t="n"/>
    </row>
    <row r="45" ht="64.5" customHeight="1" s="94">
      <c r="A45" s="17" t="inlineStr">
        <is>
          <t>T03</t>
        </is>
      </c>
      <c r="B45" s="18" t="inlineStr">
        <is>
          <t>04. Thanh toán</t>
        </is>
      </c>
      <c r="C45" s="19" t="inlineStr">
        <is>
          <t>P0</t>
        </is>
      </c>
      <c r="D45" s="10" t="inlineStr">
        <is>
          <t>Xác nhận chuyển khoản dựa trên ảnh khách gửi hay bắt buộc kiểm tra tài khoản công ty thực nhận?</t>
        </is>
      </c>
      <c r="E45" s="10" t="inlineStr">
        <is>
          <t>A. Kiểm tra tiền về; B. Ảnh biên lai được chấp nhận; C. Theo ngưỡng tiền và quyền.</t>
        </is>
      </c>
      <c r="F45" s="24" t="inlineStr">
        <is>
          <t>A</t>
        </is>
      </c>
      <c r="G45" s="25" t="inlineStr">
        <is>
          <t>CCKB tự xác định tiền cắm còn Lưu đêm và vé vào thì an ninh</t>
        </is>
      </c>
      <c r="H45" s="25" t="inlineStr">
        <is>
          <t>Đã chốt</t>
        </is>
      </c>
      <c r="I45" s="10" t="inlineStr">
        <is>
          <t>Trưởng BP CCKB + Kế toán</t>
        </is>
      </c>
      <c r="J45" s="23" t="n"/>
      <c r="K45" s="26" t="n"/>
      <c r="L45" s="23" t="n"/>
      <c r="M45" s="10" t="inlineStr">
        <is>
          <t>Trao đổi nghiệp vụ Sơn Cảng, 10-11/10/2026</t>
        </is>
      </c>
      <c r="N45" s="32" t="inlineStr">
        <is>
          <t>Cần làm rõ</t>
        </is>
      </c>
      <c r="O45" s="33" t="inlineStr">
        <is>
          <t>G: CCKB kiểm tra tiền cắm, AN NINH nhận lưu đêm và vé; mâu thuẫn phân công CCKB thu phí lưu đã nói trước.</t>
        </is>
      </c>
      <c r="P45" s="57" t="n"/>
      <c r="Q45" s="57" t="n"/>
      <c r="R45" s="57" t="n"/>
      <c r="S45" s="57" t="n"/>
      <c r="T45" s="57" t="n"/>
      <c r="U45" s="57" t="n"/>
      <c r="V45" s="57" t="n"/>
      <c r="W45" s="57" t="n"/>
      <c r="X45" s="57" t="n"/>
      <c r="Y45" s="57" t="n"/>
      <c r="Z45" s="57" t="n"/>
    </row>
    <row r="46" ht="64.5" customHeight="1" s="94">
      <c r="A46" s="29" t="inlineStr">
        <is>
          <t>T04</t>
        </is>
      </c>
      <c r="B46" s="30" t="inlineStr">
        <is>
          <t>04. Thanh toán</t>
        </is>
      </c>
      <c r="C46" s="31" t="inlineStr">
        <is>
          <t>P0</t>
        </is>
      </c>
      <c r="D46" s="16" t="inlineStr">
        <is>
          <t>Ảnh bằng chứng thu tiền cần bắt buộc với giao dịch nào (vé, lưu cont, điện, mất vé)?</t>
        </is>
      </c>
      <c r="E46" s="16" t="inlineStr">
        <is>
          <t>A. Mọi chuyển khoản; B. Mọi giao dịch; C. Chỉ theo quy định từng loại.</t>
        </is>
      </c>
      <c r="F46" s="24" t="inlineStr">
        <is>
          <t>Khác</t>
        </is>
      </c>
      <c r="G46" s="25" t="inlineStr">
        <is>
          <t>Xây dưng nhưng chưa ap dụng</t>
        </is>
      </c>
      <c r="H46" s="25" t="inlineStr">
        <is>
          <t>Đã chốt</t>
        </is>
      </c>
      <c r="I46" s="16" t="inlineStr">
        <is>
          <t>Trưởng BP An ninh + CCKB</t>
        </is>
      </c>
      <c r="J46" s="23" t="n"/>
      <c r="K46" s="26" t="n"/>
      <c r="L46" s="23" t="n"/>
      <c r="M46" s="16" t="inlineStr">
        <is>
          <t>Trao đổi nghiệp vụ Sơn Cảng, 10-11/10/2026</t>
        </is>
      </c>
      <c r="N46" s="37" t="inlineStr">
        <is>
          <t>Cần làm rõ</t>
        </is>
      </c>
      <c r="O46" s="38" t="inlineStr">
        <is>
          <t>G: “Xây dựng nhưng chưa áp dụng”; cần tách tính năng ảnh chứng từ triển khai V1 hay để tùy chọn.</t>
        </is>
      </c>
      <c r="P46" s="57" t="n"/>
      <c r="Q46" s="57" t="n"/>
      <c r="R46" s="57" t="n"/>
      <c r="S46" s="57" t="n"/>
      <c r="T46" s="57" t="n"/>
      <c r="U46" s="57" t="n"/>
      <c r="V46" s="57" t="n"/>
      <c r="W46" s="57" t="n"/>
      <c r="X46" s="57" t="n"/>
      <c r="Y46" s="57" t="n"/>
      <c r="Z46" s="57" t="n"/>
    </row>
    <row r="47" ht="54.75" customHeight="1" s="94">
      <c r="A47" s="17" t="inlineStr">
        <is>
          <t>T05</t>
        </is>
      </c>
      <c r="B47" s="18" t="inlineStr">
        <is>
          <t>04. Thanh toán</t>
        </is>
      </c>
      <c r="C47" s="40" t="inlineStr">
        <is>
          <t>P1</t>
        </is>
      </c>
      <c r="D47" s="10" t="inlineStr">
        <is>
          <t>Khoản phạt mất vé được thanh toán và đối soát như một dòng phí riêng hay gộp cùng tiền vé ban đầu?</t>
        </is>
      </c>
      <c r="E47" s="10" t="inlineStr">
        <is>
          <t>A. Tách khoản phí riêng; B. Gộp vào vé; C. Tùy thời điểm phát hiện.</t>
        </is>
      </c>
      <c r="F47" s="24" t="inlineStr">
        <is>
          <t>A</t>
        </is>
      </c>
      <c r="G47" s="23" t="n"/>
      <c r="H47" s="25" t="inlineStr">
        <is>
          <t>Đã chốt</t>
        </is>
      </c>
      <c r="I47" s="10" t="inlineStr">
        <is>
          <t>Trưởng BP An ninh + CCKB</t>
        </is>
      </c>
      <c r="J47" s="23" t="n"/>
      <c r="K47" s="26" t="n"/>
      <c r="L47" s="23" t="n"/>
      <c r="M47" s="10" t="inlineStr">
        <is>
          <t>Trao đổi nghiệp vụ Sơn Cảng, 10-11/10/2026</t>
        </is>
      </c>
      <c r="N47" s="27" t="inlineStr">
        <is>
          <t>Đủ rõ để đặc tả</t>
        </is>
      </c>
      <c r="O47" s="28" t="inlineStr">
        <is>
          <t>Có lựa chọn được người dùng đánh dấu đã chốt; giữ nguyên câu trả lời và ghi chú.</t>
        </is>
      </c>
      <c r="P47" s="57" t="n"/>
      <c r="Q47" s="57" t="n"/>
      <c r="R47" s="57" t="n"/>
      <c r="S47" s="57" t="n"/>
      <c r="T47" s="57" t="n"/>
      <c r="U47" s="57" t="n"/>
      <c r="V47" s="57" t="n"/>
      <c r="W47" s="57" t="n"/>
      <c r="X47" s="57" t="n"/>
      <c r="Y47" s="57" t="n"/>
      <c r="Z47" s="57" t="n"/>
    </row>
    <row r="48" ht="64.5" customHeight="1" s="94">
      <c r="A48" s="29" t="inlineStr">
        <is>
          <t>T06</t>
        </is>
      </c>
      <c r="B48" s="30" t="inlineStr">
        <is>
          <t>04. Thanh toán</t>
        </is>
      </c>
      <c r="C48" s="31" t="inlineStr">
        <is>
          <t>P0</t>
        </is>
      </c>
      <c r="D48" s="16" t="inlineStr">
        <is>
          <t>Nếu đã thu thiếu hoặc thừa tiền so với hệ thống: cách điều chỉnh/hoàn trả, ai duyệt?</t>
        </is>
      </c>
      <c r="E48" s="16" t="inlineStr">
        <is>
          <t>A. NV lập phiếu, TBP duyệt; B. Chỉ Quản trị; C. Quy trình khác.</t>
        </is>
      </c>
      <c r="F48" s="24" t="inlineStr">
        <is>
          <t>Khác</t>
        </is>
      </c>
      <c r="G48" s="25" t="inlineStr">
        <is>
          <t>Xây dưng nhưng chưa ap dụng</t>
        </is>
      </c>
      <c r="H48" s="25" t="inlineStr">
        <is>
          <t>Đã chốt</t>
        </is>
      </c>
      <c r="I48" s="16" t="inlineStr">
        <is>
          <t>Trưởng BP CCKB</t>
        </is>
      </c>
      <c r="J48" s="23" t="n"/>
      <c r="K48" s="26" t="n"/>
      <c r="L48" s="23" t="n"/>
      <c r="M48" s="16" t="inlineStr">
        <is>
          <t>Trao đổi nghiệp vụ Sơn Cảng, 10-11/10/2026</t>
        </is>
      </c>
      <c r="N48" s="37" t="inlineStr">
        <is>
          <t>Cần làm rõ</t>
        </is>
      </c>
      <c r="O48" s="38" t="inlineStr">
        <is>
          <t>G: xây dựng nhưng chưa áp dụng; hệ thống thu/hoàn tiền cần quy định tối thiểu để không mất dấu chênh lệch.</t>
        </is>
      </c>
      <c r="P48" s="57" t="n"/>
      <c r="Q48" s="57" t="n"/>
      <c r="R48" s="57" t="n"/>
      <c r="S48" s="57" t="n"/>
      <c r="T48" s="57" t="n"/>
      <c r="U48" s="57" t="n"/>
      <c r="V48" s="57" t="n"/>
      <c r="W48" s="57" t="n"/>
      <c r="X48" s="57" t="n"/>
      <c r="Y48" s="57" t="n"/>
      <c r="Z48" s="57" t="n"/>
    </row>
    <row r="49" ht="64.5" customHeight="1" s="94">
      <c r="A49" s="17" t="inlineStr">
        <is>
          <t>T07</t>
        </is>
      </c>
      <c r="B49" s="18" t="inlineStr">
        <is>
          <t>04. Thanh toán</t>
        </is>
      </c>
      <c r="C49" s="19" t="inlineStr">
        <is>
          <t>P0</t>
        </is>
      </c>
      <c r="D49" s="10" t="inlineStr">
        <is>
          <t>Có được miễn/giảm giá vé, phí lưu, tiền điện? Ai là người có quyền duyệt?</t>
        </is>
      </c>
      <c r="E49" s="10" t="inlineStr">
        <is>
          <t>A. TBP theo bộ phận; B. Quản trị; C. Ban lãnh đạo; tùy loại phí.</t>
        </is>
      </c>
      <c r="F49" s="24" t="inlineStr">
        <is>
          <t>Khác</t>
        </is>
      </c>
      <c r="G49" s="25" t="inlineStr">
        <is>
          <t>Xây dưng nhưng chưa ap dụng</t>
        </is>
      </c>
      <c r="H49" s="25" t="inlineStr">
        <is>
          <t>Đã chốt</t>
        </is>
      </c>
      <c r="I49" s="10" t="inlineStr">
        <is>
          <t>Ban quản lý Sơn Cảng</t>
        </is>
      </c>
      <c r="J49" s="23" t="n"/>
      <c r="K49" s="26" t="n"/>
      <c r="L49" s="23" t="n"/>
      <c r="M49" s="10" t="inlineStr">
        <is>
          <t>Trao đổi nghiệp vụ Sơn Cảng, 10-11/10/2026</t>
        </is>
      </c>
      <c r="N49" s="37" t="inlineStr">
        <is>
          <t>Cần làm rõ</t>
        </is>
      </c>
      <c r="O49" s="38" t="inlineStr">
        <is>
          <t>G: xây dựng nhưng chưa áp dụng; xác định có cho phát sinh ngoại lệ ngay V1 không.</t>
        </is>
      </c>
      <c r="P49" s="57" t="n"/>
      <c r="Q49" s="57" t="n"/>
      <c r="R49" s="57" t="n"/>
      <c r="S49" s="57" t="n"/>
      <c r="T49" s="57" t="n"/>
      <c r="U49" s="57" t="n"/>
      <c r="V49" s="57" t="n"/>
      <c r="W49" s="57" t="n"/>
      <c r="X49" s="57" t="n"/>
      <c r="Y49" s="57" t="n"/>
      <c r="Z49" s="57" t="n"/>
    </row>
    <row r="50" ht="64.5" customHeight="1" s="94">
      <c r="A50" s="29" t="inlineStr">
        <is>
          <t>T08</t>
        </is>
      </c>
      <c r="B50" s="30" t="inlineStr">
        <is>
          <t>04. Thanh toán</t>
        </is>
      </c>
      <c r="C50" s="31" t="inlineStr">
        <is>
          <t>P0</t>
        </is>
      </c>
      <c r="D50" s="16" t="inlineStr">
        <is>
          <t>Có cho xuất container khi còn nợ phí hoặc đã gửi chứng từ nhưng chưa xác minh nhận tiền không?</t>
        </is>
      </c>
      <c r="E50" s="16" t="inlineStr">
        <is>
          <t>A. Không; B. Cho phép nếu TBP phê duyệt; C. Công nợ khách hàng theo danh sách.</t>
        </is>
      </c>
      <c r="F50" s="24" t="inlineStr">
        <is>
          <t>Khác</t>
        </is>
      </c>
      <c r="G50" s="25" t="inlineStr">
        <is>
          <t>CCKB sẽ xác nhận cho ra hay k và có thể báo cho ra nhưng tiền chưa thusex hiện cảnh báo, 1 là tự động nếu cckb đã điền đủ thanh toán và có cái xác nhận cho xe ra bằng tay mà tiền chưa ghi nhận</t>
        </is>
      </c>
      <c r="H50" s="25" t="inlineStr">
        <is>
          <t>Đã chốt</t>
        </is>
      </c>
      <c r="I50" s="16" t="inlineStr">
        <is>
          <t>Trưởng BP CCKB</t>
        </is>
      </c>
      <c r="J50" s="23" t="n"/>
      <c r="K50" s="26" t="n"/>
      <c r="L50" s="23" t="n"/>
      <c r="M50" s="16" t="inlineStr">
        <is>
          <t>Trao đổi nghiệp vụ Sơn Cảng, 10-11/10/2026</t>
        </is>
      </c>
      <c r="N50" s="32" t="inlineStr">
        <is>
          <t>Cần làm rõ</t>
        </is>
      </c>
      <c r="O50" s="33" t="inlineStr">
        <is>
          <t>Cho CCKB duyệt xuất khi chưa thu tiền bằng tay và cảnh báo; cần vai trò, lý do và xử lý khoản nợ sau ra.</t>
        </is>
      </c>
      <c r="P50" s="57" t="n"/>
      <c r="Q50" s="57" t="n"/>
      <c r="R50" s="57" t="n"/>
      <c r="S50" s="57" t="n"/>
      <c r="T50" s="57" t="n"/>
      <c r="U50" s="57" t="n"/>
      <c r="V50" s="57" t="n"/>
      <c r="W50" s="57" t="n"/>
      <c r="X50" s="57" t="n"/>
      <c r="Y50" s="57" t="n"/>
      <c r="Z50" s="57" t="n"/>
    </row>
    <row r="51" ht="64.5" customHeight="1" s="94">
      <c r="A51" s="17" t="inlineStr">
        <is>
          <t>T09</t>
        </is>
      </c>
      <c r="B51" s="18" t="inlineStr">
        <is>
          <t>04. Thanh toán</t>
        </is>
      </c>
      <c r="C51" s="19" t="inlineStr">
        <is>
          <t>P0</t>
        </is>
      </c>
      <c r="D51" s="10" t="inlineStr">
        <is>
          <t>Tại cổng ra, trạng thái tài chính hợp lệ có thời hạn bao lâu trước khi phải tính lại phí lưu?</t>
        </is>
      </c>
      <c r="E51" s="10" t="inlineStr">
        <is>
          <t>A. Luôn tính lại lúc xe/cont thực ra; B. CCKB xác nhận hiệu lực n phút; C. Chốt theo giờ duyệt.</t>
        </is>
      </c>
      <c r="F51" s="24" t="inlineStr">
        <is>
          <t>A</t>
        </is>
      </c>
      <c r="G51" s="25" t="inlineStr">
        <is>
          <t>Phí lưu chỉ có AN ninh tính tại lúc ra</t>
        </is>
      </c>
      <c r="H51" s="25" t="inlineStr">
        <is>
          <t>Đã chốt</t>
        </is>
      </c>
      <c r="I51" s="10" t="inlineStr">
        <is>
          <t>Trưởng BP CCKB + An ninh</t>
        </is>
      </c>
      <c r="J51" s="23" t="n"/>
      <c r="K51" s="26" t="n"/>
      <c r="L51" s="23" t="n"/>
      <c r="M51" s="10" t="inlineStr">
        <is>
          <t>Trao đổi nghiệp vụ Sơn Cảng, 10-11/10/2026</t>
        </is>
      </c>
      <c r="N51" s="32" t="inlineStr">
        <is>
          <t>Cần làm rõ</t>
        </is>
      </c>
      <c r="O51" s="33" t="inlineStr">
        <is>
          <t>G: An ninh tính phí lưu khi ra, trong khi phân công CCKB tính/thu phí lưu. Đồng thời mâu thuẫn L04.</t>
        </is>
      </c>
      <c r="P51" s="57" t="n"/>
      <c r="Q51" s="57" t="n"/>
      <c r="R51" s="57" t="n"/>
      <c r="S51" s="57" t="n"/>
      <c r="T51" s="57" t="n"/>
      <c r="U51" s="57" t="n"/>
      <c r="V51" s="57" t="n"/>
      <c r="W51" s="57" t="n"/>
      <c r="X51" s="57" t="n"/>
      <c r="Y51" s="57" t="n"/>
      <c r="Z51" s="57" t="n"/>
    </row>
    <row r="52" ht="64.5" customHeight="1" s="94">
      <c r="A52" s="29" t="inlineStr">
        <is>
          <t>T10</t>
        </is>
      </c>
      <c r="B52" s="30" t="inlineStr">
        <is>
          <t>04. Thanh toán</t>
        </is>
      </c>
      <c r="C52" s="39" t="inlineStr">
        <is>
          <t>P1</t>
        </is>
      </c>
      <c r="D52" s="16" t="inlineStr">
        <is>
          <t>Khi xe ra không kéo container, An ninh có cần CCKB xác nhận tài chính riêng cho LƯỢT XE không?</t>
        </is>
      </c>
      <c r="E52" s="16" t="inlineStr">
        <is>
          <t>A. Chỉ kiểm tra vé đã thu; B. CCKB duyệt tất cả lượt ra; C. Chỉ duyệt xe có cont.</t>
        </is>
      </c>
      <c r="F52" s="24" t="inlineStr">
        <is>
          <t>A</t>
        </is>
      </c>
      <c r="G52" s="25" t="inlineStr">
        <is>
          <t>K cần xác nhận nếu k có cont ra vì CCKB chỉ quan tâm cont chứ xe k quan tâm</t>
        </is>
      </c>
      <c r="H52" s="25" t="inlineStr">
        <is>
          <t>Đã chốt</t>
        </is>
      </c>
      <c r="I52" s="16" t="inlineStr">
        <is>
          <t>Trưởng BP CCKB + An ninh</t>
        </is>
      </c>
      <c r="J52" s="23" t="n"/>
      <c r="K52" s="26" t="n"/>
      <c r="L52" s="23" t="n"/>
      <c r="M52" s="16" t="inlineStr">
        <is>
          <t>Trao đổi nghiệp vụ Sơn Cảng, 10-11/10/2026</t>
        </is>
      </c>
      <c r="N52" s="27" t="inlineStr">
        <is>
          <t>Đủ rõ để đặc tả</t>
        </is>
      </c>
      <c r="O52" s="28" t="inlineStr">
        <is>
          <t>Có lựa chọn được người dùng đánh dấu đã chốt; giữ nguyên câu trả lời và ghi chú.</t>
        </is>
      </c>
      <c r="P52" s="57" t="n"/>
      <c r="Q52" s="57" t="n"/>
      <c r="R52" s="57" t="n"/>
      <c r="S52" s="57" t="n"/>
      <c r="T52" s="57" t="n"/>
      <c r="U52" s="57" t="n"/>
      <c r="V52" s="57" t="n"/>
      <c r="W52" s="57" t="n"/>
      <c r="X52" s="57" t="n"/>
      <c r="Y52" s="57" t="n"/>
      <c r="Z52" s="57" t="n"/>
    </row>
    <row r="53" ht="60" customHeight="1" s="94">
      <c r="A53" s="17" t="inlineStr">
        <is>
          <t>T11</t>
        </is>
      </c>
      <c r="B53" s="18" t="inlineStr">
        <is>
          <t>04. Thanh toán</t>
        </is>
      </c>
      <c r="C53" s="40" t="inlineStr">
        <is>
          <t>P1</t>
        </is>
      </c>
      <c r="D53" s="10" t="inlineStr">
        <is>
          <t>CCKB có được thu hộ nhiều container/xe trong một lần chuyển khoản và phân bổ vào nhiều khoản phí không?</t>
        </is>
      </c>
      <c r="E53" s="10" t="inlineStr">
        <is>
          <t>A. Có, phân bổ khoản; B. Không, mỗi lần cho một đối tượng; C. Có điều kiện.</t>
        </is>
      </c>
      <c r="F53" s="24" t="inlineStr">
        <is>
          <t>A</t>
        </is>
      </c>
      <c r="G53" s="25" t="inlineStr">
        <is>
          <t>Linh hoạt như nào dễ cho ng dùng thì làm</t>
        </is>
      </c>
      <c r="H53" s="25" t="inlineStr">
        <is>
          <t>Đã chốt</t>
        </is>
      </c>
      <c r="I53" s="10" t="inlineStr">
        <is>
          <t>Trưởng BP CCKB</t>
        </is>
      </c>
      <c r="J53" s="23" t="n"/>
      <c r="K53" s="26" t="n"/>
      <c r="L53" s="23" t="n"/>
      <c r="M53" s="10" t="inlineStr">
        <is>
          <t>Trao đổi nghiệp vụ Sơn Cảng, 10-11/10/2026</t>
        </is>
      </c>
      <c r="N53" s="27" t="inlineStr">
        <is>
          <t>Đủ rõ để đặc tả</t>
        </is>
      </c>
      <c r="O53" s="28" t="inlineStr">
        <is>
          <t>Có lựa chọn được người dùng đánh dấu đã chốt; giữ nguyên câu trả lời và ghi chú.</t>
        </is>
      </c>
      <c r="P53" s="57" t="n"/>
      <c r="Q53" s="57" t="n"/>
      <c r="R53" s="57" t="n"/>
      <c r="S53" s="57" t="n"/>
      <c r="T53" s="57" t="n"/>
      <c r="U53" s="57" t="n"/>
      <c r="V53" s="57" t="n"/>
      <c r="W53" s="57" t="n"/>
      <c r="X53" s="57" t="n"/>
      <c r="Y53" s="57" t="n"/>
      <c r="Z53" s="57" t="n"/>
    </row>
    <row r="54" ht="64.5" customHeight="1" s="94">
      <c r="A54" s="29" t="inlineStr">
        <is>
          <t>T12</t>
        </is>
      </c>
      <c r="B54" s="30" t="inlineStr">
        <is>
          <t>04. Thanh toán</t>
        </is>
      </c>
      <c r="C54" s="39" t="inlineStr">
        <is>
          <t>P1</t>
        </is>
      </c>
      <c r="D54" s="16" t="inlineStr">
        <is>
          <t>Khi có khách hàng thường xuyên: có quản lý hồ sơ khách, mã số thuế, công nợ/hóa đơn không?</t>
        </is>
      </c>
      <c r="E54" s="16" t="inlineStr">
        <is>
          <t>A. V1 chỉ tên/số điện thoại; B. Quản lý danh mục khách hàng; C. Thêm công nợ/hóa đơn.</t>
        </is>
      </c>
      <c r="F54" s="24" t="inlineStr">
        <is>
          <t>Không áp dụng</t>
        </is>
      </c>
      <c r="G54" s="25"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25" t="inlineStr">
        <is>
          <t>Đã chốt</t>
        </is>
      </c>
      <c r="I54" s="16" t="inlineStr">
        <is>
          <t>Trưởng BP CCKB + Kế toán</t>
        </is>
      </c>
      <c r="J54" s="23" t="n"/>
      <c r="K54" s="26" t="n"/>
      <c r="L54" s="23" t="n"/>
      <c r="M54" s="16" t="inlineStr">
        <is>
          <t>Trao đổi nghiệp vụ Sơn Cảng, 10-11/10/2026</t>
        </is>
      </c>
      <c r="N54" s="32" t="inlineStr">
        <is>
          <t>Cần làm rõ</t>
        </is>
      </c>
      <c r="O54" s="33" t="inlineStr">
        <is>
          <t>Chọn Không áp dụng nhưng G yêu cầu nhập thông tin lái xe/công ty để phục vụ hóa đơn; Kế toán phát triển sau. Cần tách V1/V2.</t>
        </is>
      </c>
      <c r="P54" s="57" t="n"/>
      <c r="Q54" s="57" t="n"/>
      <c r="R54" s="57" t="n"/>
      <c r="S54" s="57" t="n"/>
      <c r="T54" s="57" t="n"/>
      <c r="U54" s="57" t="n"/>
      <c r="V54" s="57" t="n"/>
      <c r="W54" s="57" t="n"/>
      <c r="X54" s="57" t="n"/>
      <c r="Y54" s="57" t="n"/>
      <c r="Z54" s="57" t="n"/>
    </row>
    <row r="55" ht="64.5" customHeight="1" s="94">
      <c r="A55" s="17" t="inlineStr">
        <is>
          <t>T13</t>
        </is>
      </c>
      <c r="B55" s="18" t="inlineStr">
        <is>
          <t>04. Thanh toán</t>
        </is>
      </c>
      <c r="C55" s="40" t="inlineStr">
        <is>
          <t>P1</t>
        </is>
      </c>
      <c r="D55" s="10" t="inlineStr">
        <is>
          <t>Có cho hủy giao dịch thu tiền do nhập nhầm? Yêu cầu lý do/phê duyệt và xử lý dòng đối ứng?</t>
        </is>
      </c>
      <c r="E55" s="10" t="inlineStr">
        <is>
          <t>A. Chỉ tạo giao dịch đảo; B. Cho hủy với duyệt; C. Khác.</t>
        </is>
      </c>
      <c r="F55" s="24" t="inlineStr">
        <is>
          <t>B</t>
        </is>
      </c>
      <c r="G55" s="25" t="inlineStr">
        <is>
          <t>Linh hoạt như nào dễ cho ng dùng thì làm</t>
        </is>
      </c>
      <c r="H55" s="25" t="inlineStr">
        <is>
          <t>Đã chốt</t>
        </is>
      </c>
      <c r="I55" s="10" t="inlineStr">
        <is>
          <t>Trưởng BP CCKB</t>
        </is>
      </c>
      <c r="J55" s="23" t="n"/>
      <c r="K55" s="26" t="n"/>
      <c r="L55" s="23" t="n"/>
      <c r="M55" s="10" t="inlineStr">
        <is>
          <t>Trao đổi nghiệp vụ Sơn Cảng, 10-11/10/2026</t>
        </is>
      </c>
      <c r="N55" s="27" t="inlineStr">
        <is>
          <t>Đủ rõ để đặc tả</t>
        </is>
      </c>
      <c r="O55" s="28" t="inlineStr">
        <is>
          <t>Có lựa chọn được người dùng đánh dấu đã chốt; giữ nguyên câu trả lời và ghi chú.</t>
        </is>
      </c>
      <c r="P55" s="57" t="n"/>
      <c r="Q55" s="57" t="n"/>
      <c r="R55" s="57" t="n"/>
      <c r="S55" s="57" t="n"/>
      <c r="T55" s="57" t="n"/>
      <c r="U55" s="57" t="n"/>
      <c r="V55" s="57" t="n"/>
      <c r="W55" s="57" t="n"/>
      <c r="X55" s="57" t="n"/>
      <c r="Y55" s="57" t="n"/>
      <c r="Z55" s="57" t="n"/>
    </row>
    <row r="56" ht="64.5" customHeight="1" s="94">
      <c r="A56" s="29" t="inlineStr">
        <is>
          <t>T14</t>
        </is>
      </c>
      <c r="B56" s="30" t="inlineStr">
        <is>
          <t>04. Thanh toán</t>
        </is>
      </c>
      <c r="C56" s="39" t="inlineStr">
        <is>
          <t>P1</t>
        </is>
      </c>
      <c r="D56" s="16" t="inlineStr">
        <is>
          <t>Doanh thu vé An ninh thu và doanh thu phí CCKB thu được đối soát cuối ca như thế nào?</t>
        </is>
      </c>
      <c r="E56" s="16" t="inlineStr">
        <is>
          <t>A. Theo cá nhân/ca; B. Theo bộ phận/ngày; C. Hai cấp đối soát; ghi quy định.</t>
        </is>
      </c>
      <c r="F56" s="24" t="inlineStr">
        <is>
          <t>Khác</t>
        </is>
      </c>
      <c r="G56" s="25" t="inlineStr">
        <is>
          <t>theo ca nhé, ca lammf việc của an ninh hiện tại là 6H-18H nhưng chốt doanh thu có thẻ là 16H và 8h30 9H kiểu vậy</t>
        </is>
      </c>
      <c r="H56" s="25" t="inlineStr">
        <is>
          <t>Đã chốt</t>
        </is>
      </c>
      <c r="I56" s="16" t="inlineStr">
        <is>
          <t>Trưởng BP An ninh + CCKB + Kế toán</t>
        </is>
      </c>
      <c r="J56" s="23" t="n"/>
      <c r="K56" s="26" t="n"/>
      <c r="L56" s="23" t="n"/>
      <c r="M56" s="16" t="inlineStr">
        <is>
          <t>Trao đổi nghiệp vụ Sơn Cảng, 10-11/10/2026</t>
        </is>
      </c>
      <c r="N56" s="37" t="inlineStr">
        <is>
          <t>Cần làm rõ</t>
        </is>
      </c>
      <c r="O56" s="38" t="inlineStr">
        <is>
          <t>Chốt doanh thu không trùng giờ ca 06–18, ví dụ 16:00 hoặc 08:30–09:00; cần cấu hình kỳ chốt và người chịu trách nhiệm.</t>
        </is>
      </c>
      <c r="P56" s="57" t="n"/>
      <c r="Q56" s="57" t="n"/>
      <c r="R56" s="57" t="n"/>
      <c r="S56" s="57" t="n"/>
      <c r="T56" s="57" t="n"/>
      <c r="U56" s="57" t="n"/>
      <c r="V56" s="57" t="n"/>
      <c r="W56" s="57" t="n"/>
      <c r="X56" s="57" t="n"/>
      <c r="Y56" s="57" t="n"/>
      <c r="Z56" s="57" t="n"/>
    </row>
    <row r="57" ht="60" customHeight="1" s="94">
      <c r="A57" s="17" t="inlineStr">
        <is>
          <t>T15</t>
        </is>
      </c>
      <c r="B57" s="18" t="inlineStr">
        <is>
          <t>04. Thanh toán</t>
        </is>
      </c>
      <c r="C57" s="40" t="inlineStr">
        <is>
          <t>P1</t>
        </is>
      </c>
      <c r="D57" s="10" t="inlineStr">
        <is>
          <t>Sau khi CCKB đã cấp đủ điều kiện thanh toán, An ninh phát hiện sai số cont/biển số: có quyền hủy xác nhận và gửi duyệt lại không?</t>
        </is>
      </c>
      <c r="E57" s="10" t="inlineStr">
        <is>
          <t>A. Tự hủy và yêu cầu kiểm tra; B. Chỉ CCKB thu hồi; C. TBP duyệt.</t>
        </is>
      </c>
      <c r="F57" s="24" t="inlineStr">
        <is>
          <t>Không áp dụng</t>
        </is>
      </c>
      <c r="G57" s="23" t="n"/>
      <c r="H57" s="25" t="inlineStr">
        <is>
          <t>Đã chốt</t>
        </is>
      </c>
      <c r="I57" s="10" t="inlineStr">
        <is>
          <t>Trưởng BP An ninh + CCKB</t>
        </is>
      </c>
      <c r="J57" s="23" t="n"/>
      <c r="K57" s="26" t="n"/>
      <c r="L57" s="23" t="n"/>
      <c r="M57" s="10" t="inlineStr">
        <is>
          <t>Trao đổi nghiệp vụ Sơn Cảng, 10-11/10/2026</t>
        </is>
      </c>
      <c r="N57" s="32" t="inlineStr">
        <is>
          <t>Cần làm rõ</t>
        </is>
      </c>
      <c r="O57" s="33" t="inlineStr">
        <is>
          <t>F=Không áp dụng việc thu hồi duyệt khi phát hiện sai cont; SC08 cần cơ chế xử lý khi sai cont sau duyệt.</t>
        </is>
      </c>
      <c r="P57" s="57" t="n"/>
      <c r="Q57" s="57" t="n"/>
      <c r="R57" s="57" t="n"/>
      <c r="S57" s="57" t="n"/>
      <c r="T57" s="57" t="n"/>
      <c r="U57" s="57" t="n"/>
      <c r="V57" s="57" t="n"/>
      <c r="W57" s="57" t="n"/>
      <c r="X57" s="57" t="n"/>
      <c r="Y57" s="57" t="n"/>
      <c r="Z57" s="57" t="n"/>
    </row>
    <row r="58" ht="60" customHeight="1" s="94">
      <c r="A58" s="29" t="inlineStr">
        <is>
          <t>P01</t>
        </is>
      </c>
      <c r="B58" s="30" t="inlineStr">
        <is>
          <t>05. Phân quyền</t>
        </is>
      </c>
      <c r="C58" s="31" t="inlineStr">
        <is>
          <t>P0</t>
        </is>
      </c>
      <c r="D58" s="16" t="inlineStr">
        <is>
          <t>Các vai trò chính xác cần tạo là 6 vai trò NV/TBP của 3 bộ phận + Quản trị, hay bổ sung Nhà cân/Kế toán?</t>
        </is>
      </c>
      <c r="E58" s="16" t="inlineStr">
        <is>
          <t>A. 7 vai trò; B. Thêm Nhà cân; C. Thêm Kế toán; ghi rõ.</t>
        </is>
      </c>
      <c r="F58" s="24" t="inlineStr">
        <is>
          <t>C</t>
        </is>
      </c>
      <c r="G58" s="23" t="n"/>
      <c r="H58" s="25" t="inlineStr">
        <is>
          <t>Đã chốt</t>
        </is>
      </c>
      <c r="I58" s="16" t="inlineStr">
        <is>
          <t>Quản trị + Các TBP</t>
        </is>
      </c>
      <c r="J58" s="23" t="n"/>
      <c r="K58" s="26" t="n"/>
      <c r="L58" s="23" t="n"/>
      <c r="M58" s="16" t="inlineStr">
        <is>
          <t>Trao đổi nghiệp vụ Sơn Cảng, 10-11/10/2026</t>
        </is>
      </c>
      <c r="N58" s="37" t="inlineStr">
        <is>
          <t>Cần làm rõ</t>
        </is>
      </c>
      <c r="O58" s="38" t="inlineStr">
        <is>
          <t>F=C đề xuất thêm Kế toán, nhưng các tính năng Kế toán ghi giai đoạn sau. Cần xác định vai trò kế toán có ở V1 không.</t>
        </is>
      </c>
      <c r="P58" s="57" t="n"/>
      <c r="Q58" s="57" t="n"/>
      <c r="R58" s="57" t="n"/>
      <c r="S58" s="57" t="n"/>
      <c r="T58" s="57" t="n"/>
      <c r="U58" s="57" t="n"/>
      <c r="V58" s="57" t="n"/>
      <c r="W58" s="57" t="n"/>
      <c r="X58" s="57" t="n"/>
      <c r="Y58" s="57" t="n"/>
      <c r="Z58" s="57" t="n"/>
    </row>
    <row r="59" ht="64.5" customHeight="1" s="94">
      <c r="A59" s="17" t="inlineStr">
        <is>
          <t>P02</t>
        </is>
      </c>
      <c r="B59" s="18" t="inlineStr">
        <is>
          <t>05. Phân quyền</t>
        </is>
      </c>
      <c r="C59" s="19" t="inlineStr">
        <is>
          <t>P0</t>
        </is>
      </c>
      <c r="D59" s="10" t="inlineStr">
        <is>
          <t>TBP An ninh có được sửa GIO_VAO/GIO_RA và xuất xe thay NV An ninh không?</t>
        </is>
      </c>
      <c r="E59" s="10" t="inlineStr">
        <is>
          <t>A. Có; B. Chỉ duyệt sửa, không thực hiện; C. Tùy chức năng.</t>
        </is>
      </c>
      <c r="F59" s="24" t="inlineStr">
        <is>
          <t>A</t>
        </is>
      </c>
      <c r="G59" s="25" t="inlineStr">
        <is>
          <t>ghi lại audit</t>
        </is>
      </c>
      <c r="H59" s="25" t="inlineStr">
        <is>
          <t>Đã chốt</t>
        </is>
      </c>
      <c r="I59" s="10" t="inlineStr">
        <is>
          <t>Trưởng BP An ninh</t>
        </is>
      </c>
      <c r="J59" s="23" t="n"/>
      <c r="K59" s="26" t="n"/>
      <c r="L59" s="23" t="n"/>
      <c r="M59" s="10" t="inlineStr">
        <is>
          <t>Trao đổi nghiệp vụ Sơn Cảng, 10-11/10/2026</t>
        </is>
      </c>
      <c r="N59" s="27" t="inlineStr">
        <is>
          <t>Đủ rõ để đặc tả</t>
        </is>
      </c>
      <c r="O59" s="28" t="inlineStr">
        <is>
          <t>Có lựa chọn được người dùng đánh dấu đã chốt; giữ nguyên câu trả lời và ghi chú.</t>
        </is>
      </c>
      <c r="P59" s="57" t="n"/>
      <c r="Q59" s="57" t="n"/>
      <c r="R59" s="57" t="n"/>
      <c r="S59" s="57" t="n"/>
      <c r="T59" s="57" t="n"/>
      <c r="U59" s="57" t="n"/>
      <c r="V59" s="57" t="n"/>
      <c r="W59" s="57" t="n"/>
      <c r="X59" s="57" t="n"/>
      <c r="Y59" s="57" t="n"/>
      <c r="Z59" s="57" t="n"/>
    </row>
    <row r="60" ht="64.5" customHeight="1" s="94">
      <c r="A60" s="29" t="inlineStr">
        <is>
          <t>P03</t>
        </is>
      </c>
      <c r="B60" s="30" t="inlineStr">
        <is>
          <t>05. Phân quyền</t>
        </is>
      </c>
      <c r="C60" s="31" t="inlineStr">
        <is>
          <t>P0</t>
        </is>
      </c>
      <c r="D60" s="16" t="inlineStr">
        <is>
          <t>TBP CCKB có quyền duyệt điều chỉnh sau thu, duyệt miễn giảm và duyệt xuất ngoại lệ đến hạn mức nào?</t>
        </is>
      </c>
      <c r="E60" s="16" t="inlineStr">
        <is>
          <t>A. Toàn bộ; B. Giới hạn theo số tiền; C. Phải chuyển Quản trị/BLĐ.</t>
        </is>
      </c>
      <c r="F60" s="24" t="inlineStr">
        <is>
          <t>A</t>
        </is>
      </c>
      <c r="G60" s="25" t="inlineStr">
        <is>
          <t>ghi lại audit</t>
        </is>
      </c>
      <c r="H60" s="25" t="inlineStr">
        <is>
          <t>Đã chốt</t>
        </is>
      </c>
      <c r="I60" s="16" t="inlineStr">
        <is>
          <t>Trưởng BP CCKB</t>
        </is>
      </c>
      <c r="J60" s="23" t="n"/>
      <c r="K60" s="26" t="n"/>
      <c r="L60" s="23" t="n"/>
      <c r="M60" s="16" t="inlineStr">
        <is>
          <t>Trao đổi nghiệp vụ Sơn Cảng, 10-11/10/2026</t>
        </is>
      </c>
      <c r="N60" s="27" t="inlineStr">
        <is>
          <t>Đủ rõ để đặc tả</t>
        </is>
      </c>
      <c r="O60" s="28" t="inlineStr">
        <is>
          <t>Có lựa chọn được người dùng đánh dấu đã chốt; giữ nguyên câu trả lời và ghi chú.</t>
        </is>
      </c>
      <c r="P60" s="57" t="n"/>
      <c r="Q60" s="57" t="n"/>
      <c r="R60" s="57" t="n"/>
      <c r="S60" s="57" t="n"/>
      <c r="T60" s="57" t="n"/>
      <c r="U60" s="57" t="n"/>
      <c r="V60" s="57" t="n"/>
      <c r="W60" s="57" t="n"/>
      <c r="X60" s="57" t="n"/>
      <c r="Y60" s="57" t="n"/>
      <c r="Z60" s="57" t="n"/>
    </row>
    <row r="61" ht="64.5" customHeight="1" s="94">
      <c r="A61" s="17" t="inlineStr">
        <is>
          <t>P04</t>
        </is>
      </c>
      <c r="B61" s="18" t="inlineStr">
        <is>
          <t>05. Phân quyền</t>
        </is>
      </c>
      <c r="C61" s="40" t="inlineStr">
        <is>
          <t>P1</t>
        </is>
      </c>
      <c r="D61" s="10" t="inlineStr">
        <is>
          <t>NV CCKB có được sửa giờ điện trước thanh toán không giới hạn hay chỉ trong ca/24 giờ?</t>
        </is>
      </c>
      <c r="E61" s="10" t="inlineStr">
        <is>
          <t>A. Không giới hạn trước thu; B. Trong ca; C. Theo thời hạn khác.</t>
        </is>
      </c>
      <c r="F61" s="24" t="inlineStr">
        <is>
          <t>A</t>
        </is>
      </c>
      <c r="G61" s="25" t="inlineStr">
        <is>
          <t>được</t>
        </is>
      </c>
      <c r="H61" s="25" t="inlineStr">
        <is>
          <t>Đã chốt</t>
        </is>
      </c>
      <c r="I61" s="10" t="inlineStr">
        <is>
          <t>Trưởng BP CCKB</t>
        </is>
      </c>
      <c r="J61" s="23" t="n"/>
      <c r="K61" s="26" t="n"/>
      <c r="L61" s="23" t="n"/>
      <c r="M61" s="10" t="inlineStr">
        <is>
          <t>Trao đổi nghiệp vụ Sơn Cảng, 10-11/10/2026</t>
        </is>
      </c>
      <c r="N61" s="27" t="inlineStr">
        <is>
          <t>Đủ rõ để đặc tả</t>
        </is>
      </c>
      <c r="O61" s="28" t="inlineStr">
        <is>
          <t>Có lựa chọn được người dùng đánh dấu đã chốt; giữ nguyên câu trả lời và ghi chú.</t>
        </is>
      </c>
      <c r="P61" s="57" t="n"/>
      <c r="Q61" s="57" t="n"/>
      <c r="R61" s="57" t="n"/>
      <c r="S61" s="57" t="n"/>
      <c r="T61" s="57" t="n"/>
      <c r="U61" s="57" t="n"/>
      <c r="V61" s="57" t="n"/>
      <c r="W61" s="57" t="n"/>
      <c r="X61" s="57" t="n"/>
      <c r="Y61" s="57" t="n"/>
      <c r="Z61" s="57" t="n"/>
    </row>
    <row r="62" ht="54.75" customHeight="1" s="94">
      <c r="A62" s="29" t="inlineStr">
        <is>
          <t>P05</t>
        </is>
      </c>
      <c r="B62" s="30" t="inlineStr">
        <is>
          <t>05. Phân quyền</t>
        </is>
      </c>
      <c r="C62" s="39" t="inlineStr">
        <is>
          <t>P1</t>
        </is>
      </c>
      <c r="D62" s="16" t="inlineStr">
        <is>
          <t>TBP Điều phối có được sửa HÀNG/RỖNG sau khi container xuất bãi không?</t>
        </is>
      </c>
      <c r="E62" s="16" t="inlineStr">
        <is>
          <t>A. Có, kèm lý do; B. Chỉ trước khi xuất; C. Quản trị sửa sau xuất.</t>
        </is>
      </c>
      <c r="F62" s="24" t="inlineStr">
        <is>
          <t>A</t>
        </is>
      </c>
      <c r="G62" s="23" t="n"/>
      <c r="H62" s="25" t="inlineStr">
        <is>
          <t>Đã chốt</t>
        </is>
      </c>
      <c r="I62" s="16" t="inlineStr">
        <is>
          <t>Trưởng BP Điều phối</t>
        </is>
      </c>
      <c r="J62" s="23" t="n"/>
      <c r="K62" s="26" t="n"/>
      <c r="L62" s="23" t="n"/>
      <c r="M62" s="16" t="inlineStr">
        <is>
          <t>Trao đổi nghiệp vụ Sơn Cảng, 10-11/10/2026</t>
        </is>
      </c>
      <c r="N62" s="27" t="inlineStr">
        <is>
          <t>Đủ rõ để đặc tả</t>
        </is>
      </c>
      <c r="O62" s="28" t="inlineStr">
        <is>
          <t>Có lựa chọn được người dùng đánh dấu đã chốt; giữ nguyên câu trả lời và ghi chú.</t>
        </is>
      </c>
      <c r="P62" s="57" t="n"/>
      <c r="Q62" s="57" t="n"/>
      <c r="R62" s="57" t="n"/>
      <c r="S62" s="57" t="n"/>
      <c r="T62" s="57" t="n"/>
      <c r="U62" s="57" t="n"/>
      <c r="V62" s="57" t="n"/>
      <c r="W62" s="57" t="n"/>
      <c r="X62" s="57" t="n"/>
      <c r="Y62" s="57" t="n"/>
      <c r="Z62" s="57" t="n"/>
    </row>
    <row r="63" ht="54.75" customHeight="1" s="94">
      <c r="A63" s="17" t="inlineStr">
        <is>
          <t>P06</t>
        </is>
      </c>
      <c r="B63" s="18" t="inlineStr">
        <is>
          <t>05. Phân quyền</t>
        </is>
      </c>
      <c r="C63" s="40" t="inlineStr">
        <is>
          <t>P1</t>
        </is>
      </c>
      <c r="D63" s="10" t="inlineStr">
        <is>
          <t>Ai có quyền mở khóa/xử lý dữ liệu đã chốt sau ra cổng mà không làm thay đổi lịch sử thu tiền?</t>
        </is>
      </c>
      <c r="E63" s="10" t="inlineStr">
        <is>
          <t>A. Quản trị; B. TBP liên quan + xác nhận; C. Quy trình 2 cấp.</t>
        </is>
      </c>
      <c r="F63" s="24" t="inlineStr">
        <is>
          <t>B</t>
        </is>
      </c>
      <c r="G63" s="23" t="n"/>
      <c r="H63" s="25" t="inlineStr">
        <is>
          <t>Đã chốt</t>
        </is>
      </c>
      <c r="I63" s="10" t="inlineStr">
        <is>
          <t>Quản trị + Các TBP</t>
        </is>
      </c>
      <c r="J63" s="23" t="n"/>
      <c r="K63" s="26" t="n"/>
      <c r="L63" s="23" t="n"/>
      <c r="M63" s="10" t="inlineStr">
        <is>
          <t>Trao đổi nghiệp vụ Sơn Cảng, 10-11/10/2026</t>
        </is>
      </c>
      <c r="N63" s="27" t="inlineStr">
        <is>
          <t>Đủ rõ để đặc tả</t>
        </is>
      </c>
      <c r="O63" s="28" t="inlineStr">
        <is>
          <t>Có lựa chọn được người dùng đánh dấu đã chốt; giữ nguyên câu trả lời và ghi chú.</t>
        </is>
      </c>
      <c r="P63" s="57" t="n"/>
      <c r="Q63" s="57" t="n"/>
      <c r="R63" s="57" t="n"/>
      <c r="S63" s="57" t="n"/>
      <c r="T63" s="57" t="n"/>
      <c r="U63" s="57" t="n"/>
      <c r="V63" s="57" t="n"/>
      <c r="W63" s="57" t="n"/>
      <c r="X63" s="57" t="n"/>
      <c r="Y63" s="57" t="n"/>
      <c r="Z63" s="57" t="n"/>
    </row>
    <row r="64" ht="64.5" customHeight="1" s="94">
      <c r="A64" s="29" t="inlineStr">
        <is>
          <t>P07</t>
        </is>
      </c>
      <c r="B64" s="30" t="inlineStr">
        <is>
          <t>05. Phân quyền</t>
        </is>
      </c>
      <c r="C64" s="39" t="inlineStr">
        <is>
          <t>P1</t>
        </is>
      </c>
      <c r="D64" s="16" t="inlineStr">
        <is>
          <t>Một nhân viên có thể kiêm 2 bộ phận/vai trò trên một tài khoản không?</t>
        </is>
      </c>
      <c r="E64" s="16" t="inlineStr">
        <is>
          <t>A. Một tài khoản nhiều vai trò; B. Một vai trò; C. Theo ca.</t>
        </is>
      </c>
      <c r="F64" s="24" t="inlineStr">
        <is>
          <t>Khác</t>
        </is>
      </c>
      <c r="G64" s="25" t="inlineStr">
        <is>
          <t>Cài này có lúc theo ca có lúc 1 tk nhiêu role nhưng cứ xây dựng giai đoạn đầu máy sẽ cố định tại bốt cont CCKB thì sẽ đăng nhập tk cá nhân(Sau này muốn phát triển ai có ca mới được vào)</t>
        </is>
      </c>
      <c r="H64" s="25" t="inlineStr">
        <is>
          <t>Đã chốt</t>
        </is>
      </c>
      <c r="I64" s="16" t="inlineStr">
        <is>
          <t>Quản trị</t>
        </is>
      </c>
      <c r="J64" s="23" t="n"/>
      <c r="K64" s="26" t="n"/>
      <c r="L64" s="23" t="n"/>
      <c r="M64" s="16" t="inlineStr">
        <is>
          <t>Trao đổi nghiệp vụ Sơn Cảng, 10-11/10/2026</t>
        </is>
      </c>
      <c r="N64" s="32" t="inlineStr">
        <is>
          <t>Cần làm rõ</t>
        </is>
      </c>
      <c r="O64" s="33" t="inlineStr">
        <is>
          <t>PWA tại bốt An ninh có thể dùng thiết bị cố định; CCKB dùng tài khoản cá nhân, phân vai theo ca sau. Cần audit cá nhân khi dùng thiết bị chung.</t>
        </is>
      </c>
      <c r="P64" s="57" t="n"/>
      <c r="Q64" s="57" t="n"/>
      <c r="R64" s="57" t="n"/>
      <c r="S64" s="57" t="n"/>
      <c r="T64" s="57" t="n"/>
      <c r="U64" s="57" t="n"/>
      <c r="V64" s="57" t="n"/>
      <c r="W64" s="57" t="n"/>
      <c r="X64" s="57" t="n"/>
      <c r="Y64" s="57" t="n"/>
      <c r="Z64" s="57" t="n"/>
    </row>
    <row r="65" ht="54.75" customHeight="1" s="94">
      <c r="A65" s="17" t="inlineStr">
        <is>
          <t>P08</t>
        </is>
      </c>
      <c r="B65" s="18" t="inlineStr">
        <is>
          <t>05. Phân quyền</t>
        </is>
      </c>
      <c r="C65" s="40" t="inlineStr">
        <is>
          <t>P1</t>
        </is>
      </c>
      <c r="D65" s="10" t="inlineStr">
        <is>
          <t>Cần tạo tài khoản mới bằng email công ty hay dùng email Gmail hiện có để đăng nhập?</t>
        </is>
      </c>
      <c r="E65" s="10" t="inlineStr">
        <is>
          <t>A. Google login email sẵn có; B. Email công ty; C. Email/mật khẩu độc lập.</t>
        </is>
      </c>
      <c r="F65" s="24" t="inlineStr">
        <is>
          <t>C</t>
        </is>
      </c>
      <c r="G65" s="23" t="n"/>
      <c r="H65" s="25" t="inlineStr">
        <is>
          <t>Đã chốt</t>
        </is>
      </c>
      <c r="I65" s="10" t="inlineStr">
        <is>
          <t>Quản trị</t>
        </is>
      </c>
      <c r="J65" s="23" t="n"/>
      <c r="K65" s="26" t="n"/>
      <c r="L65" s="23" t="n"/>
      <c r="M65" s="10" t="inlineStr">
        <is>
          <t>Trao đổi nghiệp vụ Sơn Cảng, 10-11/10/2026</t>
        </is>
      </c>
      <c r="N65" s="27" t="inlineStr">
        <is>
          <t>Đủ rõ để đặc tả</t>
        </is>
      </c>
      <c r="O65" s="28" t="inlineStr">
        <is>
          <t>Có lựa chọn được người dùng đánh dấu đã chốt; giữ nguyên câu trả lời và ghi chú.</t>
        </is>
      </c>
      <c r="P65" s="57" t="n"/>
      <c r="Q65" s="57" t="n"/>
      <c r="R65" s="57" t="n"/>
      <c r="S65" s="57" t="n"/>
      <c r="T65" s="57" t="n"/>
      <c r="U65" s="57" t="n"/>
      <c r="V65" s="57" t="n"/>
      <c r="W65" s="57" t="n"/>
      <c r="X65" s="57" t="n"/>
      <c r="Y65" s="57" t="n"/>
      <c r="Z65" s="57" t="n"/>
    </row>
    <row r="66" ht="54.75" customHeight="1" s="94">
      <c r="A66" s="29" t="inlineStr">
        <is>
          <t>P09</t>
        </is>
      </c>
      <c r="B66" s="30" t="inlineStr">
        <is>
          <t>05. Phân quyền</t>
        </is>
      </c>
      <c r="C66" s="39" t="inlineStr">
        <is>
          <t>P1</t>
        </is>
      </c>
      <c r="D66" s="16" t="inlineStr">
        <is>
          <t>Người dùng bị khóa/nghỉ việc thì dữ liệu lịch sử và quyền đăng nhập được xử lý thế nào?</t>
        </is>
      </c>
      <c r="E66" s="16" t="inlineStr">
        <is>
          <t>A. Vô hiệu hóa, giữ lịch sử; B. Quy trình khác.</t>
        </is>
      </c>
      <c r="F66" s="24" t="inlineStr">
        <is>
          <t>A</t>
        </is>
      </c>
      <c r="G66" s="23" t="n"/>
      <c r="H66" s="25" t="inlineStr">
        <is>
          <t>Đã chốt</t>
        </is>
      </c>
      <c r="I66" s="16" t="inlineStr">
        <is>
          <t>Quản trị</t>
        </is>
      </c>
      <c r="J66" s="23" t="n"/>
      <c r="K66" s="26" t="n"/>
      <c r="L66" s="23" t="n"/>
      <c r="M66" s="16" t="inlineStr">
        <is>
          <t>Trao đổi nghiệp vụ Sơn Cảng, 10-11/10/2026</t>
        </is>
      </c>
      <c r="N66" s="27" t="inlineStr">
        <is>
          <t>Đủ rõ để đặc tả</t>
        </is>
      </c>
      <c r="O66" s="28" t="inlineStr">
        <is>
          <t>Có lựa chọn được người dùng đánh dấu đã chốt; giữ nguyên câu trả lời và ghi chú.</t>
        </is>
      </c>
      <c r="P66" s="57" t="n"/>
      <c r="Q66" s="57" t="n"/>
      <c r="R66" s="57" t="n"/>
      <c r="S66" s="57" t="n"/>
      <c r="T66" s="57" t="n"/>
      <c r="U66" s="57" t="n"/>
      <c r="V66" s="57" t="n"/>
      <c r="W66" s="57" t="n"/>
      <c r="X66" s="57" t="n"/>
      <c r="Y66" s="57" t="n"/>
      <c r="Z66" s="57" t="n"/>
    </row>
    <row r="67" ht="54.75" customHeight="1" s="94">
      <c r="A67" s="17" t="inlineStr">
        <is>
          <t>P10</t>
        </is>
      </c>
      <c r="B67" s="18" t="inlineStr">
        <is>
          <t>05. Phân quyền</t>
        </is>
      </c>
      <c r="C67" s="40" t="inlineStr">
        <is>
          <t>P1</t>
        </is>
      </c>
      <c r="D67" s="10" t="inlineStr">
        <is>
          <t>CCKB có quyền xem và điều chỉnh trạng thái vé An ninh thu hay chỉ đọc?</t>
        </is>
      </c>
      <c r="E67" s="10" t="inlineStr">
        <is>
          <t>A. Chỉ xem; B. Có quyền báo sai lệch; C. Được chỉnh sau duyệt.</t>
        </is>
      </c>
      <c r="F67" s="24" t="inlineStr">
        <is>
          <t>A</t>
        </is>
      </c>
      <c r="G67" s="23" t="n"/>
      <c r="H67" s="25" t="inlineStr">
        <is>
          <t>Đã chốt</t>
        </is>
      </c>
      <c r="I67" s="10" t="inlineStr">
        <is>
          <t>Trưởng BP An ninh + CCKB</t>
        </is>
      </c>
      <c r="J67" s="23" t="n"/>
      <c r="K67" s="26" t="n"/>
      <c r="L67" s="23" t="n"/>
      <c r="M67" s="10" t="inlineStr">
        <is>
          <t>Trao đổi nghiệp vụ Sơn Cảng, 10-11/10/2026</t>
        </is>
      </c>
      <c r="N67" s="27" t="inlineStr">
        <is>
          <t>Đủ rõ để đặc tả</t>
        </is>
      </c>
      <c r="O67" s="28" t="inlineStr">
        <is>
          <t>Có lựa chọn được người dùng đánh dấu đã chốt; giữ nguyên câu trả lời và ghi chú.</t>
        </is>
      </c>
      <c r="P67" s="57" t="n"/>
      <c r="Q67" s="57" t="n"/>
      <c r="R67" s="57" t="n"/>
      <c r="S67" s="57" t="n"/>
      <c r="T67" s="57" t="n"/>
      <c r="U67" s="57" t="n"/>
      <c r="V67" s="57" t="n"/>
      <c r="W67" s="57" t="n"/>
      <c r="X67" s="57" t="n"/>
      <c r="Y67" s="57" t="n"/>
      <c r="Z67" s="57" t="n"/>
    </row>
    <row r="68" ht="64.5" customHeight="1" s="94">
      <c r="A68" s="29" t="inlineStr">
        <is>
          <t>D01</t>
        </is>
      </c>
      <c r="B68" s="30" t="inlineStr">
        <is>
          <t>06. Điều phối / container</t>
        </is>
      </c>
      <c r="C68" s="31" t="inlineStr">
        <is>
          <t>P0</t>
        </is>
      </c>
      <c r="D68" s="16" t="inlineStr">
        <is>
          <t>Điều phối nhập HÀNG/RỖNG lúc nào và có được để trống khi container vừa vào không?</t>
        </is>
      </c>
      <c r="E68" s="16" t="inlineStr">
        <is>
          <t>A. Bắt buộc trước khi tiếp nhận; B. Được trống, hoàn thiện trước ra; C. Linh hoạt theo ca.</t>
        </is>
      </c>
      <c r="F68" s="24" t="inlineStr">
        <is>
          <t>B</t>
        </is>
      </c>
      <c r="G68" s="25" t="inlineStr">
        <is>
          <t>được trống</t>
        </is>
      </c>
      <c r="H68" s="25" t="inlineStr">
        <is>
          <t>Đã chốt</t>
        </is>
      </c>
      <c r="I68" s="16" t="inlineStr">
        <is>
          <t>Trưởng BP Điều phối</t>
        </is>
      </c>
      <c r="J68" s="23" t="n"/>
      <c r="K68" s="26" t="n"/>
      <c r="L68" s="23" t="n"/>
      <c r="M68" s="16" t="inlineStr">
        <is>
          <t>Trao đổi nghiệp vụ Sơn Cảng, 10-11/10/2026</t>
        </is>
      </c>
      <c r="N68" s="27" t="inlineStr">
        <is>
          <t>Đủ rõ để đặc tả</t>
        </is>
      </c>
      <c r="O68" s="28" t="inlineStr">
        <is>
          <t>Có lựa chọn được người dùng đánh dấu đã chốt; giữ nguyên câu trả lời và ghi chú.</t>
        </is>
      </c>
      <c r="P68" s="57" t="n"/>
      <c r="Q68" s="57" t="n"/>
      <c r="R68" s="57" t="n"/>
      <c r="S68" s="57" t="n"/>
      <c r="T68" s="57" t="n"/>
      <c r="U68" s="57" t="n"/>
      <c r="V68" s="57" t="n"/>
      <c r="W68" s="57" t="n"/>
      <c r="X68" s="57" t="n"/>
      <c r="Y68" s="57" t="n"/>
      <c r="Z68" s="57" t="n"/>
    </row>
    <row r="69" ht="64.5" customHeight="1" s="94">
      <c r="A69" s="17" t="inlineStr">
        <is>
          <t>D02</t>
        </is>
      </c>
      <c r="B69" s="18" t="inlineStr">
        <is>
          <t>06. Điều phối / container</t>
        </is>
      </c>
      <c r="C69" s="40" t="inlineStr">
        <is>
          <t>P1</t>
        </is>
      </c>
      <c r="D69" s="10" t="inlineStr">
        <is>
          <t>Nếu Điều phối thay đổi HÀNG thành RỖNG (hoặc ngược lại), có cần ghi lý do/người xác nhận không?</t>
        </is>
      </c>
      <c r="E69" s="10" t="inlineStr">
        <is>
          <t>A. Có; B. Chỉ khi đã chốt; C. Khác.</t>
        </is>
      </c>
      <c r="F69" s="24" t="inlineStr">
        <is>
          <t>A</t>
        </is>
      </c>
      <c r="G69" s="25" t="inlineStr">
        <is>
          <t>ghi lí do k bắt bược</t>
        </is>
      </c>
      <c r="H69" s="25" t="inlineStr">
        <is>
          <t>Đã chốt</t>
        </is>
      </c>
      <c r="I69" s="10" t="inlineStr">
        <is>
          <t>Trưởng BP Điều phối</t>
        </is>
      </c>
      <c r="J69" s="23" t="n"/>
      <c r="K69" s="26" t="n"/>
      <c r="L69" s="23" t="n"/>
      <c r="M69" s="10" t="inlineStr">
        <is>
          <t>Trao đổi nghiệp vụ Sơn Cảng, 10-11/10/2026</t>
        </is>
      </c>
      <c r="N69" s="37" t="inlineStr">
        <is>
          <t>Cần làm rõ</t>
        </is>
      </c>
      <c r="O69" s="38" t="inlineStr">
        <is>
          <t>F=A ghi lý do nhưng G nói không bắt buộc. Chốt việc đổi HÀNG/RỖNG có bắt buộc lý do hay chỉ lưu audit.</t>
        </is>
      </c>
      <c r="P69" s="57" t="n"/>
      <c r="Q69" s="57" t="n"/>
      <c r="R69" s="57" t="n"/>
      <c r="S69" s="57" t="n"/>
      <c r="T69" s="57" t="n"/>
      <c r="U69" s="57" t="n"/>
      <c r="V69" s="57" t="n"/>
      <c r="W69" s="57" t="n"/>
      <c r="X69" s="57" t="n"/>
      <c r="Y69" s="57" t="n"/>
      <c r="Z69" s="57" t="n"/>
    </row>
    <row r="70" ht="54.75" customHeight="1" s="94">
      <c r="A70" s="29" t="inlineStr">
        <is>
          <t>D03</t>
        </is>
      </c>
      <c r="B70" s="30" t="inlineStr">
        <is>
          <t>06. Điều phối / container</t>
        </is>
      </c>
      <c r="C70" s="31" t="inlineStr">
        <is>
          <t>P0</t>
        </is>
      </c>
      <c r="D70" s="16" t="inlineStr">
        <is>
          <t>Xe vào mang container A, ra nhận container B: ai ghép ID_CONTAINER_RA với lượt xe ở bước cuối?</t>
        </is>
      </c>
      <c r="E70" s="16" t="inlineStr">
        <is>
          <t>A. An ninh chọn; B. Điều phối chỉ định, An ninh xác nhận; C. CCKB chọn.</t>
        </is>
      </c>
      <c r="F70" s="24" t="inlineStr">
        <is>
          <t>A</t>
        </is>
      </c>
      <c r="G70" s="23" t="n"/>
      <c r="H70" s="25" t="inlineStr">
        <is>
          <t>Đã chốt</t>
        </is>
      </c>
      <c r="I70" s="16" t="inlineStr">
        <is>
          <t>Trưởng BP An ninh + Điều phối</t>
        </is>
      </c>
      <c r="J70" s="23" t="n"/>
      <c r="K70" s="26" t="n"/>
      <c r="L70" s="23" t="n"/>
      <c r="M70" s="16" t="inlineStr">
        <is>
          <t>Trao đổi nghiệp vụ Sơn Cảng, 10-11/10/2026</t>
        </is>
      </c>
      <c r="N70" s="27" t="inlineStr">
        <is>
          <t>Đủ rõ để đặc tả</t>
        </is>
      </c>
      <c r="O70" s="28" t="inlineStr">
        <is>
          <t>Có lựa chọn được người dùng đánh dấu đã chốt; giữ nguyên câu trả lời và ghi chú.</t>
        </is>
      </c>
      <c r="P70" s="57" t="n"/>
      <c r="Q70" s="57" t="n"/>
      <c r="R70" s="57" t="n"/>
      <c r="S70" s="57" t="n"/>
      <c r="T70" s="57" t="n"/>
      <c r="U70" s="57" t="n"/>
      <c r="V70" s="57" t="n"/>
      <c r="W70" s="57" t="n"/>
      <c r="X70" s="57" t="n"/>
      <c r="Y70" s="57" t="n"/>
      <c r="Z70" s="57" t="n"/>
    </row>
    <row r="71" ht="60" customHeight="1" s="94">
      <c r="A71" s="17" t="inlineStr">
        <is>
          <t>D04</t>
        </is>
      </c>
      <c r="B71" s="18" t="inlineStr">
        <is>
          <t>06. Điều phối / container</t>
        </is>
      </c>
      <c r="C71" s="40" t="inlineStr">
        <is>
          <t>P1</t>
        </is>
      </c>
      <c r="D71" s="10" t="inlineStr">
        <is>
          <t>Có quản lý vị trí container (khu/bãi/dãy/ô) khi hạ, khi xếp lên xe hay chỉ kiểm soát có/không trong bãi?</t>
        </is>
      </c>
      <c r="E71" s="10" t="inlineStr">
        <is>
          <t>A. Chỉ trong bãi; B. Khu vực; C. Định vị ô/kệ.</t>
        </is>
      </c>
      <c r="F71" s="24" t="inlineStr">
        <is>
          <t>Khác</t>
        </is>
      </c>
      <c r="G71" s="25" t="inlineStr">
        <is>
          <t>Cả 3 luôn nhưng giai đoạn đâu chưa, phát triển phase sau</t>
        </is>
      </c>
      <c r="H71" s="25" t="inlineStr">
        <is>
          <t>Đã chốt</t>
        </is>
      </c>
      <c r="I71" s="10" t="inlineStr">
        <is>
          <t>Trưởng BP Điều phối</t>
        </is>
      </c>
      <c r="J71" s="23" t="n"/>
      <c r="K71" s="26" t="n"/>
      <c r="L71" s="23" t="n"/>
      <c r="M71" s="10" t="inlineStr">
        <is>
          <t>Trao đổi nghiệp vụ Sơn Cảng, 10-11/10/2026</t>
        </is>
      </c>
      <c r="N71" s="27" t="inlineStr">
        <is>
          <t>Đủ rõ để đặc tả</t>
        </is>
      </c>
      <c r="O71" s="28" t="inlineStr">
        <is>
          <t>Có lựa chọn được người dùng đánh dấu đã chốt; giữ nguyên câu trả lời và ghi chú.</t>
        </is>
      </c>
      <c r="P71" s="57" t="n"/>
      <c r="Q71" s="57" t="n"/>
      <c r="R71" s="57" t="n"/>
      <c r="S71" s="57" t="n"/>
      <c r="T71" s="57" t="n"/>
      <c r="U71" s="57" t="n"/>
      <c r="V71" s="57" t="n"/>
      <c r="W71" s="57" t="n"/>
      <c r="X71" s="57" t="n"/>
      <c r="Y71" s="57" t="n"/>
      <c r="Z71" s="57" t="n"/>
    </row>
    <row r="72" ht="60" customHeight="1" s="94">
      <c r="A72" s="29" t="inlineStr">
        <is>
          <t>D05</t>
        </is>
      </c>
      <c r="B72" s="30" t="inlineStr">
        <is>
          <t>06. Điều phối / container</t>
        </is>
      </c>
      <c r="C72" s="39" t="inlineStr">
        <is>
          <t>P1</t>
        </is>
      </c>
      <c r="D72" s="16" t="inlineStr">
        <is>
          <t>Một số container có thể vào/ra bãi nhiều lần: hệ thống có cần hiển thị lịch sử theo số cont và phân biệt bằng lượt ID không?</t>
        </is>
      </c>
      <c r="E72" s="16" t="inlineStr">
        <is>
          <t>A. Có, lịch sử nhiều lượt; B. Quy tắc khác.</t>
        </is>
      </c>
      <c r="F72" s="24" t="inlineStr">
        <is>
          <t>A</t>
        </is>
      </c>
      <c r="G72" s="23" t="n"/>
      <c r="H72" s="25" t="inlineStr">
        <is>
          <t>Đã chốt</t>
        </is>
      </c>
      <c r="I72" s="16" t="inlineStr">
        <is>
          <t>Trưởng BP Điều phối + Quản trị</t>
        </is>
      </c>
      <c r="J72" s="23" t="n"/>
      <c r="K72" s="26" t="n"/>
      <c r="L72" s="23" t="n"/>
      <c r="M72" s="16" t="inlineStr">
        <is>
          <t>Trao đổi nghiệp vụ Sơn Cảng, 10-11/10/2026</t>
        </is>
      </c>
      <c r="N72" s="27" t="inlineStr">
        <is>
          <t>Đủ rõ để đặc tả</t>
        </is>
      </c>
      <c r="O72" s="28" t="inlineStr">
        <is>
          <t>Có lựa chọn được người dùng đánh dấu đã chốt; giữ nguyên câu trả lời và ghi chú.</t>
        </is>
      </c>
      <c r="P72" s="57" t="n"/>
      <c r="Q72" s="57" t="n"/>
      <c r="R72" s="57" t="n"/>
      <c r="S72" s="57" t="n"/>
      <c r="T72" s="57" t="n"/>
      <c r="U72" s="57" t="n"/>
      <c r="V72" s="57" t="n"/>
      <c r="W72" s="57" t="n"/>
      <c r="X72" s="57" t="n"/>
      <c r="Y72" s="57" t="n"/>
      <c r="Z72" s="57" t="n"/>
    </row>
    <row r="73" ht="64.5" customHeight="1" s="94">
      <c r="A73" s="17" t="inlineStr">
        <is>
          <t>D06</t>
        </is>
      </c>
      <c r="B73" s="18" t="inlineStr">
        <is>
          <t>06. Điều phối / container</t>
        </is>
      </c>
      <c r="C73" s="40" t="inlineStr">
        <is>
          <t>P1</t>
        </is>
      </c>
      <c r="D73" s="10" t="inlineStr">
        <is>
          <t>Khi số container gõ nhầm hoặc khác so với trên vé, người nào được xác nhận sửa thông tin?</t>
        </is>
      </c>
      <c r="E73" s="10" t="inlineStr">
        <is>
          <t>A. An ninh sửa trước ra; B. Điều phối duyệt; C. TBP An ninh duyệt.</t>
        </is>
      </c>
      <c r="F73" s="24" t="inlineStr">
        <is>
          <t>A</t>
        </is>
      </c>
      <c r="G73" s="25" t="inlineStr">
        <is>
          <t>TBP thì sửa trực tiếp</t>
        </is>
      </c>
      <c r="H73" s="25" t="inlineStr">
        <is>
          <t>Đã chốt</t>
        </is>
      </c>
      <c r="I73" s="10" t="inlineStr">
        <is>
          <t>Trưởng BP Điều phối + An ninh</t>
        </is>
      </c>
      <c r="J73" s="23" t="n"/>
      <c r="K73" s="26" t="n"/>
      <c r="L73" s="23" t="n"/>
      <c r="M73" s="10" t="inlineStr">
        <is>
          <t>Trao đổi nghiệp vụ Sơn Cảng, 10-11/10/2026</t>
        </is>
      </c>
      <c r="N73" s="32" t="inlineStr">
        <is>
          <t>Cần làm rõ</t>
        </is>
      </c>
      <c r="O73" s="33" t="inlineStr">
        <is>
          <t>F=A NV An ninh sửa; G TBP được sửa trực tiếp; yêu cầu mới An ninh sửa và báo CCKB. Cần ngưỡng quyền sau thu/ra.</t>
        </is>
      </c>
      <c r="P73" s="57" t="n"/>
      <c r="Q73" s="57" t="n"/>
      <c r="R73" s="57" t="n"/>
      <c r="S73" s="57" t="n"/>
      <c r="T73" s="57" t="n"/>
      <c r="U73" s="57" t="n"/>
      <c r="V73" s="57" t="n"/>
      <c r="W73" s="57" t="n"/>
      <c r="X73" s="57" t="n"/>
      <c r="Y73" s="57" t="n"/>
      <c r="Z73" s="57" t="n"/>
    </row>
    <row r="74" ht="60" customHeight="1" s="94">
      <c r="A74" s="29" t="inlineStr">
        <is>
          <t>R01</t>
        </is>
      </c>
      <c r="B74" s="30" t="inlineStr">
        <is>
          <t>07. Báo cáo / đối soát</t>
        </is>
      </c>
      <c r="C74" s="39" t="inlineStr">
        <is>
          <t>P1</t>
        </is>
      </c>
      <c r="D74" s="16" t="inlineStr">
        <is>
          <t>Báo cáo doanh thu yêu cầu chi tiết theo ca, ngày, tháng, loại phí, nhân viên, bộ phận hay tổng hợp nào?</t>
        </is>
      </c>
      <c r="E74" s="16" t="inlineStr">
        <is>
          <t>A. Tất cả; B. Theo nhóm được chọn; C. Báo cáo mẫu riêng.</t>
        </is>
      </c>
      <c r="F74" s="24" t="inlineStr">
        <is>
          <t>A</t>
        </is>
      </c>
      <c r="G74" s="23" t="n"/>
      <c r="H74" s="25" t="inlineStr">
        <is>
          <t>Đã chốt</t>
        </is>
      </c>
      <c r="I74" s="16" t="inlineStr">
        <is>
          <t>Các TBP + Kế toán</t>
        </is>
      </c>
      <c r="J74" s="23" t="n"/>
      <c r="K74" s="26" t="n"/>
      <c r="L74" s="23" t="n"/>
      <c r="M74" s="16" t="inlineStr">
        <is>
          <t>Trao đổi nghiệp vụ Sơn Cảng, 10-11/10/2026</t>
        </is>
      </c>
      <c r="N74" s="27" t="inlineStr">
        <is>
          <t>Đủ rõ để đặc tả</t>
        </is>
      </c>
      <c r="O74" s="28" t="inlineStr">
        <is>
          <t>Có lựa chọn được người dùng đánh dấu đã chốt; giữ nguyên câu trả lời và ghi chú.</t>
        </is>
      </c>
      <c r="P74" s="57" t="n"/>
      <c r="Q74" s="57" t="n"/>
      <c r="R74" s="57" t="n"/>
      <c r="S74" s="57" t="n"/>
      <c r="T74" s="57" t="n"/>
      <c r="U74" s="57" t="n"/>
      <c r="V74" s="57" t="n"/>
      <c r="W74" s="57" t="n"/>
      <c r="X74" s="57" t="n"/>
      <c r="Y74" s="57" t="n"/>
      <c r="Z74" s="57" t="n"/>
    </row>
    <row r="75" ht="64.5" customHeight="1" s="94">
      <c r="A75" s="17" t="inlineStr">
        <is>
          <t>R02</t>
        </is>
      </c>
      <c r="B75" s="18" t="inlineStr">
        <is>
          <t>07. Báo cáo / đối soát</t>
        </is>
      </c>
      <c r="C75" s="40" t="inlineStr">
        <is>
          <t>P1</t>
        </is>
      </c>
      <c r="D75" s="10" t="inlineStr">
        <is>
          <t>Cần giao ca trên PWA với số dư tiền mặt, biên bản đối soát, người bàn giao/người nhận không?</t>
        </is>
      </c>
      <c r="E75" s="10" t="inlineStr">
        <is>
          <t>A. Có; B. Chỉ báo cáo cuối ca; C. Giao ca ngoài hệ thống.</t>
        </is>
      </c>
      <c r="F75" s="24" t="inlineStr">
        <is>
          <t>C</t>
        </is>
      </c>
      <c r="G75" s="25" t="inlineStr">
        <is>
          <t>Trc mắt ngoài hệ thống</t>
        </is>
      </c>
      <c r="H75" s="25" t="inlineStr">
        <is>
          <t>Đã chốt</t>
        </is>
      </c>
      <c r="I75" s="10" t="inlineStr">
        <is>
          <t>Trưởng BP An ninh + CCKB</t>
        </is>
      </c>
      <c r="J75" s="23" t="n"/>
      <c r="K75" s="26" t="n"/>
      <c r="L75" s="23" t="n"/>
      <c r="M75" s="10" t="inlineStr">
        <is>
          <t>Trao đổi nghiệp vụ Sơn Cảng, 10-11/10/2026</t>
        </is>
      </c>
      <c r="N75" s="27" t="inlineStr">
        <is>
          <t>Đủ rõ để đặc tả</t>
        </is>
      </c>
      <c r="O75" s="28" t="inlineStr">
        <is>
          <t>Có lựa chọn được người dùng đánh dấu đã chốt; giữ nguyên câu trả lời và ghi chú.</t>
        </is>
      </c>
      <c r="P75" s="57" t="n"/>
      <c r="Q75" s="57" t="n"/>
      <c r="R75" s="57" t="n"/>
      <c r="S75" s="57" t="n"/>
      <c r="T75" s="57" t="n"/>
      <c r="U75" s="57" t="n"/>
      <c r="V75" s="57" t="n"/>
      <c r="W75" s="57" t="n"/>
      <c r="X75" s="57" t="n"/>
      <c r="Y75" s="57" t="n"/>
      <c r="Z75" s="57" t="n"/>
    </row>
    <row r="76" ht="60" customHeight="1" s="94">
      <c r="A76" s="29" t="inlineStr">
        <is>
          <t>R03</t>
        </is>
      </c>
      <c r="B76" s="30" t="inlineStr">
        <is>
          <t>07. Báo cáo / đối soát</t>
        </is>
      </c>
      <c r="C76" s="39" t="inlineStr">
        <is>
          <t>P1</t>
        </is>
      </c>
      <c r="D76" s="16" t="inlineStr">
        <is>
          <t>Cần bảng theo dõi xe quá hạn, container còn lưu nhiều ngày, điện chưa rút, chưa thu tiền và thông báo tự động không?</t>
        </is>
      </c>
      <c r="E76" s="16" t="inlineStr">
        <is>
          <t>A. Có tất cả; B. Chỉ danh sách; C. Chọn cảnh báo cụ thể.</t>
        </is>
      </c>
      <c r="F76" s="24" t="inlineStr">
        <is>
          <t>A</t>
        </is>
      </c>
      <c r="G76" s="23" t="n"/>
      <c r="H76" s="25" t="inlineStr">
        <is>
          <t>Đã chốt</t>
        </is>
      </c>
      <c r="I76" s="16" t="inlineStr">
        <is>
          <t>Các TBP</t>
        </is>
      </c>
      <c r="J76" s="23" t="n"/>
      <c r="K76" s="26" t="n"/>
      <c r="L76" s="23" t="n"/>
      <c r="M76" s="16" t="inlineStr">
        <is>
          <t>Trao đổi nghiệp vụ Sơn Cảng, 10-11/10/2026</t>
        </is>
      </c>
      <c r="N76" s="27" t="inlineStr">
        <is>
          <t>Đủ rõ để đặc tả</t>
        </is>
      </c>
      <c r="O76" s="28" t="inlineStr">
        <is>
          <t>Có lựa chọn được người dùng đánh dấu đã chốt; giữ nguyên câu trả lời và ghi chú.</t>
        </is>
      </c>
      <c r="P76" s="57" t="n"/>
      <c r="Q76" s="57" t="n"/>
      <c r="R76" s="57" t="n"/>
      <c r="S76" s="57" t="n"/>
      <c r="T76" s="57" t="n"/>
      <c r="U76" s="57" t="n"/>
      <c r="V76" s="57" t="n"/>
      <c r="W76" s="57" t="n"/>
      <c r="X76" s="57" t="n"/>
      <c r="Y76" s="57" t="n"/>
      <c r="Z76" s="57" t="n"/>
    </row>
    <row r="77" ht="54.75" customHeight="1" s="94">
      <c r="A77" s="17" t="inlineStr">
        <is>
          <t>R04</t>
        </is>
      </c>
      <c r="B77" s="18" t="inlineStr">
        <is>
          <t>07. Báo cáo / đối soát</t>
        </is>
      </c>
      <c r="C77" s="46" t="inlineStr">
        <is>
          <t>P2</t>
        </is>
      </c>
      <c r="D77" s="10" t="inlineStr">
        <is>
          <t>Các báo cáo xuất Excel/PDF có cần theo mẫu nội bộ và phân quyền người tải xuống?</t>
        </is>
      </c>
      <c r="E77" s="10" t="inlineStr">
        <is>
          <t>A. Excel; B. Excel + PDF; C. Có mẫu ban hành.</t>
        </is>
      </c>
      <c r="F77" s="24" t="inlineStr">
        <is>
          <t>B</t>
        </is>
      </c>
      <c r="G77" s="23" t="n"/>
      <c r="H77" s="25" t="inlineStr">
        <is>
          <t>Đã chốt</t>
        </is>
      </c>
      <c r="I77" s="10" t="inlineStr">
        <is>
          <t>Các TBP</t>
        </is>
      </c>
      <c r="J77" s="23" t="n"/>
      <c r="K77" s="26" t="n"/>
      <c r="L77" s="23" t="n"/>
      <c r="M77" s="10" t="inlineStr">
        <is>
          <t>Trao đổi nghiệp vụ Sơn Cảng, 10-11/10/2026</t>
        </is>
      </c>
      <c r="N77" s="27" t="inlineStr">
        <is>
          <t>Đủ rõ để đặc tả</t>
        </is>
      </c>
      <c r="O77" s="28" t="inlineStr">
        <is>
          <t>Có lựa chọn được người dùng đánh dấu đã chốt; giữ nguyên câu trả lời và ghi chú.</t>
        </is>
      </c>
      <c r="P77" s="57" t="n"/>
      <c r="Q77" s="57" t="n"/>
      <c r="R77" s="57" t="n"/>
      <c r="S77" s="57" t="n"/>
      <c r="T77" s="57" t="n"/>
      <c r="U77" s="57" t="n"/>
      <c r="V77" s="57" t="n"/>
      <c r="W77" s="57" t="n"/>
      <c r="X77" s="57" t="n"/>
      <c r="Y77" s="57" t="n"/>
      <c r="Z77" s="57" t="n"/>
    </row>
    <row r="78" ht="60" customHeight="1" s="94">
      <c r="A78" s="29" t="inlineStr">
        <is>
          <t>R05</t>
        </is>
      </c>
      <c r="B78" s="30" t="inlineStr">
        <is>
          <t>07. Báo cáo / đối soát</t>
        </is>
      </c>
      <c r="C78" s="39" t="inlineStr">
        <is>
          <t>P1</t>
        </is>
      </c>
      <c r="D78" s="16" t="inlineStr">
        <is>
          <t>Người quản lý muốn dashboard thời gian thực chỉ số nào: xe trong bãi, cont trong bãi, cont đang cắm, doanh thu, công nợ?</t>
        </is>
      </c>
      <c r="E78" s="16" t="inlineStr">
        <is>
          <t>A. Tất cả; B. Chọn KPI cụ thể; C. Xem theo bộ phận.</t>
        </is>
      </c>
      <c r="F78" s="24" t="inlineStr">
        <is>
          <t>A</t>
        </is>
      </c>
      <c r="G78" s="23" t="n"/>
      <c r="H78" s="25" t="inlineStr">
        <is>
          <t>Đã chốt</t>
        </is>
      </c>
      <c r="I78" s="16" t="inlineStr">
        <is>
          <t>Ban quản lý Sơn Cảng</t>
        </is>
      </c>
      <c r="J78" s="23" t="n"/>
      <c r="K78" s="26" t="n"/>
      <c r="L78" s="23" t="n"/>
      <c r="M78" s="16" t="inlineStr">
        <is>
          <t>Trao đổi nghiệp vụ Sơn Cảng, 10-11/10/2026</t>
        </is>
      </c>
      <c r="N78" s="27" t="inlineStr">
        <is>
          <t>Đủ rõ để đặc tả</t>
        </is>
      </c>
      <c r="O78" s="28" t="inlineStr">
        <is>
          <t>Có lựa chọn được người dùng đánh dấu đã chốt; giữ nguyên câu trả lời và ghi chú.</t>
        </is>
      </c>
      <c r="P78" s="57" t="n"/>
      <c r="Q78" s="57" t="n"/>
      <c r="R78" s="57" t="n"/>
      <c r="S78" s="57" t="n"/>
      <c r="T78" s="57" t="n"/>
      <c r="U78" s="57" t="n"/>
      <c r="V78" s="57" t="n"/>
      <c r="W78" s="57" t="n"/>
      <c r="X78" s="57" t="n"/>
      <c r="Y78" s="57" t="n"/>
      <c r="Z78" s="57" t="n"/>
    </row>
    <row r="79" ht="54.75" customHeight="1" s="94">
      <c r="A79" s="17" t="inlineStr">
        <is>
          <t>R06</t>
        </is>
      </c>
      <c r="B79" s="18" t="inlineStr">
        <is>
          <t>07. Báo cáo / đối soát</t>
        </is>
      </c>
      <c r="C79" s="40" t="inlineStr">
        <is>
          <t>P1</t>
        </is>
      </c>
      <c r="D79" s="10" t="inlineStr">
        <is>
          <t>Có bắt buộc đối chiếu sao kê chuyển khoản với chứng từ và ghi lịch sử xác minh trên PWA không?</t>
        </is>
      </c>
      <c r="E79" s="10" t="inlineStr">
        <is>
          <t>A. Có; B. Đối soát ngoài hệ thống; C. Theo hạn mức.</t>
        </is>
      </c>
      <c r="F79" s="24" t="inlineStr">
        <is>
          <t>B</t>
        </is>
      </c>
      <c r="G79" s="23" t="n"/>
      <c r="H79" s="25" t="inlineStr">
        <is>
          <t>Đã chốt</t>
        </is>
      </c>
      <c r="I79" s="10" t="inlineStr">
        <is>
          <t>Trưởng BP CCKB + Kế toán</t>
        </is>
      </c>
      <c r="J79" s="23" t="n"/>
      <c r="K79" s="26" t="n"/>
      <c r="L79" s="23" t="n"/>
      <c r="M79" s="10" t="inlineStr">
        <is>
          <t>Trao đổi nghiệp vụ Sơn Cảng, 10-11/10/2026</t>
        </is>
      </c>
      <c r="N79" s="27" t="inlineStr">
        <is>
          <t>Đủ rõ để đặc tả</t>
        </is>
      </c>
      <c r="O79" s="28" t="inlineStr">
        <is>
          <t>Có lựa chọn được người dùng đánh dấu đã chốt; giữ nguyên câu trả lời và ghi chú.</t>
        </is>
      </c>
      <c r="P79" s="57" t="n"/>
      <c r="Q79" s="57" t="n"/>
      <c r="R79" s="57" t="n"/>
      <c r="S79" s="57" t="n"/>
      <c r="T79" s="57" t="n"/>
      <c r="U79" s="57" t="n"/>
      <c r="V79" s="57" t="n"/>
      <c r="W79" s="57" t="n"/>
      <c r="X79" s="57" t="n"/>
      <c r="Y79" s="57" t="n"/>
      <c r="Z79" s="57" t="n"/>
    </row>
    <row r="80" ht="64.5" customHeight="1" s="94">
      <c r="A80" s="29" t="inlineStr">
        <is>
          <t>R07</t>
        </is>
      </c>
      <c r="B80" s="30" t="inlineStr">
        <is>
          <t>07. Báo cáo / đối soát</t>
        </is>
      </c>
      <c r="C80" s="47" t="inlineStr">
        <is>
          <t>P2</t>
        </is>
      </c>
      <c r="D80" s="16" t="inlineStr">
        <is>
          <t>Các báo cáo cần tự động gửi qua email/Zalo theo lịch hay chỉ xem khi đăng nhập?</t>
        </is>
      </c>
      <c r="E80" s="16" t="inlineStr">
        <is>
          <t>A. Chỉ trong app; B. Gửi email; C. Tích hợp Zalo sau.</t>
        </is>
      </c>
      <c r="F80" s="24" t="inlineStr">
        <is>
          <t>B</t>
        </is>
      </c>
      <c r="G80" s="25" t="inlineStr">
        <is>
          <t>cả 3, zalo thì sau</t>
        </is>
      </c>
      <c r="H80" s="25" t="inlineStr">
        <is>
          <t>Đã chốt</t>
        </is>
      </c>
      <c r="I80" s="16" t="inlineStr">
        <is>
          <t>Ban quản lý Sơn Cảng</t>
        </is>
      </c>
      <c r="J80" s="23" t="n"/>
      <c r="K80" s="26" t="n"/>
      <c r="L80" s="23" t="n"/>
      <c r="M80" s="16" t="inlineStr">
        <is>
          <t>Trao đổi nghiệp vụ Sơn Cảng, 10-11/10/2026</t>
        </is>
      </c>
      <c r="N80" s="27" t="inlineStr">
        <is>
          <t>Đủ rõ để đặc tả</t>
        </is>
      </c>
      <c r="O80" s="28" t="inlineStr">
        <is>
          <t>Có lựa chọn được người dùng đánh dấu đã chốt; giữ nguyên câu trả lời và ghi chú.</t>
        </is>
      </c>
      <c r="P80" s="57" t="n"/>
      <c r="Q80" s="57" t="n"/>
      <c r="R80" s="57" t="n"/>
      <c r="S80" s="57" t="n"/>
      <c r="T80" s="57" t="n"/>
      <c r="U80" s="57" t="n"/>
      <c r="V80" s="57" t="n"/>
      <c r="W80" s="57" t="n"/>
      <c r="X80" s="57" t="n"/>
      <c r="Y80" s="57" t="n"/>
      <c r="Z80" s="57" t="n"/>
    </row>
    <row r="81" ht="54.75" customHeight="1" s="94">
      <c r="A81" s="17" t="inlineStr">
        <is>
          <t>K01</t>
        </is>
      </c>
      <c r="B81" s="18" t="inlineStr">
        <is>
          <t>08. Kỹ thuật / bảo mật</t>
        </is>
      </c>
      <c r="C81" s="19" t="inlineStr">
        <is>
          <t>P0</t>
        </is>
      </c>
      <c r="D81" s="10" t="inlineStr">
        <is>
          <t>Phần mềm chạy trên tên miền/subdomain nào và ai chịu trách nhiệm quản trị máy chủ?</t>
        </is>
      </c>
      <c r="E81" s="10" t="inlineStr">
        <is>
          <t>A. Subdomain talunglogistics.com; B. Domain riêng; C. Chưa quyết.</t>
        </is>
      </c>
      <c r="F81" s="55" t="inlineStr">
        <is>
          <t>A</t>
        </is>
      </c>
      <c r="G81" s="55" t="inlineStr">
        <is>
          <t>hoặc vercel domain free</t>
        </is>
      </c>
      <c r="H81" s="25" t="inlineStr">
        <is>
          <t>Đã chốt</t>
        </is>
      </c>
      <c r="I81" s="10" t="inlineStr">
        <is>
          <t>Quản trị + CNTT</t>
        </is>
      </c>
      <c r="J81" s="23" t="n"/>
      <c r="K81" s="26" t="n"/>
      <c r="L81" s="23" t="n"/>
      <c r="M81" s="10" t="inlineStr">
        <is>
          <t>Trao đổi nghiệp vụ Sơn Cảng, 10-11/10/2026</t>
        </is>
      </c>
      <c r="N81" s="32" t="inlineStr">
        <is>
          <t>Chưa trả lời</t>
        </is>
      </c>
      <c r="O81" s="33" t="inlineStr">
        <is>
          <t>K01: ô lựa chọn thật sự để trống trong file V1, dù cột H được đánh dấu Đã chốt. Cần chọn tên miền/subdomain.</t>
        </is>
      </c>
      <c r="P81" s="57" t="n"/>
      <c r="Q81" s="57" t="n"/>
      <c r="R81" s="57" t="n"/>
      <c r="S81" s="57" t="n"/>
      <c r="T81" s="57" t="n"/>
      <c r="U81" s="57" t="n"/>
      <c r="V81" s="57" t="n"/>
      <c r="W81" s="57" t="n"/>
      <c r="X81" s="57" t="n"/>
      <c r="Y81" s="57" t="n"/>
      <c r="Z81" s="57" t="n"/>
    </row>
    <row r="82" ht="64.5" customHeight="1" s="94">
      <c r="A82" s="29" t="inlineStr">
        <is>
          <t>K02</t>
        </is>
      </c>
      <c r="B82" s="30" t="inlineStr">
        <is>
          <t>08. Kỹ thuật / bảo mật</t>
        </is>
      </c>
      <c r="C82" s="31" t="inlineStr">
        <is>
          <t>P0</t>
        </is>
      </c>
      <c r="D82" s="16" t="inlineStr">
        <is>
          <t>Cơ sở dữ liệu, backend, hosting chọn theo phương án nào? Có yêu cầu dữ liệu lưu tại Việt Nam không?</t>
        </is>
      </c>
      <c r="E82" s="16" t="inlineStr">
        <is>
          <t>A. Đề xuất Next.js + PostgreSQL; B. Hạ tầng đang có; C. Phương án khác (cần thẩm định).</t>
        </is>
      </c>
      <c r="F82" s="24" t="inlineStr">
        <is>
          <t>A</t>
        </is>
      </c>
      <c r="G82" s="25" t="inlineStr">
        <is>
          <t>công cụ free supabase, vercel</t>
        </is>
      </c>
      <c r="H82" s="25" t="inlineStr">
        <is>
          <t>Đã chốt</t>
        </is>
      </c>
      <c r="I82" s="16" t="inlineStr">
        <is>
          <t>CNTT + Ban quản lý</t>
        </is>
      </c>
      <c r="J82" s="23" t="n"/>
      <c r="K82" s="26" t="n"/>
      <c r="L82" s="23" t="n"/>
      <c r="M82" s="16" t="inlineStr">
        <is>
          <t>Trao đổi nghiệp vụ Sơn Cảng, 10-11/10/2026</t>
        </is>
      </c>
      <c r="N82" s="27" t="inlineStr">
        <is>
          <t>Đủ rõ để đặc tả</t>
        </is>
      </c>
      <c r="O82" s="28" t="inlineStr">
        <is>
          <t>Có lựa chọn được người dùng đánh dấu đã chốt; giữ nguyên câu trả lời và ghi chú.</t>
        </is>
      </c>
      <c r="P82" s="57" t="n"/>
      <c r="Q82" s="57" t="n"/>
      <c r="R82" s="57" t="n"/>
      <c r="S82" s="57" t="n"/>
      <c r="T82" s="57" t="n"/>
      <c r="U82" s="57" t="n"/>
      <c r="V82" s="57" t="n"/>
      <c r="W82" s="57" t="n"/>
      <c r="X82" s="57" t="n"/>
      <c r="Y82" s="57" t="n"/>
      <c r="Z82" s="57" t="n"/>
    </row>
    <row r="83" ht="60" customHeight="1" s="94">
      <c r="A83" s="17" t="inlineStr">
        <is>
          <t>K03</t>
        </is>
      </c>
      <c r="B83" s="18" t="inlineStr">
        <is>
          <t>08. Kỹ thuật / bảo mật</t>
        </is>
      </c>
      <c r="C83" s="19" t="inlineStr">
        <is>
          <t>P0</t>
        </is>
      </c>
      <c r="D83" s="10" t="inlineStr">
        <is>
          <t>Khi mất Internet tại cổng: cho phép nhập lượt xe offline nhưng chặn xác nhận xuất, hay cho phép xuất theo quy trình ngoại lệ?</t>
        </is>
      </c>
      <c r="E83" s="10" t="inlineStr">
        <is>
          <t>A. Offline chỉ nhập/đợi đồng bộ; B. Cho xuất ngoại lệ có chứng từ/TBP; C. Chỉ online.</t>
        </is>
      </c>
      <c r="F83" s="24" t="inlineStr">
        <is>
          <t>A</t>
        </is>
      </c>
      <c r="G83" s="23" t="n"/>
      <c r="H83" s="25" t="inlineStr">
        <is>
          <t>Đã chốt</t>
        </is>
      </c>
      <c r="I83" s="10" t="inlineStr">
        <is>
          <t>CNTT + Trưởng BP An ninh + CCKB</t>
        </is>
      </c>
      <c r="J83" s="23" t="n"/>
      <c r="K83" s="26" t="n"/>
      <c r="L83" s="23" t="n"/>
      <c r="M83" s="10" t="inlineStr">
        <is>
          <t>Trao đổi nghiệp vụ Sơn Cảng, 10-11/10/2026</t>
        </is>
      </c>
      <c r="N83" s="27" t="inlineStr">
        <is>
          <t>Đủ rõ để đặc tả</t>
        </is>
      </c>
      <c r="O83" s="28" t="inlineStr">
        <is>
          <t>Có lựa chọn được người dùng đánh dấu đã chốt; giữ nguyên câu trả lời và ghi chú.</t>
        </is>
      </c>
      <c r="P83" s="57" t="n"/>
      <c r="Q83" s="57" t="n"/>
      <c r="R83" s="57" t="n"/>
      <c r="S83" s="57" t="n"/>
      <c r="T83" s="57" t="n"/>
      <c r="U83" s="57" t="n"/>
      <c r="V83" s="57" t="n"/>
      <c r="W83" s="57" t="n"/>
      <c r="X83" s="57" t="n"/>
      <c r="Y83" s="57" t="n"/>
      <c r="Z83" s="57" t="n"/>
    </row>
    <row r="84" ht="60" customHeight="1" s="94">
      <c r="A84" s="29" t="inlineStr">
        <is>
          <t>K04</t>
        </is>
      </c>
      <c r="B84" s="30" t="inlineStr">
        <is>
          <t>08. Kỹ thuật / bảo mật</t>
        </is>
      </c>
      <c r="C84" s="31" t="inlineStr">
        <is>
          <t>P0</t>
        </is>
      </c>
      <c r="D84" s="16" t="inlineStr">
        <is>
          <t>PWA dùng điện thoại cá nhân hay thiết bị công ty? Có yêu cầu camera chụp chứng từ/quét QR số container không?</t>
        </is>
      </c>
      <c r="E84" s="16" t="inlineStr">
        <is>
          <t>A. Điện thoại + PC; B. Thiết bị công ty; C. Cần đầu đọc/QR.</t>
        </is>
      </c>
      <c r="F84" s="24" t="inlineStr">
        <is>
          <t>A</t>
        </is>
      </c>
      <c r="G84" s="25" t="inlineStr">
        <is>
          <t>A và B</t>
        </is>
      </c>
      <c r="H84" s="25" t="inlineStr">
        <is>
          <t>Đã chốt</t>
        </is>
      </c>
      <c r="I84" s="16" t="inlineStr">
        <is>
          <t>CNTT + Các TBP</t>
        </is>
      </c>
      <c r="J84" s="23" t="n"/>
      <c r="K84" s="26" t="n"/>
      <c r="L84" s="23" t="n"/>
      <c r="M84" s="16" t="inlineStr">
        <is>
          <t>Trao đổi nghiệp vụ Sơn Cảng, 10-11/10/2026</t>
        </is>
      </c>
      <c r="N84" s="37" t="inlineStr">
        <is>
          <t>Cần làm rõ</t>
        </is>
      </c>
      <c r="O84" s="38" t="inlineStr">
        <is>
          <t>F=A, G=A và B: hỗ trợ điện thoại/PC và cả thiết bị công ty; cần phân biệt cấu hình ưu tiên.</t>
        </is>
      </c>
      <c r="P84" s="57" t="n"/>
      <c r="Q84" s="57" t="n"/>
      <c r="R84" s="57" t="n"/>
      <c r="S84" s="57" t="n"/>
      <c r="T84" s="57" t="n"/>
      <c r="U84" s="57" t="n"/>
      <c r="V84" s="57" t="n"/>
      <c r="W84" s="57" t="n"/>
      <c r="X84" s="57" t="n"/>
      <c r="Y84" s="57" t="n"/>
      <c r="Z84" s="57" t="n"/>
    </row>
    <row r="85" ht="64.5" customHeight="1" s="94">
      <c r="A85" s="17" t="inlineStr">
        <is>
          <t>K05</t>
        </is>
      </c>
      <c r="B85" s="18" t="inlineStr">
        <is>
          <t>08. Kỹ thuật / bảo mật</t>
        </is>
      </c>
      <c r="C85" s="40" t="inlineStr">
        <is>
          <t>P1</t>
        </is>
      </c>
      <c r="D85" s="10" t="inlineStr">
        <is>
          <t>Có cần bắt buộc đăng nhập 2 yếu tố với quản trị/TBP, phân quyền theo phiên đăng nhập/thiết bị không?</t>
        </is>
      </c>
      <c r="E85" s="10" t="inlineStr">
        <is>
          <t>A. 2FA cho TBP/Quản trị; B. Toàn bộ; C. SSO Google.</t>
        </is>
      </c>
      <c r="F85" s="24" t="inlineStr">
        <is>
          <t>Khác</t>
        </is>
      </c>
      <c r="G85" s="25" t="inlineStr">
        <is>
          <t>Chưa áp dụng nhưng có thì tốt</t>
        </is>
      </c>
      <c r="H85" s="25" t="inlineStr">
        <is>
          <t>Đã chốt</t>
        </is>
      </c>
      <c r="I85" s="10" t="inlineStr">
        <is>
          <t>CNTT</t>
        </is>
      </c>
      <c r="J85" s="23" t="n"/>
      <c r="K85" s="26" t="n"/>
      <c r="L85" s="23" t="n"/>
      <c r="M85" s="10" t="inlineStr">
        <is>
          <t>Trao đổi nghiệp vụ Sơn Cảng, 10-11/10/2026</t>
        </is>
      </c>
      <c r="N85" s="37" t="inlineStr">
        <is>
          <t>Cần làm rõ</t>
        </is>
      </c>
      <c r="O85" s="38" t="inlineStr">
        <is>
          <t>G: 2FA chưa áp dụng nhưng có thì tốt; cần ghi đúng là nâng cấp sau, không coi là bắt buộc V1.</t>
        </is>
      </c>
      <c r="P85" s="57" t="n"/>
      <c r="Q85" s="57" t="n"/>
      <c r="R85" s="57" t="n"/>
      <c r="S85" s="57" t="n"/>
      <c r="T85" s="57" t="n"/>
      <c r="U85" s="57" t="n"/>
      <c r="V85" s="57" t="n"/>
      <c r="W85" s="57" t="n"/>
      <c r="X85" s="57" t="n"/>
      <c r="Y85" s="57" t="n"/>
      <c r="Z85" s="57" t="n"/>
    </row>
    <row r="86" ht="64.5" customHeight="1" s="94">
      <c r="A86" s="29" t="inlineStr">
        <is>
          <t>K06</t>
        </is>
      </c>
      <c r="B86" s="30" t="inlineStr">
        <is>
          <t>08. Kỹ thuật / bảo mật</t>
        </is>
      </c>
      <c r="C86" s="39" t="inlineStr">
        <is>
          <t>P1</t>
        </is>
      </c>
      <c r="D86" s="16" t="inlineStr">
        <is>
          <t>Ảnh thu tiền và chứng từ cần lưu bao lâu, dung lượng giới hạn, ai có quyền xem/xóa?</t>
        </is>
      </c>
      <c r="E86" s="16" t="inlineStr">
        <is>
          <t>A. Theo thời hạn công ty; B. Tối thiểu 3 năm; C. Theo quy định cụ thể.</t>
        </is>
      </c>
      <c r="F86" s="24" t="inlineStr">
        <is>
          <t>A</t>
        </is>
      </c>
      <c r="G86" s="25" t="inlineStr">
        <is>
          <t>Chưa áp dụng, lưu trên đâu đó free, cloudflrae R2 10G</t>
        </is>
      </c>
      <c r="H86" s="25" t="inlineStr">
        <is>
          <t>Đã chốt</t>
        </is>
      </c>
      <c r="I86" s="16" t="inlineStr">
        <is>
          <t>CNTT + Kế toán</t>
        </is>
      </c>
      <c r="J86" s="23" t="n"/>
      <c r="K86" s="26" t="n"/>
      <c r="L86" s="23" t="n"/>
      <c r="M86" s="16" t="inlineStr">
        <is>
          <t>Trao đổi nghiệp vụ Sơn Cảng, 10-11/10/2026</t>
        </is>
      </c>
      <c r="N86" s="37" t="inlineStr">
        <is>
          <t>Cần làm rõ</t>
        </is>
      </c>
      <c r="O86" s="38" t="inlineStr">
        <is>
          <t>G: “chưa áp dụng”, muốn lưu rẻ/miễn phí, gợi ý Cloudflare R2 10GB; thời gian giữ file và quota còn mở.</t>
        </is>
      </c>
      <c r="P86" s="57" t="n"/>
      <c r="Q86" s="57" t="n"/>
      <c r="R86" s="57" t="n"/>
      <c r="S86" s="57" t="n"/>
      <c r="T86" s="57" t="n"/>
      <c r="U86" s="57" t="n"/>
      <c r="V86" s="57" t="n"/>
      <c r="W86" s="57" t="n"/>
      <c r="X86" s="57" t="n"/>
      <c r="Y86" s="57" t="n"/>
      <c r="Z86" s="57" t="n"/>
    </row>
    <row r="87" ht="54.75" customHeight="1" s="94">
      <c r="A87" s="17" t="inlineStr">
        <is>
          <t>K07</t>
        </is>
      </c>
      <c r="B87" s="18" t="inlineStr">
        <is>
          <t>08. Kỹ thuật / bảo mật</t>
        </is>
      </c>
      <c r="C87" s="40" t="inlineStr">
        <is>
          <t>P1</t>
        </is>
      </c>
      <c r="D87" s="10" t="inlineStr">
        <is>
          <t>Tần suất sao lưu, khôi phục sau sự cố và lưu bản sao dữ liệu ở đâu?</t>
        </is>
      </c>
      <c r="E87" s="10" t="inlineStr">
        <is>
          <t>A. Hằng ngày; B. Nhiều lần/ngày; C. Yêu cầu cụ thể.</t>
        </is>
      </c>
      <c r="F87" s="24" t="inlineStr">
        <is>
          <t>A</t>
        </is>
      </c>
      <c r="G87" s="23" t="n"/>
      <c r="H87" s="25" t="inlineStr">
        <is>
          <t>Đã chốt</t>
        </is>
      </c>
      <c r="I87" s="10" t="inlineStr">
        <is>
          <t>CNTT</t>
        </is>
      </c>
      <c r="J87" s="23" t="n"/>
      <c r="K87" s="26" t="n"/>
      <c r="L87" s="23" t="n"/>
      <c r="M87" s="10" t="inlineStr">
        <is>
          <t>Trao đổi nghiệp vụ Sơn Cảng, 10-11/10/2026</t>
        </is>
      </c>
      <c r="N87" s="27" t="inlineStr">
        <is>
          <t>Đủ rõ để đặc tả</t>
        </is>
      </c>
      <c r="O87" s="28" t="inlineStr">
        <is>
          <t>Có lựa chọn được người dùng đánh dấu đã chốt; giữ nguyên câu trả lời và ghi chú.</t>
        </is>
      </c>
      <c r="P87" s="57" t="n"/>
      <c r="Q87" s="57" t="n"/>
      <c r="R87" s="57" t="n"/>
      <c r="S87" s="57" t="n"/>
      <c r="T87" s="57" t="n"/>
      <c r="U87" s="57" t="n"/>
      <c r="V87" s="57" t="n"/>
      <c r="W87" s="57" t="n"/>
      <c r="X87" s="57" t="n"/>
      <c r="Y87" s="57" t="n"/>
      <c r="Z87" s="57" t="n"/>
    </row>
    <row r="88" ht="54.75" customHeight="1" s="94">
      <c r="A88" s="29" t="inlineStr">
        <is>
          <t>K08</t>
        </is>
      </c>
      <c r="B88" s="30" t="inlineStr">
        <is>
          <t>08. Kỹ thuật / bảo mật</t>
        </is>
      </c>
      <c r="C88" s="39" t="inlineStr">
        <is>
          <t>P1</t>
        </is>
      </c>
      <c r="D88" s="16" t="inlineStr">
        <is>
          <t>Cần môi trường thử nghiệm và chính thức riêng biệt, đồng thời có nhật ký thao tác chi tiết không?</t>
        </is>
      </c>
      <c r="E88" s="16" t="inlineStr">
        <is>
          <t>A. Có cả hai + audit; B. Một môi trường; C. Lộ trình khác.</t>
        </is>
      </c>
      <c r="F88" s="24" t="inlineStr">
        <is>
          <t>A</t>
        </is>
      </c>
      <c r="G88" s="23" t="n"/>
      <c r="H88" s="25" t="inlineStr">
        <is>
          <t>Đã chốt</t>
        </is>
      </c>
      <c r="I88" s="16" t="inlineStr">
        <is>
          <t>CNTT</t>
        </is>
      </c>
      <c r="J88" s="23" t="n"/>
      <c r="K88" s="26" t="n"/>
      <c r="L88" s="23" t="n"/>
      <c r="M88" s="16" t="inlineStr">
        <is>
          <t>Trao đổi nghiệp vụ Sơn Cảng, 10-11/10/2026</t>
        </is>
      </c>
      <c r="N88" s="27" t="inlineStr">
        <is>
          <t>Đủ rõ để đặc tả</t>
        </is>
      </c>
      <c r="O88" s="28" t="inlineStr">
        <is>
          <t>Có lựa chọn được người dùng đánh dấu đã chốt; giữ nguyên câu trả lời và ghi chú.</t>
        </is>
      </c>
      <c r="P88" s="57" t="n"/>
      <c r="Q88" s="57" t="n"/>
      <c r="R88" s="57" t="n"/>
      <c r="S88" s="57" t="n"/>
      <c r="T88" s="57" t="n"/>
      <c r="U88" s="57" t="n"/>
      <c r="V88" s="57" t="n"/>
      <c r="W88" s="57" t="n"/>
      <c r="X88" s="57" t="n"/>
      <c r="Y88" s="57" t="n"/>
      <c r="Z88" s="57" t="n"/>
    </row>
    <row r="89" ht="64.5" customHeight="1" s="94">
      <c r="A89" s="17" t="inlineStr">
        <is>
          <t>K09</t>
        </is>
      </c>
      <c r="B89" s="18" t="inlineStr">
        <is>
          <t>08. Kỹ thuật / bảo mật</t>
        </is>
      </c>
      <c r="C89" s="46" t="inlineStr">
        <is>
          <t>P2</t>
        </is>
      </c>
      <c r="D89" s="10" t="inlineStr">
        <is>
          <t>Giai đoạn đầu có cần tích hợp Zalo thông báo lệnh cắm/rút tự động không?</t>
        </is>
      </c>
      <c r="E89" s="10" t="inlineStr">
        <is>
          <t>A. Không, tiếp tục Zalo thủ công; B. Nhắc qua kênh khác; C. Tích hợp khi khả thi.</t>
        </is>
      </c>
      <c r="F89" s="24" t="inlineStr">
        <is>
          <t>A</t>
        </is>
      </c>
      <c r="G89" s="25" t="inlineStr">
        <is>
          <t>A B C</t>
        </is>
      </c>
      <c r="H89" s="25" t="inlineStr">
        <is>
          <t>Đã chốt</t>
        </is>
      </c>
      <c r="I89" s="10" t="inlineStr">
        <is>
          <t>CNTT + CCKB</t>
        </is>
      </c>
      <c r="J89" s="23" t="n"/>
      <c r="K89" s="26" t="n"/>
      <c r="L89" s="23" t="n"/>
      <c r="M89" s="10" t="inlineStr">
        <is>
          <t>Trao đổi nghiệp vụ Sơn Cảng, 10-11/10/2026</t>
        </is>
      </c>
      <c r="N89" s="37" t="inlineStr">
        <is>
          <t>Cần làm rõ</t>
        </is>
      </c>
      <c r="O89" s="38" t="inlineStr">
        <is>
          <t>F=A không gửi Zalo tự động trong V1 nhưng G “A B C”; cần tách thông báo PWA/gửi thủ công và tích hợp sau.</t>
        </is>
      </c>
      <c r="P89" s="57" t="n"/>
      <c r="Q89" s="57" t="n"/>
      <c r="R89" s="57" t="n"/>
      <c r="S89" s="57" t="n"/>
      <c r="T89" s="57" t="n"/>
      <c r="U89" s="57" t="n"/>
      <c r="V89" s="57" t="n"/>
      <c r="W89" s="57" t="n"/>
      <c r="X89" s="57" t="n"/>
      <c r="Y89" s="57" t="n"/>
      <c r="Z89" s="57" t="n"/>
    </row>
    <row r="90" ht="60" customHeight="1" s="94">
      <c r="A90" s="29" t="inlineStr">
        <is>
          <t>M01</t>
        </is>
      </c>
      <c r="B90" s="30" t="inlineStr">
        <is>
          <t>09. Chuyển dữ liệu</t>
        </is>
      </c>
      <c r="C90" s="31" t="inlineStr">
        <is>
          <t>P0</t>
        </is>
      </c>
      <c r="D90" s="16" t="inlineStr">
        <is>
          <t>Phạm vi chuyển dữ liệu AppSheet: toàn bộ lịch sử VEHICLE/CONTAINER hay chỉ bản ghi đang hoạt động + lưu kho lịch sử?</t>
        </is>
      </c>
      <c r="E90" s="16" t="inlineStr">
        <is>
          <t>A. Toàn bộ; B. Đang hoạt động + kho lưu lịch sử; C. Từ một mốc ngày.</t>
        </is>
      </c>
      <c r="F90" s="24" t="inlineStr">
        <is>
          <t>A</t>
        </is>
      </c>
      <c r="G90" s="23" t="n"/>
      <c r="H90" s="25" t="inlineStr">
        <is>
          <t>Đã chốt</t>
        </is>
      </c>
      <c r="I90" s="16" t="inlineStr">
        <is>
          <t>CNTT + Các TBP</t>
        </is>
      </c>
      <c r="J90" s="23" t="n"/>
      <c r="K90" s="26" t="n"/>
      <c r="L90" s="23" t="n"/>
      <c r="M90" s="16" t="inlineStr">
        <is>
          <t>Tập dữ liệu AppSheet do Sơn Cảng cung cấp</t>
        </is>
      </c>
      <c r="N90" s="27" t="inlineStr">
        <is>
          <t>Đủ rõ để đặc tả</t>
        </is>
      </c>
      <c r="O90" s="28" t="inlineStr">
        <is>
          <t>Có lựa chọn được người dùng đánh dấu đã chốt; giữ nguyên câu trả lời và ghi chú.</t>
        </is>
      </c>
      <c r="P90" s="57" t="n"/>
      <c r="Q90" s="57" t="n"/>
      <c r="R90" s="57" t="n"/>
      <c r="S90" s="57" t="n"/>
      <c r="T90" s="57" t="n"/>
      <c r="U90" s="57" t="n"/>
      <c r="V90" s="57" t="n"/>
      <c r="W90" s="57" t="n"/>
      <c r="X90" s="57" t="n"/>
      <c r="Y90" s="57" t="n"/>
      <c r="Z90" s="57" t="n"/>
    </row>
    <row r="91" ht="54.75" customHeight="1" s="94">
      <c r="A91" s="17" t="inlineStr">
        <is>
          <t>M02</t>
        </is>
      </c>
      <c r="B91" s="18" t="inlineStr">
        <is>
          <t>09. Chuyển dữ liệu</t>
        </is>
      </c>
      <c r="C91" s="19" t="inlineStr">
        <is>
          <t>P0</t>
        </is>
      </c>
      <c r="D91" s="10" t="inlineStr">
        <is>
          <t>Ngày/giờ chốt dữ liệu và đóng AppSheet để chuyển sang PWA là khi nào?</t>
        </is>
      </c>
      <c r="E91" s="10" t="inlineStr">
        <is>
          <t>A. Sau UAT; B. Chạy song song ngắn hạn; C. Cần kế hoạch chi tiết.</t>
        </is>
      </c>
      <c r="F91" s="24" t="inlineStr">
        <is>
          <t>A</t>
        </is>
      </c>
      <c r="G91" s="23" t="n"/>
      <c r="H91" s="25" t="inlineStr">
        <is>
          <t>Đã chốt</t>
        </is>
      </c>
      <c r="I91" s="10" t="inlineStr">
        <is>
          <t>CNTT + Ban quản lý</t>
        </is>
      </c>
      <c r="J91" s="23" t="n"/>
      <c r="K91" s="26" t="n"/>
      <c r="L91" s="23" t="n"/>
      <c r="M91" s="10" t="inlineStr">
        <is>
          <t>Trao đổi nghiệp vụ Sơn Cảng, 10-11/10/2026</t>
        </is>
      </c>
      <c r="N91" s="27" t="inlineStr">
        <is>
          <t>Đủ rõ để đặc tả</t>
        </is>
      </c>
      <c r="O91" s="28" t="inlineStr">
        <is>
          <t>Có lựa chọn được người dùng đánh dấu đã chốt; giữ nguyên câu trả lời và ghi chú.</t>
        </is>
      </c>
      <c r="P91" s="57" t="n"/>
      <c r="Q91" s="57" t="n"/>
      <c r="R91" s="57" t="n"/>
      <c r="S91" s="57" t="n"/>
      <c r="T91" s="57" t="n"/>
      <c r="U91" s="57" t="n"/>
      <c r="V91" s="57" t="n"/>
      <c r="W91" s="57" t="n"/>
      <c r="X91" s="57" t="n"/>
      <c r="Y91" s="57" t="n"/>
      <c r="Z91" s="57" t="n"/>
    </row>
    <row r="92" ht="60" customHeight="1" s="94">
      <c r="A92" s="29" t="inlineStr">
        <is>
          <t>M03</t>
        </is>
      </c>
      <c r="B92" s="30" t="inlineStr">
        <is>
          <t>09. Chuyển dữ liệu</t>
        </is>
      </c>
      <c r="C92" s="31" t="inlineStr">
        <is>
          <t>P0</t>
        </is>
      </c>
      <c r="D92" s="16" t="inlineStr">
        <is>
          <t>Các dòng dữ liệu cũ có ghi chú tiền thực thu khác tiền phải thu: ai là người kiểm tra, xác nhận kết quả trước chuyển?</t>
        </is>
      </c>
      <c r="E92" s="16" t="inlineStr">
        <is>
          <t>A. TBP CCKB; B. Kế toán + CCKB; C. Nhóm đối soát liên BP.</t>
        </is>
      </c>
      <c r="F92" s="24" t="inlineStr">
        <is>
          <t>Khác</t>
        </is>
      </c>
      <c r="G92" s="25" t="inlineStr">
        <is>
          <t>Tiền thì tạm thời bỏ qua vò giờ trên hệ thống nhiều xe quên chưa cho ra lắ</t>
        </is>
      </c>
      <c r="H92" s="25" t="inlineStr">
        <is>
          <t>Đã chốt</t>
        </is>
      </c>
      <c r="I92" s="16" t="inlineStr">
        <is>
          <t>Trưởng BP CCKB + Kế toán</t>
        </is>
      </c>
      <c r="J92" s="23" t="n"/>
      <c r="K92" s="26" t="n"/>
      <c r="L92" s="23" t="n"/>
      <c r="M92" s="16" t="inlineStr">
        <is>
          <t>CONTAINER V1: xem 08_DOI_SOAT</t>
        </is>
      </c>
      <c r="N92" s="32" t="inlineStr">
        <is>
          <t>Cần làm rõ</t>
        </is>
      </c>
      <c r="O92" s="33" t="inlineStr">
        <is>
          <t>G: tạm bỏ qua đối soát tài chính lịch sử do còn nhiều xe quên chốt ra; cần đánh dấu dữ liệu cũ chưa xác minh, không đưa vào công nợ V1.</t>
        </is>
      </c>
      <c r="P92" s="57" t="n"/>
      <c r="Q92" s="57" t="n"/>
      <c r="R92" s="57" t="n"/>
      <c r="S92" s="57" t="n"/>
      <c r="T92" s="57" t="n"/>
      <c r="U92" s="57" t="n"/>
      <c r="V92" s="57" t="n"/>
      <c r="W92" s="57" t="n"/>
      <c r="X92" s="57" t="n"/>
      <c r="Y92" s="57" t="n"/>
      <c r="Z92" s="57" t="n"/>
    </row>
    <row r="93" ht="60" customHeight="1" s="94">
      <c r="A93" s="17" t="inlineStr">
        <is>
          <t>M04</t>
        </is>
      </c>
      <c r="B93" s="18" t="inlineStr">
        <is>
          <t>09. Chuyển dữ liệu</t>
        </is>
      </c>
      <c r="C93" s="19" t="inlineStr">
        <is>
          <t>P0</t>
        </is>
      </c>
      <c r="D93" s="10" t="inlineStr">
        <is>
          <t>Giờ ra xe/container thực tế khác dữ liệu nhập do bổ sung muộn: dùng mốc nào làm dữ liệu gốc khi chuyển?</t>
        </is>
      </c>
      <c r="E93" s="10" t="inlineStr">
        <is>
          <t>A. Giờ hệ thống; B. Giờ trên chứng từ đã xác minh; C. Tùy từng dòng có xác nhận.</t>
        </is>
      </c>
      <c r="F93" s="24" t="inlineStr">
        <is>
          <t>A</t>
        </is>
      </c>
      <c r="G93" s="25" t="inlineStr">
        <is>
          <t>quan trị viên cấp cao có thể sửa trực tiếp hết nhé, vì hiện tại tôi thấy lỗi nhieuf chính trên GG sheets đang đễ sau này sửa thì vào db sửa lại khó hơn</t>
        </is>
      </c>
      <c r="H93" s="25" t="inlineStr">
        <is>
          <t>Đã chốt</t>
        </is>
      </c>
      <c r="I93" s="10" t="inlineStr">
        <is>
          <t>An ninh + CCKB + CNTT</t>
        </is>
      </c>
      <c r="J93" s="23" t="n"/>
      <c r="K93" s="26" t="n"/>
      <c r="L93" s="23" t="n"/>
      <c r="M93" s="10" t="inlineStr">
        <is>
          <t>Dữ liệu VEHICLE/CONTAINER có ghi chú chỉnh ngày</t>
        </is>
      </c>
      <c r="N93" s="32" t="inlineStr">
        <is>
          <t>Cần làm rõ</t>
        </is>
      </c>
      <c r="O93" s="33" t="inlineStr">
        <is>
          <t>G: Quản trị cấp cao được sửa mọi dữ liệu sai, nhưng cần công cụ sửa trong app kèm audit, tránh sửa DB trực tiếp không lưu lịch sử.</t>
        </is>
      </c>
      <c r="P93" s="57" t="n"/>
      <c r="Q93" s="57" t="n"/>
      <c r="R93" s="57" t="n"/>
      <c r="S93" s="57" t="n"/>
      <c r="T93" s="57" t="n"/>
      <c r="U93" s="57" t="n"/>
      <c r="V93" s="57" t="n"/>
      <c r="W93" s="57" t="n"/>
      <c r="X93" s="57" t="n"/>
      <c r="Y93" s="57" t="n"/>
      <c r="Z93" s="57" t="n"/>
    </row>
    <row r="94" ht="54.75" customHeight="1" s="94">
      <c r="A94" s="29" t="inlineStr">
        <is>
          <t>M05</t>
        </is>
      </c>
      <c r="B94" s="30" t="inlineStr">
        <is>
          <t>09. Chuyển dữ liệu</t>
        </is>
      </c>
      <c r="C94" s="39" t="inlineStr">
        <is>
          <t>P1</t>
        </is>
      </c>
      <c r="D94" s="16" t="inlineStr">
        <is>
          <t>Mã ID cũ trong AppSheet cần giữ làm khóa tham chiếu hay chỉ lưu LEGACY_ID để tra cứu?</t>
        </is>
      </c>
      <c r="E94" s="16" t="inlineStr">
        <is>
          <t>A. Giữ ID cũ; B. Sinh ID mới và lưu LEGACY_ID; C. Khác.</t>
        </is>
      </c>
      <c r="F94" s="24" t="inlineStr">
        <is>
          <t>A</t>
        </is>
      </c>
      <c r="G94" s="23" t="n"/>
      <c r="H94" s="25" t="inlineStr">
        <is>
          <t>Đã chốt</t>
        </is>
      </c>
      <c r="I94" s="16" t="inlineStr">
        <is>
          <t>CNTT</t>
        </is>
      </c>
      <c r="J94" s="23" t="n"/>
      <c r="K94" s="26" t="n"/>
      <c r="L94" s="23" t="n"/>
      <c r="M94" s="16" t="inlineStr">
        <is>
          <t>Trao đổi nghiệp vụ Sơn Cảng, 10-11/10/2026</t>
        </is>
      </c>
      <c r="N94" s="27" t="inlineStr">
        <is>
          <t>Đủ rõ để đặc tả</t>
        </is>
      </c>
      <c r="O94" s="28" t="inlineStr">
        <is>
          <t>Có lựa chọn được người dùng đánh dấu đã chốt; giữ nguyên câu trả lời và ghi chú.</t>
        </is>
      </c>
      <c r="P94" s="57" t="n"/>
      <c r="Q94" s="57" t="n"/>
      <c r="R94" s="57" t="n"/>
      <c r="S94" s="57" t="n"/>
      <c r="T94" s="57" t="n"/>
      <c r="U94" s="57" t="n"/>
      <c r="V94" s="57" t="n"/>
      <c r="W94" s="57" t="n"/>
      <c r="X94" s="57" t="n"/>
      <c r="Y94" s="57" t="n"/>
      <c r="Z94" s="57" t="n"/>
    </row>
    <row r="95" ht="54.75" customHeight="1" s="94">
      <c r="A95" s="17" t="inlineStr">
        <is>
          <t>M06</t>
        </is>
      </c>
      <c r="B95" s="18" t="inlineStr">
        <is>
          <t>09. Chuyển dữ liệu</t>
        </is>
      </c>
      <c r="C95" s="40" t="inlineStr">
        <is>
          <t>P1</t>
        </is>
      </c>
      <c r="D95" s="10" t="inlineStr">
        <is>
          <t>Tài khoản Google cũ cần phân sang 7 vai trò PWA như thế nào và có vô hiệu hóa tài khoản nào không?</t>
        </is>
      </c>
      <c r="E95" s="10" t="inlineStr">
        <is>
          <t>A. Map theo bảng 07_TAI_KHOAN; B. Tạo tài khoản mới; C. Kết hợp.</t>
        </is>
      </c>
      <c r="F95" s="24" t="inlineStr">
        <is>
          <t>B</t>
        </is>
      </c>
      <c r="G95" s="23" t="n"/>
      <c r="H95" s="25" t="inlineStr">
        <is>
          <t>Đã chốt</t>
        </is>
      </c>
      <c r="I95" s="10" t="inlineStr">
        <is>
          <t>Quản trị + Các TBP</t>
        </is>
      </c>
      <c r="J95" s="23" t="n"/>
      <c r="K95" s="26" t="n"/>
      <c r="L95" s="23" t="n"/>
      <c r="M95" s="10" t="inlineStr">
        <is>
          <t>Trao đổi nghiệp vụ Sơn Cảng, 10-11/10/2026</t>
        </is>
      </c>
      <c r="N95" s="27" t="inlineStr">
        <is>
          <t>Đủ rõ để đặc tả</t>
        </is>
      </c>
      <c r="O95" s="28" t="inlineStr">
        <is>
          <t>Có lựa chọn được người dùng đánh dấu đã chốt; giữ nguyên câu trả lời và ghi chú.</t>
        </is>
      </c>
      <c r="P95" s="57" t="n"/>
      <c r="Q95" s="57" t="n"/>
      <c r="R95" s="57" t="n"/>
      <c r="S95" s="57" t="n"/>
      <c r="T95" s="57" t="n"/>
      <c r="U95" s="57" t="n"/>
      <c r="V95" s="57" t="n"/>
      <c r="W95" s="57" t="n"/>
      <c r="X95" s="57" t="n"/>
      <c r="Y95" s="57" t="n"/>
      <c r="Z95" s="57" t="n"/>
    </row>
    <row r="96" ht="60" customHeight="1" s="94">
      <c r="A96" s="29" t="inlineStr">
        <is>
          <t>M07</t>
        </is>
      </c>
      <c r="B96" s="30" t="inlineStr">
        <is>
          <t>09. Chuyển dữ liệu</t>
        </is>
      </c>
      <c r="C96" s="39" t="inlineStr">
        <is>
          <t>P1</t>
        </is>
      </c>
      <c r="D96" s="16" t="inlineStr">
        <is>
          <t>Các container cùng SO_CONTAINER xuất hiện ở nhiều lượt: muốn lưu lịch sử theo mỗi lượt hay hồ sơ container dùng lại nhiều lần?</t>
        </is>
      </c>
      <c r="E96" s="16" t="inlineStr">
        <is>
          <t>A. Hồ sơ container + lượt ra/vào; B. Mỗi lượt là một bản ghi; C. Thiết kế lai.</t>
        </is>
      </c>
      <c r="F96" s="24" t="inlineStr">
        <is>
          <t>A</t>
        </is>
      </c>
      <c r="G96" s="23" t="n"/>
      <c r="H96" s="25" t="inlineStr">
        <is>
          <t>Đã chốt</t>
        </is>
      </c>
      <c r="I96" s="16" t="inlineStr">
        <is>
          <t>CNTT + Điều phối</t>
        </is>
      </c>
      <c r="J96" s="23" t="n"/>
      <c r="K96" s="26" t="n"/>
      <c r="L96" s="23" t="n"/>
      <c r="M96" s="16" t="inlineStr">
        <is>
          <t>Trao đổi nghiệp vụ Sơn Cảng, 10-11/10/2026</t>
        </is>
      </c>
      <c r="N96" s="27" t="inlineStr">
        <is>
          <t>Đủ rõ để đặc tả</t>
        </is>
      </c>
      <c r="O96" s="28" t="inlineStr">
        <is>
          <t>Có lựa chọn được người dùng đánh dấu đã chốt; giữ nguyên câu trả lời và ghi chú.</t>
        </is>
      </c>
      <c r="P96" s="57" t="n"/>
      <c r="Q96" s="57" t="n"/>
      <c r="R96" s="57" t="n"/>
      <c r="S96" s="57" t="n"/>
      <c r="T96" s="57" t="n"/>
      <c r="U96" s="57" t="n"/>
      <c r="V96" s="57" t="n"/>
      <c r="W96" s="57" t="n"/>
      <c r="X96" s="57" t="n"/>
      <c r="Y96" s="57" t="n"/>
      <c r="Z96" s="57" t="n"/>
    </row>
    <row r="97" ht="60" customHeight="1" s="94">
      <c r="A97" s="17" t="inlineStr">
        <is>
          <t>M08</t>
        </is>
      </c>
      <c r="B97" s="18" t="inlineStr">
        <is>
          <t>09. Chuyển dữ liệu</t>
        </is>
      </c>
      <c r="C97" s="40" t="inlineStr">
        <is>
          <t>P1</t>
        </is>
      </c>
      <c r="D97" s="10" t="inlineStr">
        <is>
          <t>Dữ liệu cắm điện AppSheet trước đây có nhập vào PWA cùng lúc không, hay triển khai riêng từ ngày vận hành mới?</t>
        </is>
      </c>
      <c r="E97" s="10" t="inlineStr">
        <is>
          <t>A. Chuyển toàn bộ; B. Chỉ phiên đang cắm/chưa thu; C. Bắt đầu mới và lưu lịch sử cũ.</t>
        </is>
      </c>
      <c r="F97" s="24" t="inlineStr">
        <is>
          <t>Khác</t>
        </is>
      </c>
      <c r="G97" s="25" t="inlineStr">
        <is>
          <t>CHưa có những sẽ chuyneenr 1 số cái tồn</t>
        </is>
      </c>
      <c r="H97" s="25" t="inlineStr">
        <is>
          <t>Đã chốt</t>
        </is>
      </c>
      <c r="I97" s="10" t="inlineStr">
        <is>
          <t>CNTT + CCKB</t>
        </is>
      </c>
      <c r="J97" s="23" t="n"/>
      <c r="K97" s="26" t="n"/>
      <c r="L97" s="23" t="n"/>
      <c r="M97" s="10" t="inlineStr">
        <is>
          <t>Trao đổi nghiệp vụ Sơn Cảng, 10-11/10/2026</t>
        </is>
      </c>
      <c r="N97" s="37" t="inlineStr">
        <is>
          <t>Cần làm rõ</t>
        </is>
      </c>
      <c r="O97" s="38" t="inlineStr">
        <is>
          <t>G: chưa có nhiều dữ liệu điện, sẽ chuyển một số phiên đang tồn; cần tiêu chí nhận diện các phiên phải chuyển.</t>
        </is>
      </c>
      <c r="P97" s="57" t="n"/>
      <c r="Q97" s="57" t="n"/>
      <c r="R97" s="57" t="n"/>
      <c r="S97" s="57" t="n"/>
      <c r="T97" s="57" t="n"/>
      <c r="U97" s="57" t="n"/>
      <c r="V97" s="57" t="n"/>
      <c r="W97" s="57" t="n"/>
      <c r="X97" s="57" t="n"/>
      <c r="Y97" s="57" t="n"/>
      <c r="Z97" s="57" t="n"/>
    </row>
    <row r="98" ht="54.75" customHeight="1" s="94">
      <c r="A98" s="29" t="inlineStr">
        <is>
          <t>U01</t>
        </is>
      </c>
      <c r="B98" s="30" t="inlineStr">
        <is>
          <t>10. Nghiệm thu / triển khai</t>
        </is>
      </c>
      <c r="C98" s="31" t="inlineStr">
        <is>
          <t>P0</t>
        </is>
      </c>
      <c r="D98" s="16" t="inlineStr">
        <is>
          <t>Ai đại diện mỗi bộ phận ký nghiệm thu và xác nhận nghiệp vụ chuẩn trước chuyển hệ thống?</t>
        </is>
      </c>
      <c r="E98" s="16" t="inlineStr">
        <is>
          <t>A. 3 TBP + CNTT; B. Có Ban quản lý/BLĐ; C. Tổ UAT chỉ định.</t>
        </is>
      </c>
      <c r="F98" s="24" t="inlineStr">
        <is>
          <t>Không áp dụng</t>
        </is>
      </c>
      <c r="G98" s="23" t="n"/>
      <c r="H98" s="25" t="inlineStr">
        <is>
          <t>Đã chốt</t>
        </is>
      </c>
      <c r="I98" s="16" t="inlineStr">
        <is>
          <t>Ban quản lý Sơn Cảng</t>
        </is>
      </c>
      <c r="J98" s="23" t="n"/>
      <c r="K98" s="26" t="n"/>
      <c r="L98" s="23" t="n"/>
      <c r="M98" s="16" t="inlineStr">
        <is>
          <t>Trao đổi nghiệp vụ Sơn Cảng, 10-11/10/2026</t>
        </is>
      </c>
      <c r="N98" s="37" t="inlineStr">
        <is>
          <t>Cần làm rõ</t>
        </is>
      </c>
      <c r="O98" s="38" t="inlineStr">
        <is>
          <t>F=Không áp dụng nhóm ký nghiệm thu; U02 lại yêu cầu UAT trước ngừng AppSheet. Cần xác định ít nhất đầu mối duyệt nghiệm thu, không nhất thiết ký giấy.</t>
        </is>
      </c>
      <c r="P98" s="57" t="n"/>
      <c r="Q98" s="57" t="n"/>
      <c r="R98" s="57" t="n"/>
      <c r="S98" s="57" t="n"/>
      <c r="T98" s="57" t="n"/>
      <c r="U98" s="57" t="n"/>
      <c r="V98" s="57" t="n"/>
      <c r="W98" s="57" t="n"/>
      <c r="X98" s="57" t="n"/>
      <c r="Y98" s="57" t="n"/>
      <c r="Z98" s="57" t="n"/>
    </row>
    <row r="99" ht="60" customHeight="1" s="94">
      <c r="A99" s="17" t="inlineStr">
        <is>
          <t>U02</t>
        </is>
      </c>
      <c r="B99" s="18" t="inlineStr">
        <is>
          <t>10. Nghiệm thu / triển khai</t>
        </is>
      </c>
      <c r="C99" s="19" t="inlineStr">
        <is>
          <t>P0</t>
        </is>
      </c>
      <c r="D99" s="10" t="inlineStr">
        <is>
          <t>Điều kiện bắt buộc để ngừng AppSheet: chốt chuyển dữ liệu, đối soát tài chính, không lỗi chặn cổng ra, hoàn thành đào tạo?</t>
        </is>
      </c>
      <c r="E99" s="10" t="inlineStr">
        <is>
          <t>A. Tất cả; B. Tiêu chí chốt riêng; C. Theo giai đoạn.</t>
        </is>
      </c>
      <c r="F99" s="24" t="inlineStr">
        <is>
          <t>A</t>
        </is>
      </c>
      <c r="G99" s="23" t="n"/>
      <c r="H99" s="25" t="inlineStr">
        <is>
          <t>Đã chốt</t>
        </is>
      </c>
      <c r="I99" s="10" t="inlineStr">
        <is>
          <t>Ban quản lý + CNTT</t>
        </is>
      </c>
      <c r="J99" s="23" t="n"/>
      <c r="K99" s="26" t="n"/>
      <c r="L99" s="23" t="n"/>
      <c r="M99" s="10" t="inlineStr">
        <is>
          <t>Trao đổi nghiệp vụ Sơn Cảng, 10-11/10/2026</t>
        </is>
      </c>
      <c r="N99" s="27" t="inlineStr">
        <is>
          <t>Đủ rõ để đặc tả</t>
        </is>
      </c>
      <c r="O99" s="28" t="inlineStr">
        <is>
          <t>Có lựa chọn được người dùng đánh dấu đã chốt; giữ nguyên câu trả lời và ghi chú.</t>
        </is>
      </c>
      <c r="P99" s="57" t="n"/>
      <c r="Q99" s="57" t="n"/>
      <c r="R99" s="57" t="n"/>
      <c r="S99" s="57" t="n"/>
      <c r="T99" s="57" t="n"/>
      <c r="U99" s="57" t="n"/>
      <c r="V99" s="57" t="n"/>
      <c r="W99" s="57" t="n"/>
      <c r="X99" s="57" t="n"/>
      <c r="Y99" s="57" t="n"/>
      <c r="Z99" s="57" t="n"/>
    </row>
    <row r="100" ht="60" customHeight="1" s="94">
      <c r="A100" s="29" t="inlineStr">
        <is>
          <t>U03</t>
        </is>
      </c>
      <c r="B100" s="30" t="inlineStr">
        <is>
          <t>10. Nghiệm thu / triển khai</t>
        </is>
      </c>
      <c r="C100" s="39" t="inlineStr">
        <is>
          <t>P1</t>
        </is>
      </c>
      <c r="D100" s="16" t="inlineStr">
        <is>
          <t>Nếu PWA gặp lỗi trong tuần đầu, quy trình quay lại AppSheet hoặc ghi giấy tạm thời và đồng bộ lại dữ liệu thế nào?</t>
        </is>
      </c>
      <c r="E100" s="16" t="inlineStr">
        <is>
          <t>A. Quy trình dự phòng bằng giấy; B. Tạm quay về AppSheet có kế hoạch hòa giải; C. Khác.</t>
        </is>
      </c>
      <c r="F100" s="24" t="inlineStr">
        <is>
          <t>A</t>
        </is>
      </c>
      <c r="G100" s="23" t="n"/>
      <c r="H100" s="25" t="inlineStr">
        <is>
          <t>Đã chốt</t>
        </is>
      </c>
      <c r="I100" s="16" t="inlineStr">
        <is>
          <t>CNTT + An ninh + CCKB</t>
        </is>
      </c>
      <c r="J100" s="23" t="n"/>
      <c r="K100" s="26" t="n"/>
      <c r="L100" s="23" t="n"/>
      <c r="M100" s="16" t="inlineStr">
        <is>
          <t>Trao đổi nghiệp vụ Sơn Cảng, 10-11/10/2026</t>
        </is>
      </c>
      <c r="N100" s="27" t="inlineStr">
        <is>
          <t>Đủ rõ để đặc tả</t>
        </is>
      </c>
      <c r="O100" s="28" t="inlineStr">
        <is>
          <t>Có lựa chọn được người dùng đánh dấu đã chốt; giữ nguyên câu trả lời và ghi chú.</t>
        </is>
      </c>
      <c r="P100" s="57" t="n"/>
      <c r="Q100" s="57" t="n"/>
      <c r="R100" s="57" t="n"/>
      <c r="S100" s="57" t="n"/>
      <c r="T100" s="57" t="n"/>
      <c r="U100" s="57" t="n"/>
      <c r="V100" s="57" t="n"/>
      <c r="W100" s="57" t="n"/>
      <c r="X100" s="57" t="n"/>
      <c r="Y100" s="57" t="n"/>
      <c r="Z100" s="57" t="n"/>
    </row>
    <row r="101" ht="60" customHeight="1" s="94">
      <c r="A101" s="17" t="inlineStr">
        <is>
          <t>U04</t>
        </is>
      </c>
      <c r="B101" s="18" t="inlineStr">
        <is>
          <t>10. Nghiệm thu / triển khai</t>
        </is>
      </c>
      <c r="C101" s="40" t="inlineStr">
        <is>
          <t>P1</t>
        </is>
      </c>
      <c r="D101" s="10" t="inlineStr">
        <is>
          <t>Đào tạo nhân viên theo bộ phận, cần thao tác thử trước khi cấp quyền thật và phân công người hỗ trợ ca đêm không?</t>
        </is>
      </c>
      <c r="E101" s="10" t="inlineStr">
        <is>
          <t>A. Có đào tạo + UAT; B. Chỉ hướng dẫn nhanh; C. Kế hoạch riêng.</t>
        </is>
      </c>
      <c r="F101" s="24" t="inlineStr">
        <is>
          <t>A</t>
        </is>
      </c>
      <c r="G101" s="23" t="n"/>
      <c r="H101" s="25" t="inlineStr">
        <is>
          <t>Đã chốt</t>
        </is>
      </c>
      <c r="I101" s="10" t="inlineStr">
        <is>
          <t>CNTT + Các TBP</t>
        </is>
      </c>
      <c r="J101" s="23" t="n"/>
      <c r="K101" s="26" t="n"/>
      <c r="L101" s="23" t="n"/>
      <c r="M101" s="10" t="inlineStr">
        <is>
          <t>Trao đổi nghiệp vụ Sơn Cảng, 10-11/10/2026</t>
        </is>
      </c>
      <c r="N101" s="27" t="inlineStr">
        <is>
          <t>Đủ rõ để đặc tả</t>
        </is>
      </c>
      <c r="O101" s="28" t="inlineStr">
        <is>
          <t>Có lựa chọn được người dùng đánh dấu đã chốt; giữ nguyên câu trả lời và ghi chú.</t>
        </is>
      </c>
      <c r="P101" s="57" t="n"/>
      <c r="Q101" s="57" t="n"/>
      <c r="R101" s="57" t="n"/>
      <c r="S101" s="57" t="n"/>
      <c r="T101" s="57" t="n"/>
      <c r="U101" s="57" t="n"/>
      <c r="V101" s="57" t="n"/>
      <c r="W101" s="57" t="n"/>
      <c r="X101" s="57" t="n"/>
      <c r="Y101" s="57" t="n"/>
      <c r="Z101" s="57" t="n"/>
    </row>
    <row r="102" ht="60" customHeight="1" s="94">
      <c r="A102" s="29" t="inlineStr">
        <is>
          <t>U05</t>
        </is>
      </c>
      <c r="B102" s="30" t="inlineStr">
        <is>
          <t>10. Nghiệm thu / triển khai</t>
        </is>
      </c>
      <c r="C102" s="39" t="inlineStr">
        <is>
          <t>P1</t>
        </is>
      </c>
      <c r="D102" s="16" t="inlineStr">
        <is>
          <t>Trong giai đoạn pilot có kiểm soát giao dịch bất thường/mất mạng, thời gian phản hồi xử lý sự cố là bao lâu?</t>
        </is>
      </c>
      <c r="E102" s="16" t="inlineStr">
        <is>
          <t>A. Theo ca 24/7; B. Giờ hành chính + đầu mối ca; C. SLA khác.</t>
        </is>
      </c>
      <c r="F102" s="24" t="inlineStr">
        <is>
          <t>A</t>
        </is>
      </c>
      <c r="G102" s="23" t="n"/>
      <c r="H102" s="25" t="inlineStr">
        <is>
          <t>Đã chốt</t>
        </is>
      </c>
      <c r="I102" s="16" t="inlineStr">
        <is>
          <t>CNTT + Các TBP</t>
        </is>
      </c>
      <c r="J102" s="23" t="n"/>
      <c r="K102" s="26" t="n"/>
      <c r="L102" s="23" t="n"/>
      <c r="M102" s="16" t="inlineStr">
        <is>
          <t>Trao đổi nghiệp vụ Sơn Cảng, 10-11/10/2026</t>
        </is>
      </c>
      <c r="N102" s="27" t="inlineStr">
        <is>
          <t>Đủ rõ để đặc tả</t>
        </is>
      </c>
      <c r="O102" s="28" t="inlineStr">
        <is>
          <t>Có lựa chọn được người dùng đánh dấu đã chốt; giữ nguyên câu trả lời và ghi chú.</t>
        </is>
      </c>
      <c r="P102" s="57" t="n"/>
      <c r="Q102" s="57" t="n"/>
      <c r="R102" s="57" t="n"/>
      <c r="S102" s="57" t="n"/>
      <c r="T102" s="57" t="n"/>
      <c r="U102" s="57" t="n"/>
      <c r="V102" s="57" t="n"/>
      <c r="W102" s="57" t="n"/>
      <c r="X102" s="57" t="n"/>
      <c r="Y102" s="57" t="n"/>
      <c r="Z102" s="57" t="n"/>
    </row>
    <row r="103" ht="69.75" customHeight="1" s="94">
      <c r="A103" s="17" t="inlineStr">
        <is>
          <t>PR01</t>
        </is>
      </c>
      <c r="B103" s="18" t="inlineStr">
        <is>
          <t>03. Cắm/rút điện</t>
        </is>
      </c>
      <c r="C103" s="19" t="inlineStr">
        <is>
          <t>P0</t>
        </is>
      </c>
      <c r="D103" s="10" t="inlineStr">
        <is>
          <t>CCKB có thể tiếp nhận và tạo yêu cầu cắm điện dự kiến cho container A, B, C khi các container CHƯA vào bãi?</t>
        </is>
      </c>
      <c r="E103" s="10" t="inlineStr">
        <is>
          <t>A. Được tạo trước khi vào bãi; B. Chỉ tạo sau khi đã vào.</t>
        </is>
      </c>
      <c r="F103" s="23" t="inlineStr">
        <is>
          <t>A</t>
        </is>
      </c>
      <c r="G103" s="23" t="inlineStr">
        <is>
          <t>Được tạo yêu cầu cắm điện dự kiến trước khi xe/container đến, kể cả nhiều container A/B/C; chưa phát sinh lượt vào thực tế hoặc phí.</t>
        </is>
      </c>
      <c r="H103" s="49" t="inlineStr">
        <is>
          <t>Đã chốt</t>
        </is>
      </c>
      <c r="I103" s="10" t="inlineStr">
        <is>
          <t>Nghiệp vụ CCKB</t>
        </is>
      </c>
      <c r="J103" s="23" t="n"/>
      <c r="K103" s="26" t="n"/>
      <c r="L103" s="23" t="n"/>
      <c r="M103" s="10" t="inlineStr">
        <is>
          <t>Bổ sung từ trao đổi ngày 11/10/2026 về yêu cầu điện dự kiến và sửa số cont thực tế.</t>
        </is>
      </c>
      <c r="N103" s="27" t="inlineStr">
        <is>
          <t>Đủ rõ để đặc tả</t>
        </is>
      </c>
      <c r="O103" s="28" t="inlineStr">
        <is>
          <t>Đã xác nhận trực tiếp trong trao đổi: yêu cầu dự kiến/sửa số container.</t>
        </is>
      </c>
      <c r="P103" s="57" t="n"/>
      <c r="Q103" s="57" t="n"/>
      <c r="R103" s="57" t="n"/>
      <c r="S103" s="57" t="n"/>
      <c r="T103" s="57" t="n"/>
      <c r="U103" s="57" t="n"/>
      <c r="V103" s="57" t="n"/>
      <c r="W103" s="57" t="n"/>
      <c r="X103" s="57" t="n"/>
      <c r="Y103" s="57" t="n"/>
      <c r="Z103" s="57" t="n"/>
    </row>
    <row r="104" ht="69.75" customHeight="1" s="94">
      <c r="A104" s="17" t="inlineStr">
        <is>
          <t>PR02</t>
        </is>
      </c>
      <c r="B104" s="18" t="inlineStr">
        <is>
          <t>01. Vé xe / cổng</t>
        </is>
      </c>
      <c r="C104" s="19" t="inlineStr">
        <is>
          <t>P0</t>
        </is>
      </c>
      <c r="D104" s="10" t="inlineStr">
        <is>
          <t>Khi An ninh nhập số container tại cổng, có cần tự hiển thị các yêu cầu cắm điện dự kiến của CCKB để nhân viên đối chiếu?</t>
        </is>
      </c>
      <c r="E104" s="10" t="inlineStr">
        <is>
          <t>A. Có, tự cảnh báo và hiển thị danh sách chờ; B. Chỉ tìm thủ công; C. Hình thức khác.</t>
        </is>
      </c>
      <c r="F104" s="23" t="inlineStr">
        <is>
          <t>A</t>
        </is>
      </c>
      <c r="G104" s="23" t="inlineStr">
        <is>
          <t>An ninh cần được thông báo và đối chiếu yêu cầu cắm điện dự kiến khi ghi nhận container vào cổng.</t>
        </is>
      </c>
      <c r="H104" s="49" t="inlineStr">
        <is>
          <t>Đã chốt</t>
        </is>
      </c>
      <c r="I104" s="10" t="inlineStr">
        <is>
          <t>An ninh + CCKB</t>
        </is>
      </c>
      <c r="J104" s="23" t="n"/>
      <c r="K104" s="26" t="n"/>
      <c r="L104" s="23" t="n"/>
      <c r="M104" s="10" t="inlineStr">
        <is>
          <t>Bổ sung từ trao đổi ngày 11/10/2026 về yêu cầu điện dự kiến và sửa số cont thực tế.</t>
        </is>
      </c>
      <c r="N104" s="27" t="inlineStr">
        <is>
          <t>Đủ rõ để đặc tả</t>
        </is>
      </c>
      <c r="O104" s="28" t="inlineStr">
        <is>
          <t>Đã xác nhận trực tiếp trong trao đổi: yêu cầu dự kiến/sửa số container.</t>
        </is>
      </c>
      <c r="P104" s="57" t="n"/>
      <c r="Q104" s="57" t="n"/>
      <c r="R104" s="57" t="n"/>
      <c r="S104" s="57" t="n"/>
      <c r="T104" s="57" t="n"/>
      <c r="U104" s="57" t="n"/>
      <c r="V104" s="57" t="n"/>
      <c r="W104" s="57" t="n"/>
      <c r="X104" s="57" t="n"/>
      <c r="Y104" s="57" t="n"/>
      <c r="Z104" s="57" t="n"/>
    </row>
    <row r="105" ht="69.75" customHeight="1" s="94">
      <c r="A105" s="17" t="inlineStr">
        <is>
          <t>PR03</t>
        </is>
      </c>
      <c r="B105" s="18" t="inlineStr">
        <is>
          <t>03. Cắm/rút điện</t>
        </is>
      </c>
      <c r="C105" s="19" t="inlineStr">
        <is>
          <t>P0</t>
        </is>
      </c>
      <c r="D105" s="10" t="inlineStr">
        <is>
          <t>Khách gửi một yêu cầu gồm 3 container A, B, C: tạo một phiếu chung có 3 dòng container hay 3 phiếu riêng?</t>
        </is>
      </c>
      <c r="E105" s="10" t="inlineStr">
        <is>
          <t>A. 1 phiếu / nhiều dòng container; B. Mỗi cont 1 phiếu; C. Cho cả hai.</t>
        </is>
      </c>
      <c r="F105" s="55" t="inlineStr">
        <is>
          <t>B</t>
        </is>
      </c>
      <c r="G105" s="55" t="inlineStr">
        <is>
          <t>mỗi cont 1 phiếu nhiều dòng cắm rút</t>
        </is>
      </c>
      <c r="H105" s="25" t="inlineStr">
        <is>
          <t>Đã chốt</t>
        </is>
      </c>
      <c r="I105" s="10" t="inlineStr">
        <is>
          <t>Nghiệp vụ CCKB</t>
        </is>
      </c>
      <c r="J105" s="23" t="n"/>
      <c r="K105" s="26" t="n"/>
      <c r="L105" s="23" t="n"/>
      <c r="M105" s="10" t="inlineStr">
        <is>
          <t>Bổ sung từ trao đổi ngày 11/10/2026 về yêu cầu điện dự kiến và sửa số cont thực tế.</t>
        </is>
      </c>
      <c r="N105" s="32" t="inlineStr">
        <is>
          <t>Chưa trả lời</t>
        </is>
      </c>
      <c r="O105" s="33" t="inlineStr">
        <is>
          <t>Câu hỏi mới từ phần nghiệp vụ phát sinh; chờ bạn trả lời.</t>
        </is>
      </c>
      <c r="P105" s="57" t="n"/>
      <c r="Q105" s="57" t="n"/>
      <c r="R105" s="57" t="n"/>
      <c r="S105" s="57" t="n"/>
      <c r="T105" s="57" t="n"/>
      <c r="U105" s="57" t="n"/>
      <c r="V105" s="57" t="n"/>
      <c r="W105" s="57" t="n"/>
      <c r="X105" s="57" t="n"/>
      <c r="Y105" s="57" t="n"/>
      <c r="Z105" s="57" t="n"/>
    </row>
    <row r="106" ht="69.75" customHeight="1" s="94">
      <c r="A106" s="17" t="inlineStr">
        <is>
          <t>PR04</t>
        </is>
      </c>
      <c r="B106" s="18" t="inlineStr">
        <is>
          <t>03. Cắm/rút điện</t>
        </is>
      </c>
      <c r="C106" s="19" t="inlineStr">
        <is>
          <t>P0</t>
        </is>
      </c>
      <c r="D106" s="10" t="inlineStr">
        <is>
          <t>Khi An ninh ghi số cont lúc vào, hệ thống ghép yêu cầu dự kiến và lượt cont thực tế theo cách nào?</t>
        </is>
      </c>
      <c r="E106" s="10" t="inlineStr">
        <is>
          <t>A. Trùng số đầy đủ mới gợi ý ghép; B. Trùng 7 số cuối; C. Gợi ý nhưng phải xác nhận thủ công khi khác/không chắc.</t>
        </is>
      </c>
      <c r="F106" s="55" t="inlineStr">
        <is>
          <t>Khác</t>
        </is>
      </c>
      <c r="G106" s="55" t="inlineStr">
        <is>
          <t>Cả 3 cái nhưng gợi ý phải xác nhận thủ công hoặc sửa ấy</t>
        </is>
      </c>
      <c r="H106" s="25" t="inlineStr">
        <is>
          <t>Đã chốt</t>
        </is>
      </c>
      <c r="I106" s="10" t="inlineStr">
        <is>
          <t>An ninh + CCKB</t>
        </is>
      </c>
      <c r="J106" s="23" t="n"/>
      <c r="K106" s="26" t="n"/>
      <c r="L106" s="23" t="n"/>
      <c r="M106" s="10" t="inlineStr">
        <is>
          <t>Bổ sung từ trao đổi ngày 11/10/2026 về yêu cầu điện dự kiến và sửa số cont thực tế.</t>
        </is>
      </c>
      <c r="N106" s="32" t="inlineStr">
        <is>
          <t>Chưa trả lời</t>
        </is>
      </c>
      <c r="O106" s="33" t="inlineStr">
        <is>
          <t>Câu hỏi mới từ phần nghiệp vụ phát sinh; chờ bạn trả lời.</t>
        </is>
      </c>
      <c r="P106" s="57" t="n"/>
      <c r="Q106" s="57" t="n"/>
      <c r="R106" s="57" t="n"/>
      <c r="S106" s="57" t="n"/>
      <c r="T106" s="57" t="n"/>
      <c r="U106" s="57" t="n"/>
      <c r="V106" s="57" t="n"/>
      <c r="W106" s="57" t="n"/>
      <c r="X106" s="57" t="n"/>
      <c r="Y106" s="57" t="n"/>
      <c r="Z106" s="57" t="n"/>
    </row>
    <row r="107" ht="69.75" customHeight="1" s="94">
      <c r="A107" s="17" t="inlineStr">
        <is>
          <t>PR05</t>
        </is>
      </c>
      <c r="B107" s="18" t="inlineStr">
        <is>
          <t>03. Cắm/rút điện</t>
        </is>
      </c>
      <c r="C107" s="19" t="inlineStr">
        <is>
          <t>P1</t>
        </is>
      </c>
      <c r="D107" s="10" t="inlineStr">
        <is>
          <t>Yêu cầu cắm điện dự kiến bắt buộc nhập những trường nào khi cont chưa vào bãi?</t>
        </is>
      </c>
      <c r="E107" s="10" t="inlineStr">
        <is>
          <t>A. Số cont + khách hàng + loại yêu cầu; B. Thêm thời gian dự kiến/xe; C. Cho thiếu số cont và bổ sung sau.</t>
        </is>
      </c>
      <c r="F107" s="55" t="inlineStr">
        <is>
          <t>A</t>
        </is>
      </c>
      <c r="G107" s="23" t="n"/>
      <c r="H107" s="25" t="inlineStr">
        <is>
          <t>Đã chốt</t>
        </is>
      </c>
      <c r="I107" s="10" t="inlineStr">
        <is>
          <t>Nghiệp vụ CCKB</t>
        </is>
      </c>
      <c r="J107" s="23" t="n"/>
      <c r="K107" s="26" t="n"/>
      <c r="L107" s="23" t="n"/>
      <c r="M107" s="10" t="inlineStr">
        <is>
          <t>Bổ sung từ trao đổi ngày 11/10/2026 về yêu cầu điện dự kiến và sửa số cont thực tế.</t>
        </is>
      </c>
      <c r="N107" s="37" t="inlineStr">
        <is>
          <t>Chưa trả lời</t>
        </is>
      </c>
      <c r="O107" s="38" t="inlineStr">
        <is>
          <t>Câu hỏi mới từ phần nghiệp vụ phát sinh; chờ bạn trả lời.</t>
        </is>
      </c>
      <c r="P107" s="57" t="n"/>
      <c r="Q107" s="57" t="n"/>
      <c r="R107" s="57" t="n"/>
      <c r="S107" s="57" t="n"/>
      <c r="T107" s="57" t="n"/>
      <c r="U107" s="57" t="n"/>
      <c r="V107" s="57" t="n"/>
      <c r="W107" s="57" t="n"/>
      <c r="X107" s="57" t="n"/>
      <c r="Y107" s="57" t="n"/>
      <c r="Z107" s="57" t="n"/>
    </row>
    <row r="108" ht="69.75" customHeight="1" s="94">
      <c r="A108" s="17" t="inlineStr">
        <is>
          <t>PR06</t>
        </is>
      </c>
      <c r="B108" s="18" t="inlineStr">
        <is>
          <t>03. Cắm/rút điện</t>
        </is>
      </c>
      <c r="C108" s="19" t="inlineStr">
        <is>
          <t>P1</t>
        </is>
      </c>
      <c r="D108" s="10" t="inlineStr">
        <is>
          <t>Nếu container dự kiến không tới, tới muộn nhiều ngày hoặc khách hủy, xử lý yêu cầu dự kiến ra sao?</t>
        </is>
      </c>
      <c r="E108" s="10" t="inlineStr">
        <is>
          <t>A. Được hủy, giữ lịch sử; B. Tự hết hạn sau số ngày cấu hình; C. Cả hai.</t>
        </is>
      </c>
      <c r="F108" s="55" t="inlineStr">
        <is>
          <t>C</t>
        </is>
      </c>
      <c r="G108" s="23" t="n"/>
      <c r="H108" s="25" t="inlineStr">
        <is>
          <t>Đã chốt</t>
        </is>
      </c>
      <c r="I108" s="10" t="inlineStr">
        <is>
          <t>Nghiệp vụ CCKB</t>
        </is>
      </c>
      <c r="J108" s="23" t="n"/>
      <c r="K108" s="26" t="n"/>
      <c r="L108" s="23" t="n"/>
      <c r="M108" s="10" t="inlineStr">
        <is>
          <t>Bổ sung từ trao đổi ngày 11/10/2026 về yêu cầu điện dự kiến và sửa số cont thực tế.</t>
        </is>
      </c>
      <c r="N108" s="37" t="inlineStr">
        <is>
          <t>Chưa trả lời</t>
        </is>
      </c>
      <c r="O108" s="38" t="inlineStr">
        <is>
          <t>Câu hỏi mới từ phần nghiệp vụ phát sinh; chờ bạn trả lời.</t>
        </is>
      </c>
      <c r="P108" s="57" t="n"/>
      <c r="Q108" s="57" t="n"/>
      <c r="R108" s="57" t="n"/>
      <c r="S108" s="57" t="n"/>
      <c r="T108" s="57" t="n"/>
      <c r="U108" s="57" t="n"/>
      <c r="V108" s="57" t="n"/>
      <c r="W108" s="57" t="n"/>
      <c r="X108" s="57" t="n"/>
      <c r="Y108" s="57" t="n"/>
      <c r="Z108" s="57" t="n"/>
    </row>
    <row r="109" ht="69.75" customHeight="1" s="94">
      <c r="A109" s="17" t="inlineStr">
        <is>
          <t>PR07</t>
        </is>
      </c>
      <c r="B109" s="18" t="inlineStr">
        <is>
          <t>03. Cắm/rút điện</t>
        </is>
      </c>
      <c r="C109" s="19" t="inlineStr">
        <is>
          <t>P0</t>
        </is>
      </c>
      <c r="D109" s="10" t="inlineStr">
        <is>
          <t>Khi khách đổi số cont A thành B trước khi xe vào, ai được phép sửa thông tin dự kiến và có thông báo An ninh không?</t>
        </is>
      </c>
      <c r="E109" s="10" t="inlineStr">
        <is>
          <t>A. NV CCKB sửa + cảnh báo An ninh; B. TBP CCKB duyệt; C. Khác.</t>
        </is>
      </c>
      <c r="F109" s="55" t="inlineStr">
        <is>
          <t>A</t>
        </is>
      </c>
      <c r="G109" s="23" t="n"/>
      <c r="H109" s="25" t="inlineStr">
        <is>
          <t>Đã chốt</t>
        </is>
      </c>
      <c r="I109" s="10" t="inlineStr">
        <is>
          <t>Nghiệp vụ CCKB + An ninh</t>
        </is>
      </c>
      <c r="J109" s="23" t="n"/>
      <c r="K109" s="26" t="n"/>
      <c r="L109" s="23" t="n"/>
      <c r="M109" s="10" t="inlineStr">
        <is>
          <t>Bổ sung từ trao đổi ngày 11/10/2026 về yêu cầu điện dự kiến và sửa số cont thực tế.</t>
        </is>
      </c>
      <c r="N109" s="32" t="inlineStr">
        <is>
          <t>Chưa trả lời</t>
        </is>
      </c>
      <c r="O109" s="33" t="inlineStr">
        <is>
          <t>Câu hỏi mới từ phần nghiệp vụ phát sinh; chờ bạn trả lời.</t>
        </is>
      </c>
      <c r="P109" s="57" t="n"/>
      <c r="Q109" s="57" t="n"/>
      <c r="R109" s="57" t="n"/>
      <c r="S109" s="57" t="n"/>
      <c r="T109" s="57" t="n"/>
      <c r="U109" s="57" t="n"/>
      <c r="V109" s="57" t="n"/>
      <c r="W109" s="57" t="n"/>
      <c r="X109" s="57" t="n"/>
      <c r="Y109" s="57" t="n"/>
      <c r="Z109" s="57" t="n"/>
    </row>
    <row r="110" ht="69.75" customHeight="1" s="94">
      <c r="A110" s="17" t="inlineStr">
        <is>
          <t>SC01</t>
        </is>
      </c>
      <c r="B110" s="18" t="inlineStr">
        <is>
          <t>06. Điều phối / container</t>
        </is>
      </c>
      <c r="C110" s="19" t="inlineStr">
        <is>
          <t>P0</t>
        </is>
      </c>
      <c r="D110" s="10" t="inlineStr">
        <is>
          <t>An ninh phát hiện số container đã nhập sai (do khách hàng, CCKB hoặc An ninh nhầm): có được sửa và báo CCKB không?</t>
        </is>
      </c>
      <c r="E110" s="10" t="inlineStr">
        <is>
          <t>A. An ninh sửa trực tiếp, tự thông báo CCKB; B. Chỉ đề nghị CCKB sửa; C. Phê duyệt từng lần.</t>
        </is>
      </c>
      <c r="F110" s="23" t="inlineStr">
        <is>
          <t>A</t>
        </is>
      </c>
      <c r="G110" s="23" t="inlineStr">
        <is>
          <t>An ninh cần sửa được số container khi đối chiếu thực tế và phải báo lại cho CCKB; các trường hợp đã thu/đã xuất cần quy trình kiểm soát riêng.</t>
        </is>
      </c>
      <c r="H110" s="49" t="inlineStr">
        <is>
          <t>Đã chốt</t>
        </is>
      </c>
      <c r="I110" s="10" t="inlineStr">
        <is>
          <t>An ninh + CCKB</t>
        </is>
      </c>
      <c r="J110" s="23" t="n"/>
      <c r="K110" s="26" t="n"/>
      <c r="L110" s="23" t="n"/>
      <c r="M110" s="10" t="inlineStr">
        <is>
          <t>Bổ sung từ trao đổi ngày 11/10/2026 về yêu cầu điện dự kiến và sửa số cont thực tế.</t>
        </is>
      </c>
      <c r="N110" s="27" t="inlineStr">
        <is>
          <t>Đủ rõ để đặc tả</t>
        </is>
      </c>
      <c r="O110" s="28" t="inlineStr">
        <is>
          <t>Đã xác nhận trực tiếp trong trao đổi: yêu cầu dự kiến/sửa số container.</t>
        </is>
      </c>
      <c r="P110" s="57" t="n"/>
      <c r="Q110" s="57" t="n"/>
      <c r="R110" s="57" t="n"/>
      <c r="S110" s="57" t="n"/>
      <c r="T110" s="57" t="n"/>
      <c r="U110" s="57" t="n"/>
      <c r="V110" s="57" t="n"/>
      <c r="W110" s="57" t="n"/>
      <c r="X110" s="57" t="n"/>
      <c r="Y110" s="57" t="n"/>
      <c r="Z110" s="57" t="n"/>
    </row>
    <row r="111" ht="69.75" customHeight="1" s="94">
      <c r="A111" s="17" t="inlineStr">
        <is>
          <t>SC02</t>
        </is>
      </c>
      <c r="B111" s="18" t="inlineStr">
        <is>
          <t>06. Điều phối / container</t>
        </is>
      </c>
      <c r="C111" s="19" t="inlineStr">
        <is>
          <t>P0</t>
        </is>
      </c>
      <c r="D111" s="10" t="inlineStr">
        <is>
          <t>Nếu phát hiện sai số container SAU khi cắm/rút điện hoặc đã thu tiền, có cho sửa trực tiếp hay phải trình duyệt?</t>
        </is>
      </c>
      <c r="E111" s="10" t="inlineStr">
        <is>
          <t>A. An ninh sửa nhưng khoản phí đã thu giữ nguyên, CCKB đối soát; B. TBP duyệt trước; C. Cách khác.</t>
        </is>
      </c>
      <c r="F111" s="55" t="inlineStr">
        <is>
          <t>A</t>
        </is>
      </c>
      <c r="G111" s="23" t="n"/>
      <c r="H111" s="25" t="inlineStr">
        <is>
          <t>Đã chốt</t>
        </is>
      </c>
      <c r="I111" s="10" t="inlineStr">
        <is>
          <t>TBP CCKB + TBP An ninh</t>
        </is>
      </c>
      <c r="J111" s="23" t="n"/>
      <c r="K111" s="26" t="n"/>
      <c r="L111" s="23" t="n"/>
      <c r="M111" s="10" t="inlineStr">
        <is>
          <t>Bổ sung từ trao đổi ngày 11/10/2026 về yêu cầu điện dự kiến và sửa số cont thực tế.</t>
        </is>
      </c>
      <c r="N111" s="32" t="inlineStr">
        <is>
          <t>Chưa trả lời</t>
        </is>
      </c>
      <c r="O111" s="33" t="inlineStr">
        <is>
          <t>Câu hỏi mới từ phần nghiệp vụ phát sinh; chờ bạn trả lời.</t>
        </is>
      </c>
      <c r="P111" s="57" t="n"/>
      <c r="Q111" s="57" t="n"/>
      <c r="R111" s="57" t="n"/>
      <c r="S111" s="57" t="n"/>
      <c r="T111" s="57" t="n"/>
      <c r="U111" s="57" t="n"/>
      <c r="V111" s="57" t="n"/>
      <c r="W111" s="57" t="n"/>
      <c r="X111" s="57" t="n"/>
      <c r="Y111" s="57" t="n"/>
      <c r="Z111" s="57" t="n"/>
    </row>
    <row r="112" ht="69.75" customHeight="1" s="94">
      <c r="A112" s="17" t="inlineStr">
        <is>
          <t>SC03</t>
        </is>
      </c>
      <c r="B112" s="18" t="inlineStr">
        <is>
          <t>06. Điều phối / container</t>
        </is>
      </c>
      <c r="C112" s="19" t="inlineStr">
        <is>
          <t>P1</t>
        </is>
      </c>
      <c r="D112" s="10" t="inlineStr">
        <is>
          <t>Khi An ninh sửa số cont vì ảnh/video tại hiện trường cho thấy sai, có bắt buộc đính kèm ảnh hoặc video không?</t>
        </is>
      </c>
      <c r="E112" s="10" t="inlineStr">
        <is>
          <t>A. Bắt buộc ảnh/video; B. Khuyến khích, nếu thiếu phải ghi lý do; C. Không bắt buộc.</t>
        </is>
      </c>
      <c r="F112" s="55" t="inlineStr">
        <is>
          <t>B</t>
        </is>
      </c>
      <c r="G112" s="23" t="n"/>
      <c r="H112" s="25" t="inlineStr">
        <is>
          <t>Đã chốt</t>
        </is>
      </c>
      <c r="I112" s="10" t="inlineStr">
        <is>
          <t>An ninh + CCKB</t>
        </is>
      </c>
      <c r="J112" s="23" t="n"/>
      <c r="K112" s="26" t="n"/>
      <c r="L112" s="23" t="n"/>
      <c r="M112" s="10" t="inlineStr">
        <is>
          <t>Bổ sung từ trao đổi ngày 11/10/2026 về yêu cầu điện dự kiến và sửa số cont thực tế.</t>
        </is>
      </c>
      <c r="N112" s="37" t="inlineStr">
        <is>
          <t>Chưa trả lời</t>
        </is>
      </c>
      <c r="O112" s="38" t="inlineStr">
        <is>
          <t>Câu hỏi mới từ phần nghiệp vụ phát sinh; chờ bạn trả lời.</t>
        </is>
      </c>
      <c r="P112" s="57" t="n"/>
      <c r="Q112" s="57" t="n"/>
      <c r="R112" s="57" t="n"/>
      <c r="S112" s="57" t="n"/>
      <c r="T112" s="57" t="n"/>
      <c r="U112" s="57" t="n"/>
      <c r="V112" s="57" t="n"/>
      <c r="W112" s="57" t="n"/>
      <c r="X112" s="57" t="n"/>
      <c r="Y112" s="57" t="n"/>
      <c r="Z112" s="57" t="n"/>
    </row>
    <row r="113" ht="69.75" customHeight="1" s="94">
      <c r="A113" s="17" t="inlineStr">
        <is>
          <t>SC04</t>
        </is>
      </c>
      <c r="B113" s="18" t="inlineStr">
        <is>
          <t>06. Điều phối / container</t>
        </is>
      </c>
      <c r="C113" s="19" t="inlineStr">
        <is>
          <t>P0</t>
        </is>
      </c>
      <c r="D113" s="10" t="inlineStr">
        <is>
          <t>Sau khi An ninh sửa số cont, CCKB nhận thông báo và xác nhận lại bằng cách nào?</t>
        </is>
      </c>
      <c r="E113" s="10" t="inlineStr">
        <is>
          <t>A. Thông báo trong PWA + trạng thái chờ CCKB xem; B. Tự động gửi Zalo; C. PWA + gửi Zalo thủ công.</t>
        </is>
      </c>
      <c r="F113" s="55" t="inlineStr">
        <is>
          <t>A</t>
        </is>
      </c>
      <c r="G113" s="23" t="n"/>
      <c r="H113" s="25" t="inlineStr">
        <is>
          <t>Đã chốt</t>
        </is>
      </c>
      <c r="I113" s="10" t="inlineStr">
        <is>
          <t>Nghiệp vụ CCKB + An ninh</t>
        </is>
      </c>
      <c r="J113" s="23" t="n"/>
      <c r="K113" s="26" t="n"/>
      <c r="L113" s="23" t="n"/>
      <c r="M113" s="10" t="inlineStr">
        <is>
          <t>Bổ sung từ trao đổi ngày 11/10/2026 về yêu cầu điện dự kiến và sửa số cont thực tế.</t>
        </is>
      </c>
      <c r="N113" s="32" t="inlineStr">
        <is>
          <t>Chưa trả lời</t>
        </is>
      </c>
      <c r="O113" s="33" t="inlineStr">
        <is>
          <t>Câu hỏi mới từ phần nghiệp vụ phát sinh; chờ bạn trả lời.</t>
        </is>
      </c>
      <c r="P113" s="57" t="n"/>
      <c r="Q113" s="57" t="n"/>
      <c r="R113" s="57" t="n"/>
      <c r="S113" s="57" t="n"/>
      <c r="T113" s="57" t="n"/>
      <c r="U113" s="57" t="n"/>
      <c r="V113" s="57" t="n"/>
      <c r="W113" s="57" t="n"/>
      <c r="X113" s="57" t="n"/>
      <c r="Y113" s="57" t="n"/>
      <c r="Z113" s="57" t="n"/>
    </row>
    <row r="114" ht="69.75" customHeight="1" s="94">
      <c r="A114" s="17" t="inlineStr">
        <is>
          <t>SC05</t>
        </is>
      </c>
      <c r="B114" s="18" t="inlineStr">
        <is>
          <t>06. Điều phối / container</t>
        </is>
      </c>
      <c r="C114" s="19" t="inlineStr">
        <is>
          <t>P0</t>
        </is>
      </c>
      <c r="D114" s="10" t="inlineStr">
        <is>
          <t>Khi cont thực tế khác số cont CCKB đã ghi dự kiến, cần cập nhật phiếu dự kiến hay tạo yêu cầu mới?</t>
        </is>
      </c>
      <c r="E114" s="10" t="inlineStr">
        <is>
          <t>A. Sửa số dự kiến và giữ lịch sử; B. Hủy dòng sai + tạo dòng mới; C. Tùy trường hợp.</t>
        </is>
      </c>
      <c r="F114" s="55" t="inlineStr">
        <is>
          <t>A</t>
        </is>
      </c>
      <c r="G114" s="23" t="n"/>
      <c r="H114" s="25" t="inlineStr">
        <is>
          <t>Đã chốt</t>
        </is>
      </c>
      <c r="I114" s="10" t="inlineStr">
        <is>
          <t>Nghiệp vụ CCKB</t>
        </is>
      </c>
      <c r="J114" s="23" t="n"/>
      <c r="K114" s="26" t="n"/>
      <c r="L114" s="23" t="n"/>
      <c r="M114" s="10" t="inlineStr">
        <is>
          <t>Bổ sung từ trao đổi ngày 11/10/2026 về yêu cầu điện dự kiến và sửa số cont thực tế.</t>
        </is>
      </c>
      <c r="N114" s="32" t="inlineStr">
        <is>
          <t>Chưa trả lời</t>
        </is>
      </c>
      <c r="O114" s="33" t="inlineStr">
        <is>
          <t>Câu hỏi mới từ phần nghiệp vụ phát sinh; chờ bạn trả lời.</t>
        </is>
      </c>
      <c r="P114" s="57" t="n"/>
      <c r="Q114" s="57" t="n"/>
      <c r="R114" s="57" t="n"/>
      <c r="S114" s="57" t="n"/>
      <c r="T114" s="57" t="n"/>
      <c r="U114" s="57" t="n"/>
      <c r="V114" s="57" t="n"/>
      <c r="W114" s="57" t="n"/>
      <c r="X114" s="57" t="n"/>
      <c r="Y114" s="57" t="n"/>
      <c r="Z114" s="57" t="n"/>
    </row>
    <row r="115" ht="69.75" customHeight="1" s="94">
      <c r="A115" s="17" t="inlineStr">
        <is>
          <t>SC06</t>
        </is>
      </c>
      <c r="B115" s="18" t="inlineStr">
        <is>
          <t>06. Điều phối / container</t>
        </is>
      </c>
      <c r="C115" s="19" t="inlineStr">
        <is>
          <t>P0</t>
        </is>
      </c>
      <c r="D115" s="10" t="inlineStr">
        <is>
          <t>Nếu số cont sửa thành số đang thuộc một lượt container khác đang trong bãi, có cho lưu không?</t>
        </is>
      </c>
      <c r="E115" s="10" t="inlineStr">
        <is>
          <t>A. Chặn tự động và yêu cầu TBP xử lý; B. Cho trùng có cảnh báo; C. Quy định khác.</t>
        </is>
      </c>
      <c r="F115" s="55" t="inlineStr">
        <is>
          <t>B</t>
        </is>
      </c>
      <c r="G115" s="23" t="n"/>
      <c r="H115" s="25" t="inlineStr">
        <is>
          <t>Đã chốt</t>
        </is>
      </c>
      <c r="I115" s="10" t="inlineStr">
        <is>
          <t>An ninh + CCKB + Điều phối</t>
        </is>
      </c>
      <c r="J115" s="23" t="n"/>
      <c r="K115" s="26" t="n"/>
      <c r="L115" s="23" t="n"/>
      <c r="M115" s="10" t="inlineStr">
        <is>
          <t>Bổ sung từ trao đổi ngày 11/10/2026 về yêu cầu điện dự kiến và sửa số cont thực tế.</t>
        </is>
      </c>
      <c r="N115" s="32" t="inlineStr">
        <is>
          <t>Chưa trả lời</t>
        </is>
      </c>
      <c r="O115" s="33" t="inlineStr">
        <is>
          <t>Câu hỏi mới từ phần nghiệp vụ phát sinh; chờ bạn trả lời.</t>
        </is>
      </c>
      <c r="P115" s="57" t="n"/>
      <c r="Q115" s="57" t="n"/>
      <c r="R115" s="57" t="n"/>
      <c r="S115" s="57" t="n"/>
      <c r="T115" s="57" t="n"/>
      <c r="U115" s="57" t="n"/>
      <c r="V115" s="57" t="n"/>
      <c r="W115" s="57" t="n"/>
      <c r="X115" s="57" t="n"/>
      <c r="Y115" s="57" t="n"/>
      <c r="Z115" s="57" t="n"/>
    </row>
    <row r="116" ht="69.75" customHeight="1" s="94">
      <c r="A116" s="17" t="inlineStr">
        <is>
          <t>SC07</t>
        </is>
      </c>
      <c r="B116" s="18" t="inlineStr">
        <is>
          <t>06. Điều phối / container</t>
        </is>
      </c>
      <c r="C116" s="19" t="inlineStr">
        <is>
          <t>P1</t>
        </is>
      </c>
      <c r="D116" s="10" t="inlineStr">
        <is>
          <t>An ninh/CCKB cần hỗ trợ tra cứu số cont bằng 7 số cuối và gợi ý mã gần giống (không tự thay mã) không?</t>
        </is>
      </c>
      <c r="E116" s="10" t="inlineStr">
        <is>
          <t>A. Có tìm 7 số cuối + cảnh báo mã gần giống; B. Chỉ tìm đúng toàn bộ; C. Khác.</t>
        </is>
      </c>
      <c r="F116" s="55" t="inlineStr">
        <is>
          <t>A</t>
        </is>
      </c>
      <c r="G116" s="23" t="n"/>
      <c r="H116" s="25" t="inlineStr">
        <is>
          <t>Đã chốt</t>
        </is>
      </c>
      <c r="I116" s="10" t="inlineStr">
        <is>
          <t>An ninh + CCKB</t>
        </is>
      </c>
      <c r="J116" s="23" t="n"/>
      <c r="K116" s="26" t="n"/>
      <c r="L116" s="23" t="n"/>
      <c r="M116" s="10" t="inlineStr">
        <is>
          <t>Bổ sung từ trao đổi ngày 11/10/2026 về yêu cầu điện dự kiến và sửa số cont thực tế.</t>
        </is>
      </c>
      <c r="N116" s="37" t="inlineStr">
        <is>
          <t>Chưa trả lời</t>
        </is>
      </c>
      <c r="O116" s="38" t="inlineStr">
        <is>
          <t>Câu hỏi mới từ phần nghiệp vụ phát sinh; chờ bạn trả lời.</t>
        </is>
      </c>
      <c r="P116" s="57" t="n"/>
      <c r="Q116" s="57" t="n"/>
      <c r="R116" s="57" t="n"/>
      <c r="S116" s="57" t="n"/>
      <c r="T116" s="57" t="n"/>
      <c r="U116" s="57" t="n"/>
      <c r="V116" s="57" t="n"/>
      <c r="W116" s="57" t="n"/>
      <c r="X116" s="57" t="n"/>
      <c r="Y116" s="57" t="n"/>
      <c r="Z116" s="57" t="n"/>
    </row>
    <row r="117" ht="69.75" customHeight="1" s="94">
      <c r="A117" s="17" t="inlineStr">
        <is>
          <t>SC08</t>
        </is>
      </c>
      <c r="B117" s="18" t="inlineStr">
        <is>
          <t>06. Điều phối / container</t>
        </is>
      </c>
      <c r="C117" s="19" t="inlineStr">
        <is>
          <t>P0</t>
        </is>
      </c>
      <c r="D117" s="10" t="inlineStr">
        <is>
          <t>Nếu đã cấp đủ điều kiện tài chính rồi phát hiện sai số cont, cần thu hồi duyệt xuất và kiểm tra lại phí không?</t>
        </is>
      </c>
      <c r="E117" s="10" t="inlineStr">
        <is>
          <t>A. Tạm khóa xuất, CCKB tái xác nhận; B. Chỉ cảnh báo, vẫn cho ra; C. Theo hạn mức.</t>
        </is>
      </c>
      <c r="F117" s="55" t="inlineStr">
        <is>
          <t>B</t>
        </is>
      </c>
      <c r="G117" s="23" t="n"/>
      <c r="H117" s="25" t="inlineStr">
        <is>
          <t>Đã chốt</t>
        </is>
      </c>
      <c r="I117" s="10" t="inlineStr">
        <is>
          <t>TBP CCKB + TBP An ninh</t>
        </is>
      </c>
      <c r="J117" s="23" t="n"/>
      <c r="K117" s="26" t="n"/>
      <c r="L117" s="23" t="n"/>
      <c r="M117" s="10" t="inlineStr">
        <is>
          <t>Bổ sung từ trao đổi ngày 11/10/2026 về yêu cầu điện dự kiến và sửa số cont thực tế.</t>
        </is>
      </c>
      <c r="N117" s="32" t="inlineStr">
        <is>
          <t>Chưa trả lời</t>
        </is>
      </c>
      <c r="O117" s="33" t="inlineStr">
        <is>
          <t>Câu hỏi mới từ phần nghiệp vụ phát sinh; chờ bạn trả lời.</t>
        </is>
      </c>
      <c r="P117" s="57" t="n"/>
      <c r="Q117" s="57" t="n"/>
      <c r="R117" s="57" t="n"/>
      <c r="S117" s="57" t="n"/>
      <c r="T117" s="57" t="n"/>
      <c r="U117" s="57" t="n"/>
      <c r="V117" s="57" t="n"/>
      <c r="W117" s="57" t="n"/>
      <c r="X117" s="57" t="n"/>
      <c r="Y117" s="57" t="n"/>
      <c r="Z117" s="57" t="n"/>
    </row>
    <row r="118" ht="73.5" customHeight="1" s="94">
      <c r="A118" s="17" t="inlineStr">
        <is>
          <t>INV01</t>
        </is>
      </c>
      <c r="B118" s="18" t="inlineStr">
        <is>
          <t>04. Thanh toán</t>
        </is>
      </c>
      <c r="C118" s="19" t="inlineStr">
        <is>
          <t>P0</t>
        </is>
      </c>
      <c r="D118" s="10" t="inlineStr">
        <is>
          <t>Khi An ninh nhận thông tin xuất hóa đơn tại cổng vào, những trường nào bắt buộc theo từng loại khách hàng?</t>
        </is>
      </c>
      <c r="E118" s="56" t="inlineStr">
        <is>
          <t>A. Có cờ Cần hóa đơn + tên/MST hoặc CCCD/địa chỉ; B. Bắt buộc đủ tất cả trường; C. Linh hoạt theo loại khách.</t>
        </is>
      </c>
      <c r="F118" s="55" t="inlineStr">
        <is>
          <t>Khác</t>
        </is>
      </c>
      <c r="G118" s="55" t="inlineStr">
        <is>
          <t>An ninh hiện tại k điền cái này họ ghi tay thôi, kế toán sẽ đảm nhiệm phần A. Có cờ Cần hóa đơn + tên/MST hoặc CCCD/địa chỉ;</t>
        </is>
      </c>
      <c r="H118" s="25" t="inlineStr">
        <is>
          <t>Đã chốt</t>
        </is>
      </c>
      <c r="I118" s="10" t="inlineStr">
        <is>
          <t>An ninh + CCKB + Kế toán</t>
        </is>
      </c>
      <c r="J118" s="23" t="n"/>
      <c r="K118" s="26" t="n"/>
      <c r="L118" s="23" t="n"/>
      <c r="M118" s="10" t="inlineStr">
        <is>
          <t>V1 T12: khách cần hóa đơn/không cần, có họ tên/tên công ty/MST-CCCD/thường trú/điện thoại/email.</t>
        </is>
      </c>
      <c r="N118" s="32" t="inlineStr">
        <is>
          <t>Chưa trả lời</t>
        </is>
      </c>
      <c r="O118" s="33" t="inlineStr">
        <is>
          <t>Câu hỏi mới từ phần nghiệp vụ phát sinh; chờ bạn trả lời.</t>
        </is>
      </c>
      <c r="P118" s="57" t="n"/>
      <c r="Q118" s="57" t="n"/>
      <c r="R118" s="57" t="n"/>
      <c r="S118" s="57" t="n"/>
      <c r="T118" s="57" t="n"/>
      <c r="U118" s="57" t="n"/>
      <c r="V118" s="57" t="n"/>
      <c r="W118" s="57" t="n"/>
      <c r="X118" s="57" t="n"/>
      <c r="Y118" s="57" t="n"/>
      <c r="Z118" s="57" t="n"/>
    </row>
    <row r="119" ht="73.5" customHeight="1" s="94">
      <c r="A119" s="17" t="inlineStr">
        <is>
          <t>INV02</t>
        </is>
      </c>
      <c r="B119" s="18" t="inlineStr">
        <is>
          <t>04. Thanh toán</t>
        </is>
      </c>
      <c r="C119" s="19" t="inlineStr">
        <is>
          <t>P1</t>
        </is>
      </c>
      <c r="D119" s="10" t="inlineStr">
        <is>
          <t>V1 cần chuyển yêu cầu xuất hóa đơn sang Kế toán và thống kê báo cáo hay chỉ lưu thông tin để làm sau?</t>
        </is>
      </c>
      <c r="E119" s="10" t="inlineStr">
        <is>
          <t>A. V1 nhập + danh sách cần xuất hóa đơn; B. V1 phát hành hóa đơn tích hợp; C. Chỉ giữ dữ liệu.</t>
        </is>
      </c>
      <c r="F119" s="55" t="inlineStr">
        <is>
          <t>C</t>
        </is>
      </c>
      <c r="G119" s="23" t="n"/>
      <c r="H119" s="25" t="inlineStr">
        <is>
          <t>Đã chốt</t>
        </is>
      </c>
      <c r="I119" s="10" t="inlineStr">
        <is>
          <t>CCKB + Kế toán</t>
        </is>
      </c>
      <c r="J119" s="23" t="n"/>
      <c r="K119" s="26" t="n"/>
      <c r="L119" s="23" t="n"/>
      <c r="M119" s="10" t="inlineStr">
        <is>
          <t>V1 T12: Kế toán muốn tham gia giai đoạn sau.</t>
        </is>
      </c>
      <c r="N119" s="37" t="inlineStr">
        <is>
          <t>Chưa trả lời</t>
        </is>
      </c>
      <c r="O119" s="38" t="inlineStr">
        <is>
          <t>Câu hỏi mới từ phần nghiệp vụ phát sinh; chờ bạn trả lời.</t>
        </is>
      </c>
      <c r="P119" s="57" t="n"/>
      <c r="Q119" s="57" t="n"/>
      <c r="R119" s="57" t="n"/>
      <c r="S119" s="57" t="n"/>
      <c r="T119" s="57" t="n"/>
      <c r="U119" s="57" t="n"/>
      <c r="V119" s="57" t="n"/>
      <c r="W119" s="57" t="n"/>
      <c r="X119" s="57" t="n"/>
      <c r="Y119" s="57" t="n"/>
      <c r="Z119" s="57" t="n"/>
    </row>
    <row r="120" ht="73.5" customHeight="1" s="94">
      <c r="A120" s="17" t="inlineStr">
        <is>
          <t>OUT01</t>
        </is>
      </c>
      <c r="B120" s="18" t="inlineStr">
        <is>
          <t>04. Thanh toán</t>
        </is>
      </c>
      <c r="C120" s="19" t="inlineStr">
        <is>
          <t>P0</t>
        </is>
      </c>
      <c r="D120" s="10" t="inlineStr">
        <is>
          <t>Khi CCKB xác nhận cho container ra dù chưa ghi nhận đủ tiền, ai có quyền và có bắt buộc ghi lý do/cảnh báo công nợ không?</t>
        </is>
      </c>
      <c r="E120" s="10" t="inlineStr">
        <is>
          <t>A. NV CCKB duyệt thủ công, ghi lý do; B. TBP CCKB duyệt; C. Theo ngưỡng tiền.</t>
        </is>
      </c>
      <c r="F120" s="55" t="inlineStr">
        <is>
          <t>A</t>
        </is>
      </c>
      <c r="G120" s="23" t="n"/>
      <c r="H120" s="25" t="inlineStr">
        <is>
          <t>Đã chốt</t>
        </is>
      </c>
      <c r="I120" s="10" t="inlineStr">
        <is>
          <t>TBP CCKB + An ninh</t>
        </is>
      </c>
      <c r="J120" s="23" t="n"/>
      <c r="K120" s="26" t="n"/>
      <c r="L120" s="23" t="n"/>
      <c r="M120" s="10" t="inlineStr">
        <is>
          <t>V1 T08: có nút cho ra thủ công, phải hiện cảnh báo nếu chưa thu.</t>
        </is>
      </c>
      <c r="N120" s="32" t="inlineStr">
        <is>
          <t>Chưa trả lời</t>
        </is>
      </c>
      <c r="O120" s="33" t="inlineStr">
        <is>
          <t>Câu hỏi mới từ phần nghiệp vụ phát sinh; chờ bạn trả lời.</t>
        </is>
      </c>
      <c r="P120" s="57" t="n"/>
      <c r="Q120" s="57" t="n"/>
      <c r="R120" s="57" t="n"/>
      <c r="S120" s="57" t="n"/>
      <c r="T120" s="57" t="n"/>
      <c r="U120" s="57" t="n"/>
      <c r="V120" s="57" t="n"/>
      <c r="W120" s="57" t="n"/>
      <c r="X120" s="57" t="n"/>
      <c r="Y120" s="57" t="n"/>
      <c r="Z120" s="57" t="n"/>
    </row>
    <row r="121" ht="73.5" customHeight="1" s="94">
      <c r="A121" s="17" t="inlineStr">
        <is>
          <t>CNT01</t>
        </is>
      </c>
      <c r="B121" s="18" t="inlineStr">
        <is>
          <t>02. Lưu container</t>
        </is>
      </c>
      <c r="C121" s="19" t="inlineStr">
        <is>
          <t>P0</t>
        </is>
      </c>
      <c r="D121" s="10" t="inlineStr">
        <is>
          <t>Phí lưu chốt theo giờ CCKB duyệt/thu hay giờ container ra thật? Ai kiểm tra tiền cuối cùng: An ninh hay CCKB?</t>
        </is>
      </c>
      <c r="E121" s="10" t="inlineStr">
        <is>
          <t>A. Chốt tại lần thu/duyệt CCKB; B. Chốt tại giờ ra thực tế + An ninh kiểm tra/CCKB thu; C. Kết hợp theo quy trình.</t>
        </is>
      </c>
      <c r="F121" s="55" t="inlineStr">
        <is>
          <t>B</t>
        </is>
      </c>
      <c r="G121" s="55" t="inlineStr">
        <is>
          <t>Phí lưu là an ninh chốt theo lúc container đó ra, an ninh thu phí lưu nhé</t>
        </is>
      </c>
      <c r="H121" s="25" t="inlineStr">
        <is>
          <t>Đã chốt</t>
        </is>
      </c>
      <c r="I121" s="10" t="inlineStr">
        <is>
          <t>TBP CCKB + TBP An ninh</t>
        </is>
      </c>
      <c r="J121" s="23" t="n"/>
      <c r="K121" s="26" t="n"/>
      <c r="L121" s="23" t="n"/>
      <c r="M121" s="10" t="inlineStr">
        <is>
          <t>Mâu thuẫn L04, T03, T09 trong V1 đã trả lời.</t>
        </is>
      </c>
      <c r="N121" s="32" t="inlineStr">
        <is>
          <t>Chưa trả lời</t>
        </is>
      </c>
      <c r="O121" s="33" t="inlineStr">
        <is>
          <t>Câu hỏi mới từ phần nghiệp vụ phát sinh; chờ bạn trả lời.</t>
        </is>
      </c>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O$121"/>
  <mergeCells count="2">
    <mergeCell ref="A1:O1"/>
    <mergeCell ref="A2:O2"/>
  </mergeCells>
  <conditionalFormatting sqref="H5:H102 H121">
    <cfRule type="expression" priority="1" dxfId="0">
      <formula>H5="Đã chốt"</formula>
    </cfRule>
    <cfRule type="expression" priority="2" dxfId="1">
      <formula>H5="Chờ trả lời"</formula>
    </cfRule>
  </conditionalFormatting>
  <conditionalFormatting sqref="H103:H117">
    <cfRule type="expression" priority="3" dxfId="0">
      <formula>H5="Đã chốt"</formula>
    </cfRule>
    <cfRule type="expression" priority="4" dxfId="1">
      <formula>H5="Chờ trả lời"</formula>
    </cfRule>
  </conditionalFormatting>
  <dataValidations count="2">
    <dataValidation sqref="H5:H121" showDropDown="0" showInputMessage="1" showErrorMessage="0" allowBlank="1" prompt="Chọn từ danh sách - Có thể chọn từ danh sách hoặc điền nội dung chi tiết ở cột bên cạnh." type="list">
      <formula1>"Chờ trả lời,Đang trao đổi,Đã chốt,Không áp dụng"</formula1>
    </dataValidation>
    <dataValidation sqref="F5:F121" showDropDown="0" showInputMessage="1" showErrorMessage="0" allowBlank="1" prompt="Chọn từ danh sách - Có thể chọn từ danh sách hoặc điền nội dung chi tiết ở cột bên cạnh." type="list">
      <formula1>"A,B,C,Khác,Không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0A9444"/>
    <outlinePr summaryBelow="1" summaryRight="1"/>
    <pageSetUpPr fitToPage="1"/>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94" min="1" max="1"/>
    <col width="26" customWidth="1" style="94" min="2" max="2"/>
    <col width="82" customWidth="1" style="94" min="3" max="3"/>
    <col width="70" customWidth="1" style="94" min="4" max="4"/>
    <col width="42" customWidth="1" style="94" min="5" max="5"/>
    <col width="16" customWidth="1" style="94" min="6" max="6"/>
    <col width="52" customWidth="1" style="94" min="7" max="7"/>
  </cols>
  <sheetData>
    <row r="1" ht="36" customHeight="1" s="94">
      <c r="A1" s="95" t="inlineStr">
        <is>
          <t>QUYẾT ĐỊNH ĐÃ XÁC NHẬN — BAO GỒM PHẢN HỒI V1</t>
        </is>
      </c>
      <c r="H1" s="57" t="n"/>
      <c r="I1" s="57" t="n"/>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Các mục còn cần điều kiện chi tiết được ghi rõ trong cột Quy tắc; không suy diễn là hoàn thành mọi phân quyền và ngoại lệ.</t>
        </is>
      </c>
      <c r="H2" s="57" t="n"/>
      <c r="I2" s="57" t="n"/>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STT</t>
        </is>
      </c>
      <c r="B4" s="6" t="inlineStr">
        <is>
          <t>Nhóm</t>
        </is>
      </c>
      <c r="C4" s="6" t="inlineStr">
        <is>
          <t>Quyết định đã xác nhận</t>
        </is>
      </c>
      <c r="D4" s="6" t="inlineStr">
        <is>
          <t>Giá trị / Quy tắc</t>
        </is>
      </c>
      <c r="E4" s="6" t="inlineStr">
        <is>
          <t>Trách nhiệm</t>
        </is>
      </c>
      <c r="F4" s="6" t="inlineStr">
        <is>
          <t>Trạng thái</t>
        </is>
      </c>
      <c r="G4" s="6" t="inlineStr">
        <is>
          <t>Nguồn xác nhận</t>
        </is>
      </c>
      <c r="H4" s="57" t="n"/>
      <c r="I4" s="57" t="n"/>
      <c r="J4" s="57" t="n"/>
      <c r="K4" s="57" t="n"/>
      <c r="L4" s="57" t="n"/>
      <c r="M4" s="57" t="n"/>
      <c r="N4" s="57" t="n"/>
      <c r="O4" s="57" t="n"/>
      <c r="P4" s="57" t="n"/>
      <c r="Q4" s="57" t="n"/>
      <c r="R4" s="57" t="n"/>
      <c r="S4" s="57" t="n"/>
      <c r="T4" s="57" t="n"/>
      <c r="U4" s="57" t="n"/>
      <c r="V4" s="57" t="n"/>
      <c r="W4" s="57" t="n"/>
      <c r="X4" s="57" t="n"/>
      <c r="Y4" s="57" t="n"/>
      <c r="Z4" s="57" t="n"/>
    </row>
    <row r="5" ht="30.75" customHeight="1" s="94">
      <c r="A5" s="8" t="n">
        <v>1</v>
      </c>
      <c r="B5" s="9" t="inlineStr">
        <is>
          <t>Phạm vi</t>
        </is>
      </c>
      <c r="C5" s="10" t="inlineStr">
        <is>
          <t>PWA/Web thay thế AppSheet Sơn Cảng sau nghiệm thu</t>
        </is>
      </c>
      <c r="D5" s="10" t="inlineStr">
        <is>
          <t>V1 có kiểm soát cổng, container, phí và cắm điện</t>
        </is>
      </c>
      <c r="E5" s="9" t="inlineStr">
        <is>
          <t>CNTT / Các BP</t>
        </is>
      </c>
      <c r="F5" s="9" t="inlineStr">
        <is>
          <t>Đã chốt</t>
        </is>
      </c>
      <c r="G5" s="9" t="inlineStr">
        <is>
          <t>Trao đổi do Sơn Cảng xác nhận, tháng 10/2026</t>
        </is>
      </c>
      <c r="H5" s="57" t="n"/>
      <c r="I5" s="57" t="n"/>
      <c r="J5" s="57" t="n"/>
      <c r="K5" s="57" t="n"/>
      <c r="L5" s="57" t="n"/>
      <c r="M5" s="57" t="n"/>
      <c r="N5" s="57" t="n"/>
      <c r="O5" s="57" t="n"/>
      <c r="P5" s="57" t="n"/>
      <c r="Q5" s="57" t="n"/>
      <c r="R5" s="57" t="n"/>
      <c r="S5" s="57" t="n"/>
      <c r="T5" s="57" t="n"/>
      <c r="U5" s="57" t="n"/>
      <c r="V5" s="57" t="n"/>
      <c r="W5" s="57" t="n"/>
      <c r="X5" s="57" t="n"/>
      <c r="Y5" s="57" t="n"/>
      <c r="Z5" s="57" t="n"/>
    </row>
    <row r="6" ht="30.75" customHeight="1" s="94">
      <c r="A6" s="13" t="n">
        <v>2</v>
      </c>
      <c r="B6" s="14" t="inlineStr">
        <is>
          <t>Phạm vi</t>
        </is>
      </c>
      <c r="C6" s="16" t="inlineStr">
        <is>
          <t>Xây phân hệ cắm điện container ngay trong V1</t>
        </is>
      </c>
      <c r="D6" s="16" t="inlineStr">
        <is>
          <t>Dùng chung dữ liệu container và cơ chế thanh toán</t>
        </is>
      </c>
      <c r="E6" s="14" t="inlineStr">
        <is>
          <t>CCKB / An ninh</t>
        </is>
      </c>
      <c r="F6" s="14" t="inlineStr">
        <is>
          <t>Đã chốt</t>
        </is>
      </c>
      <c r="G6" s="14" t="inlineStr">
        <is>
          <t>Trao đổi do Sơn Cảng xác nhận, tháng 10/2026</t>
        </is>
      </c>
      <c r="H6" s="57" t="n"/>
      <c r="I6" s="57" t="n"/>
      <c r="J6" s="57" t="n"/>
      <c r="K6" s="57" t="n"/>
      <c r="L6" s="57" t="n"/>
      <c r="M6" s="57" t="n"/>
      <c r="N6" s="57" t="n"/>
      <c r="O6" s="57" t="n"/>
      <c r="P6" s="57" t="n"/>
      <c r="Q6" s="57" t="n"/>
      <c r="R6" s="57" t="n"/>
      <c r="S6" s="57" t="n"/>
      <c r="T6" s="57" t="n"/>
      <c r="U6" s="57" t="n"/>
      <c r="V6" s="57" t="n"/>
      <c r="W6" s="57" t="n"/>
      <c r="X6" s="57" t="n"/>
      <c r="Y6" s="57" t="n"/>
      <c r="Z6" s="57" t="n"/>
    </row>
    <row r="7" ht="30.75" customHeight="1" s="94">
      <c r="A7" s="8" t="n">
        <v>3</v>
      </c>
      <c r="B7" s="9" t="inlineStr">
        <is>
          <t>Nghiệp vụ</t>
        </is>
      </c>
      <c r="C7" s="10" t="inlineStr">
        <is>
          <t>Xe/container quản lý tách lượt, có thể khác xe vào/xe ra</t>
        </is>
      </c>
      <c r="D7" s="10" t="inlineStr">
        <is>
          <t>Xe hạ container rồi ra; container tiếp tục ở trong bãi</t>
        </is>
      </c>
      <c r="E7" s="9" t="inlineStr">
        <is>
          <t>An ninh / Điều phối</t>
        </is>
      </c>
      <c r="F7" s="9" t="inlineStr">
        <is>
          <t>Đã chốt</t>
        </is>
      </c>
      <c r="G7" s="9" t="inlineStr">
        <is>
          <t>Trao đổi do Sơn Cảng xác nhận, tháng 10/2026</t>
        </is>
      </c>
      <c r="H7" s="57" t="n"/>
      <c r="I7" s="57" t="n"/>
      <c r="J7" s="57" t="n"/>
      <c r="K7" s="57" t="n"/>
      <c r="L7" s="57" t="n"/>
      <c r="M7" s="57" t="n"/>
      <c r="N7" s="57" t="n"/>
      <c r="O7" s="57" t="n"/>
      <c r="P7" s="57" t="n"/>
      <c r="Q7" s="57" t="n"/>
      <c r="R7" s="57" t="n"/>
      <c r="S7" s="57" t="n"/>
      <c r="T7" s="57" t="n"/>
      <c r="U7" s="57" t="n"/>
      <c r="V7" s="57" t="n"/>
      <c r="W7" s="57" t="n"/>
      <c r="X7" s="57" t="n"/>
      <c r="Y7" s="57" t="n"/>
      <c r="Z7" s="57" t="n"/>
    </row>
    <row r="8" ht="30.75" customHeight="1" s="94">
      <c r="A8" s="13" t="n">
        <v>4</v>
      </c>
      <c r="B8" s="14" t="inlineStr">
        <is>
          <t>Nghiệp vụ</t>
        </is>
      </c>
      <c r="C8" s="16" t="inlineStr">
        <is>
          <t>Xe có container có thể ra cùng container hoặc hạ container</t>
        </is>
      </c>
      <c r="D8" s="16" t="inlineStr">
        <is>
          <t>Việc hạ không quyết định phát sinh phí lưu</t>
        </is>
      </c>
      <c r="E8" s="14" t="inlineStr">
        <is>
          <t>An ninh</t>
        </is>
      </c>
      <c r="F8" s="14" t="inlineStr">
        <is>
          <t>Đã chốt</t>
        </is>
      </c>
      <c r="G8" s="14" t="inlineStr">
        <is>
          <t>Trao đổi do Sơn Cảng xác nhận, tháng 10/2026</t>
        </is>
      </c>
      <c r="H8" s="57" t="n"/>
      <c r="I8" s="57" t="n"/>
      <c r="J8" s="57" t="n"/>
      <c r="K8" s="57" t="n"/>
      <c r="L8" s="57" t="n"/>
      <c r="M8" s="57" t="n"/>
      <c r="N8" s="57" t="n"/>
      <c r="O8" s="57" t="n"/>
      <c r="P8" s="57" t="n"/>
      <c r="Q8" s="57" t="n"/>
      <c r="R8" s="57" t="n"/>
      <c r="S8" s="57" t="n"/>
      <c r="T8" s="57" t="n"/>
      <c r="U8" s="57" t="n"/>
      <c r="V8" s="57" t="n"/>
      <c r="W8" s="57" t="n"/>
      <c r="X8" s="57" t="n"/>
      <c r="Y8" s="57" t="n"/>
      <c r="Z8" s="57" t="n"/>
    </row>
    <row r="9" ht="30.75" customHeight="1" s="94">
      <c r="A9" s="8" t="n">
        <v>5</v>
      </c>
      <c r="B9" s="9" t="inlineStr">
        <is>
          <t>Thông tin xe</t>
        </is>
      </c>
      <c r="C9" s="10" t="inlineStr">
        <is>
          <t>Xe có mang container mới yêu cầu nhập SO_CONTAINER</t>
        </is>
      </c>
      <c r="D9" s="10" t="inlineStr">
        <is>
          <t>Loại xe bo không mang container không bị hỏi số container</t>
        </is>
      </c>
      <c r="E9" s="9" t="inlineStr">
        <is>
          <t>An ninh</t>
        </is>
      </c>
      <c r="F9" s="9" t="inlineStr">
        <is>
          <t>Đã chốt</t>
        </is>
      </c>
      <c r="G9" s="9" t="inlineStr">
        <is>
          <t>Trao đổi do Sơn Cảng xác nhận, tháng 10/2026</t>
        </is>
      </c>
      <c r="H9" s="57" t="n"/>
      <c r="I9" s="57" t="n"/>
      <c r="J9" s="57" t="n"/>
      <c r="K9" s="57" t="n"/>
      <c r="L9" s="57" t="n"/>
      <c r="M9" s="57" t="n"/>
      <c r="N9" s="57" t="n"/>
      <c r="O9" s="57" t="n"/>
      <c r="P9" s="57" t="n"/>
      <c r="Q9" s="57" t="n"/>
      <c r="R9" s="57" t="n"/>
      <c r="S9" s="57" t="n"/>
      <c r="T9" s="57" t="n"/>
      <c r="U9" s="57" t="n"/>
      <c r="V9" s="57" t="n"/>
      <c r="W9" s="57" t="n"/>
      <c r="X9" s="57" t="n"/>
      <c r="Y9" s="57" t="n"/>
      <c r="Z9" s="57" t="n"/>
    </row>
    <row r="10" ht="30.75" customHeight="1" s="94">
      <c r="A10" s="13" t="n">
        <v>6</v>
      </c>
      <c r="B10" s="14" t="inlineStr">
        <is>
          <t>Thông tin xe</t>
        </is>
      </c>
      <c r="C10" s="16" t="inlineStr">
        <is>
          <t>Xe bo ba bánh không yêu cầu biển số xe</t>
        </is>
      </c>
      <c r="D10" s="16" t="inlineStr">
        <is>
          <t>Phí vé vào 40.000 đồng/lượt</t>
        </is>
      </c>
      <c r="E10" s="14" t="inlineStr">
        <is>
          <t>An ninh</t>
        </is>
      </c>
      <c r="F10" s="14" t="inlineStr">
        <is>
          <t>Đã chốt</t>
        </is>
      </c>
      <c r="G10" s="14" t="inlineStr">
        <is>
          <t>Trao đổi do Sơn Cảng xác nhận, tháng 10/2026</t>
        </is>
      </c>
      <c r="H10" s="57" t="n"/>
      <c r="I10" s="57" t="n"/>
      <c r="J10" s="57" t="n"/>
      <c r="K10" s="57" t="n"/>
      <c r="L10" s="57" t="n"/>
      <c r="M10" s="57" t="n"/>
      <c r="N10" s="57" t="n"/>
      <c r="O10" s="57" t="n"/>
      <c r="P10" s="57" t="n"/>
      <c r="Q10" s="57" t="n"/>
      <c r="R10" s="57" t="n"/>
      <c r="S10" s="57" t="n"/>
      <c r="T10" s="57" t="n"/>
      <c r="U10" s="57" t="n"/>
      <c r="V10" s="57" t="n"/>
      <c r="W10" s="57" t="n"/>
      <c r="X10" s="57" t="n"/>
      <c r="Y10" s="57" t="n"/>
      <c r="Z10" s="57" t="n"/>
    </row>
    <row r="11" ht="30.75" customHeight="1" s="94">
      <c r="A11" s="8" t="n">
        <v>7</v>
      </c>
      <c r="B11" s="9" t="inlineStr">
        <is>
          <t>Vé xe</t>
        </is>
      </c>
      <c r="C11" s="10" t="inlineStr">
        <is>
          <t>Xe container lạnh vé vào 250.000 đồng/lượt</t>
        </is>
      </c>
      <c r="D11" s="10" t="inlineStr">
        <is>
          <t>Dùng mã CONT_LANH trong PRICE_LIST</t>
        </is>
      </c>
      <c r="E11" s="9" t="inlineStr">
        <is>
          <t>An ninh</t>
        </is>
      </c>
      <c r="F11" s="9" t="inlineStr">
        <is>
          <t>Đã chốt</t>
        </is>
      </c>
      <c r="G11" s="9" t="inlineStr">
        <is>
          <t>Trao đổi do Sơn Cảng xác nhận, tháng 10/2026</t>
        </is>
      </c>
      <c r="H11" s="57" t="n"/>
      <c r="I11" s="57" t="n"/>
      <c r="J11" s="57" t="n"/>
      <c r="K11" s="57" t="n"/>
      <c r="L11" s="57" t="n"/>
      <c r="M11" s="57" t="n"/>
      <c r="N11" s="57" t="n"/>
      <c r="O11" s="57" t="n"/>
      <c r="P11" s="57" t="n"/>
      <c r="Q11" s="57" t="n"/>
      <c r="R11" s="57" t="n"/>
      <c r="S11" s="57" t="n"/>
      <c r="T11" s="57" t="n"/>
      <c r="U11" s="57" t="n"/>
      <c r="V11" s="57" t="n"/>
      <c r="W11" s="57" t="n"/>
      <c r="X11" s="57" t="n"/>
      <c r="Y11" s="57" t="n"/>
      <c r="Z11" s="57" t="n"/>
    </row>
    <row r="12" ht="30.75" customHeight="1" s="94">
      <c r="A12" s="13" t="n">
        <v>8</v>
      </c>
      <c r="B12" s="14" t="inlineStr">
        <is>
          <t>Vé xe</t>
        </is>
      </c>
      <c r="C12" s="16" t="inlineStr">
        <is>
          <t>Đầu kéo không container vé vào 0 đồng/lượt</t>
        </is>
      </c>
      <c r="D12" s="16" t="inlineStr">
        <is>
          <t>Dùng mã DAU_KEO trong PRICE_LIST mới</t>
        </is>
      </c>
      <c r="E12" s="14" t="inlineStr">
        <is>
          <t>An ninh</t>
        </is>
      </c>
      <c r="F12" s="14" t="inlineStr">
        <is>
          <t>Đã chốt</t>
        </is>
      </c>
      <c r="G12" s="14" t="inlineStr">
        <is>
          <t>Trao đổi do Sơn Cảng xác nhận, tháng 10/2026</t>
        </is>
      </c>
      <c r="H12" s="57" t="n"/>
      <c r="I12" s="57" t="n"/>
      <c r="J12" s="57" t="n"/>
      <c r="K12" s="57" t="n"/>
      <c r="L12" s="57" t="n"/>
      <c r="M12" s="57" t="n"/>
      <c r="N12" s="57" t="n"/>
      <c r="O12" s="57" t="n"/>
      <c r="P12" s="57" t="n"/>
      <c r="Q12" s="57" t="n"/>
      <c r="R12" s="57" t="n"/>
      <c r="S12" s="57" t="n"/>
      <c r="T12" s="57" t="n"/>
      <c r="U12" s="57" t="n"/>
      <c r="V12" s="57" t="n"/>
      <c r="W12" s="57" t="n"/>
      <c r="X12" s="57" t="n"/>
      <c r="Y12" s="57" t="n"/>
      <c r="Z12" s="57" t="n"/>
    </row>
    <row r="13" ht="30.75" customHeight="1" s="94">
      <c r="A13" s="8" t="n">
        <v>9</v>
      </c>
      <c r="B13" s="9" t="inlineStr">
        <is>
          <t>Vé xe</t>
        </is>
      </c>
      <c r="C13" s="10" t="inlineStr">
        <is>
          <t>Xe bo 3 chân / 4 chân vé vào 200.000 đồng/lượt</t>
        </is>
      </c>
      <c r="D13" s="10" t="inlineStr">
        <is>
          <t>Dùng mã riêng theo PRICE_LIST</t>
        </is>
      </c>
      <c r="E13" s="9" t="inlineStr">
        <is>
          <t>An ninh</t>
        </is>
      </c>
      <c r="F13" s="9" t="inlineStr">
        <is>
          <t>Đã chốt</t>
        </is>
      </c>
      <c r="G13" s="9" t="inlineStr">
        <is>
          <t>Trao đổi do Sơn Cảng xác nhận, tháng 10/2026</t>
        </is>
      </c>
      <c r="H13" s="57" t="n"/>
      <c r="I13" s="57" t="n"/>
      <c r="J13" s="57" t="n"/>
      <c r="K13" s="57" t="n"/>
      <c r="L13" s="57" t="n"/>
      <c r="M13" s="57" t="n"/>
      <c r="N13" s="57" t="n"/>
      <c r="O13" s="57" t="n"/>
      <c r="P13" s="57" t="n"/>
      <c r="Q13" s="57" t="n"/>
      <c r="R13" s="57" t="n"/>
      <c r="S13" s="57" t="n"/>
      <c r="T13" s="57" t="n"/>
      <c r="U13" s="57" t="n"/>
      <c r="V13" s="57" t="n"/>
      <c r="W13" s="57" t="n"/>
      <c r="X13" s="57" t="n"/>
      <c r="Y13" s="57" t="n"/>
      <c r="Z13" s="57" t="n"/>
    </row>
    <row r="14" ht="30.75" customHeight="1" s="94">
      <c r="A14" s="13" t="n">
        <v>10</v>
      </c>
      <c r="B14" s="14" t="inlineStr">
        <is>
          <t>Vé xe</t>
        </is>
      </c>
      <c r="C14" s="16" t="inlineStr">
        <is>
          <t>Xe bo 8 tấn/2 chân vé vào 100.000 đồng/lượt</t>
        </is>
      </c>
      <c r="D14" s="16" t="inlineStr">
        <is>
          <t>Dùng mã XE_BO_8_TAN_2_CHAN</t>
        </is>
      </c>
      <c r="E14" s="14" t="inlineStr">
        <is>
          <t>An ninh</t>
        </is>
      </c>
      <c r="F14" s="14" t="inlineStr">
        <is>
          <t>Đã chốt</t>
        </is>
      </c>
      <c r="G14" s="14" t="inlineStr">
        <is>
          <t>Trao đổi do Sơn Cảng xác nhận, tháng 10/2026</t>
        </is>
      </c>
      <c r="H14" s="57" t="n"/>
      <c r="I14" s="57" t="n"/>
      <c r="J14" s="57" t="n"/>
      <c r="K14" s="57" t="n"/>
      <c r="L14" s="57" t="n"/>
      <c r="M14" s="57" t="n"/>
      <c r="N14" s="57" t="n"/>
      <c r="O14" s="57" t="n"/>
      <c r="P14" s="57" t="n"/>
      <c r="Q14" s="57" t="n"/>
      <c r="R14" s="57" t="n"/>
      <c r="S14" s="57" t="n"/>
      <c r="T14" s="57" t="n"/>
      <c r="U14" s="57" t="n"/>
      <c r="V14" s="57" t="n"/>
      <c r="W14" s="57" t="n"/>
      <c r="X14" s="57" t="n"/>
      <c r="Y14" s="57" t="n"/>
      <c r="Z14" s="57" t="n"/>
    </row>
    <row r="15" ht="30.75" customHeight="1" s="94">
      <c r="A15" s="8" t="n">
        <v>11</v>
      </c>
      <c r="B15" s="9" t="inlineStr">
        <is>
          <t>Vé xe</t>
        </is>
      </c>
      <c r="C15" s="10" t="inlineStr">
        <is>
          <t>Xe sang tải (tạp) vé vào 0 đồng/lượt</t>
        </is>
      </c>
      <c r="D15" s="10" t="inlineStr">
        <is>
          <t>Dùng mã XE_SANG_TAI</t>
        </is>
      </c>
      <c r="E15" s="9" t="inlineStr">
        <is>
          <t>An ninh</t>
        </is>
      </c>
      <c r="F15" s="9" t="inlineStr">
        <is>
          <t>Đã chốt</t>
        </is>
      </c>
      <c r="G15" s="9" t="inlineStr">
        <is>
          <t>Trao đổi do Sơn Cảng xác nhận, tháng 10/2026</t>
        </is>
      </c>
      <c r="H15" s="57" t="n"/>
      <c r="I15" s="57" t="n"/>
      <c r="J15" s="57" t="n"/>
      <c r="K15" s="57" t="n"/>
      <c r="L15" s="57" t="n"/>
      <c r="M15" s="57" t="n"/>
      <c r="N15" s="57" t="n"/>
      <c r="O15" s="57" t="n"/>
      <c r="P15" s="57" t="n"/>
      <c r="Q15" s="57" t="n"/>
      <c r="R15" s="57" t="n"/>
      <c r="S15" s="57" t="n"/>
      <c r="T15" s="57" t="n"/>
      <c r="U15" s="57" t="n"/>
      <c r="V15" s="57" t="n"/>
      <c r="W15" s="57" t="n"/>
      <c r="X15" s="57" t="n"/>
      <c r="Y15" s="57" t="n"/>
      <c r="Z15" s="57" t="n"/>
    </row>
    <row r="16" ht="30.75" customHeight="1" s="94">
      <c r="A16" s="13" t="n">
        <v>12</v>
      </c>
      <c r="B16" s="14" t="inlineStr">
        <is>
          <t>Lưu container</t>
        </is>
      </c>
      <c r="C16" s="16" t="inlineStr">
        <is>
          <t>Phí lưu tính theo CONTAINER, không phải lưu XE</t>
        </is>
      </c>
      <c r="D16" s="16" t="inlineStr">
        <is>
          <t>Bắt đầu GIO_CONT_VAO, kết thúc GIO_CONT_RA</t>
        </is>
      </c>
      <c r="E16" s="14" t="inlineStr">
        <is>
          <t>CCKB</t>
        </is>
      </c>
      <c r="F16" s="14" t="inlineStr">
        <is>
          <t>Đã chốt</t>
        </is>
      </c>
      <c r="G16" s="14" t="inlineStr">
        <is>
          <t>Trao đổi do Sơn Cảng xác nhận, tháng 10/2026</t>
        </is>
      </c>
      <c r="H16" s="57" t="n"/>
      <c r="I16" s="57" t="n"/>
      <c r="J16" s="57" t="n"/>
      <c r="K16" s="57" t="n"/>
      <c r="L16" s="57" t="n"/>
      <c r="M16" s="57" t="n"/>
      <c r="N16" s="57" t="n"/>
      <c r="O16" s="57" t="n"/>
      <c r="P16" s="57" t="n"/>
      <c r="Q16" s="57" t="n"/>
      <c r="R16" s="57" t="n"/>
      <c r="S16" s="57" t="n"/>
      <c r="T16" s="57" t="n"/>
      <c r="U16" s="57" t="n"/>
      <c r="V16" s="57" t="n"/>
      <c r="W16" s="57" t="n"/>
      <c r="X16" s="57" t="n"/>
      <c r="Y16" s="57" t="n"/>
      <c r="Z16" s="57" t="n"/>
    </row>
    <row r="17" ht="30.75" customHeight="1" s="94">
      <c r="A17" s="8" t="n">
        <v>13</v>
      </c>
      <c r="B17" s="9" t="inlineStr">
        <is>
          <t>Lưu container</t>
        </is>
      </c>
      <c r="C17" s="10" t="inlineStr">
        <is>
          <t>Container trong bãi được tính theo đêm bất kể hạ hay không</t>
        </is>
      </c>
      <c r="D17" s="10" t="inlineStr">
        <is>
          <t>Không cần xác nhận hạ để bắt đầu tính</t>
        </is>
      </c>
      <c r="E17" s="9" t="inlineStr">
        <is>
          <t>CCKB / An ninh</t>
        </is>
      </c>
      <c r="F17" s="9" t="inlineStr">
        <is>
          <t>Đã chốt</t>
        </is>
      </c>
      <c r="G17" s="9" t="inlineStr">
        <is>
          <t>Trao đổi do Sơn Cảng xác nhận, tháng 10/2026</t>
        </is>
      </c>
      <c r="H17" s="57" t="n"/>
      <c r="I17" s="57" t="n"/>
      <c r="J17" s="57" t="n"/>
      <c r="K17" s="57" t="n"/>
      <c r="L17" s="57" t="n"/>
      <c r="M17" s="57" t="n"/>
      <c r="N17" s="57" t="n"/>
      <c r="O17" s="57" t="n"/>
      <c r="P17" s="57" t="n"/>
      <c r="Q17" s="57" t="n"/>
      <c r="R17" s="57" t="n"/>
      <c r="S17" s="57" t="n"/>
      <c r="T17" s="57" t="n"/>
      <c r="U17" s="57" t="n"/>
      <c r="V17" s="57" t="n"/>
      <c r="W17" s="57" t="n"/>
      <c r="X17" s="57" t="n"/>
      <c r="Y17" s="57" t="n"/>
      <c r="Z17" s="57" t="n"/>
    </row>
    <row r="18" ht="30.75" customHeight="1" s="94">
      <c r="A18" s="13" t="n">
        <v>14</v>
      </c>
      <c r="B18" s="14" t="inlineStr">
        <is>
          <t>Lưu container</t>
        </is>
      </c>
      <c r="C18" s="16" t="inlineStr">
        <is>
          <t>Phí lưu container 100.000 đồng/cont/đêm</t>
        </is>
      </c>
      <c r="D18" s="16" t="inlineStr">
        <is>
          <t>Miễn phí 1 đêm đầu; thông số 22:00–06:00</t>
        </is>
      </c>
      <c r="E18" s="14" t="inlineStr">
        <is>
          <t>CCKB</t>
        </is>
      </c>
      <c r="F18" s="14" t="inlineStr">
        <is>
          <t>Đã chốt</t>
        </is>
      </c>
      <c r="G18" s="14" t="inlineStr">
        <is>
          <t>Trao đổi do Sơn Cảng xác nhận, tháng 10/2026</t>
        </is>
      </c>
      <c r="H18" s="57" t="n"/>
      <c r="I18" s="57" t="n"/>
      <c r="J18" s="57" t="n"/>
      <c r="K18" s="57" t="n"/>
      <c r="L18" s="57" t="n"/>
      <c r="M18" s="57" t="n"/>
      <c r="N18" s="57" t="n"/>
      <c r="O18" s="57" t="n"/>
      <c r="P18" s="57" t="n"/>
      <c r="Q18" s="57" t="n"/>
      <c r="R18" s="57" t="n"/>
      <c r="S18" s="57" t="n"/>
      <c r="T18" s="57" t="n"/>
      <c r="U18" s="57" t="n"/>
      <c r="V18" s="57" t="n"/>
      <c r="W18" s="57" t="n"/>
      <c r="X18" s="57" t="n"/>
      <c r="Y18" s="57" t="n"/>
      <c r="Z18" s="57" t="n"/>
    </row>
    <row r="19" ht="30.75" customHeight="1" s="94">
      <c r="A19" s="8" t="n">
        <v>15</v>
      </c>
      <c r="B19" s="9" t="inlineStr">
        <is>
          <t>Lưu container</t>
        </is>
      </c>
      <c r="C19" s="10" t="inlineStr">
        <is>
          <t>Công thức phí: MAX(0, số đêm - 1) × 100.000đ</t>
        </is>
      </c>
      <c r="D19" s="10" t="inlineStr">
        <is>
          <t>L01/L02 đã chọn A ở các mốc 22:00 và 06:00; riêng phí khi duyệt trước 22:00 nhưng ra sau vẫn còn xung đột L04/T09.</t>
        </is>
      </c>
      <c r="E19" s="9" t="inlineStr">
        <is>
          <t>CCKB</t>
        </is>
      </c>
      <c r="F19" s="9" t="inlineStr">
        <is>
          <t>Đã chốt</t>
        </is>
      </c>
      <c r="G19" s="9" t="inlineStr">
        <is>
          <t>Trao đổi do Sơn Cảng xác nhận, tháng 10/2026</t>
        </is>
      </c>
      <c r="H19" s="57" t="n"/>
      <c r="I19" s="57" t="n"/>
      <c r="J19" s="57" t="n"/>
      <c r="K19" s="57" t="n"/>
      <c r="L19" s="57" t="n"/>
      <c r="M19" s="57" t="n"/>
      <c r="N19" s="57" t="n"/>
      <c r="O19" s="57" t="n"/>
      <c r="P19" s="57" t="n"/>
      <c r="Q19" s="57" t="n"/>
      <c r="R19" s="57" t="n"/>
      <c r="S19" s="57" t="n"/>
      <c r="T19" s="57" t="n"/>
      <c r="U19" s="57" t="n"/>
      <c r="V19" s="57" t="n"/>
      <c r="W19" s="57" t="n"/>
      <c r="X19" s="57" t="n"/>
      <c r="Y19" s="57" t="n"/>
      <c r="Z19" s="57" t="n"/>
    </row>
    <row r="20" ht="30.75" customHeight="1" s="94">
      <c r="A20" s="13" t="n">
        <v>16</v>
      </c>
      <c r="B20" s="14" t="inlineStr">
        <is>
          <t>Vé giấy</t>
        </is>
      </c>
      <c r="C20" s="16" t="inlineStr">
        <is>
          <t>Đang vận hành vé xe 02 liên, liên 02 giao lái xe</t>
        </is>
      </c>
      <c r="D20" s="16" t="inlineStr">
        <is>
          <t>Lái xe xuất trình liên 02 khi ra, nếu không có bị phạt 250.000đ</t>
        </is>
      </c>
      <c r="E20" s="14" t="inlineStr">
        <is>
          <t>An ninh</t>
        </is>
      </c>
      <c r="F20" s="14" t="inlineStr">
        <is>
          <t>Đã chốt</t>
        </is>
      </c>
      <c r="G20" s="14" t="inlineStr">
        <is>
          <t>Trao đổi do Sơn Cảng xác nhận, tháng 10/2026</t>
        </is>
      </c>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30.75" customHeight="1" s="94">
      <c r="A21" s="8" t="n">
        <v>17</v>
      </c>
      <c r="B21" s="9" t="inlineStr">
        <is>
          <t>Tổ chức</t>
        </is>
      </c>
      <c r="C21" s="10" t="inlineStr">
        <is>
          <t>Có 3 BP: An ninh, Nghiệp vụ CCKB, Điều phối</t>
        </is>
      </c>
      <c r="D21" s="10" t="inlineStr">
        <is>
          <t>Mỗi BP có nhân viên và trưởng BP; thêm Quản trị</t>
        </is>
      </c>
      <c r="E21" s="9" t="inlineStr">
        <is>
          <t>Các TBP</t>
        </is>
      </c>
      <c r="F21" s="9" t="inlineStr">
        <is>
          <t>Đã chốt</t>
        </is>
      </c>
      <c r="G21" s="9" t="inlineStr">
        <is>
          <t>Trao đổi do Sơn Cảng xác nhận, tháng 10/2026</t>
        </is>
      </c>
      <c r="H21" s="57" t="n"/>
      <c r="I21" s="57" t="n"/>
      <c r="J21" s="57" t="n"/>
      <c r="K21" s="57" t="n"/>
      <c r="L21" s="57" t="n"/>
      <c r="M21" s="57" t="n"/>
      <c r="N21" s="57" t="n"/>
      <c r="O21" s="57" t="n"/>
      <c r="P21" s="57" t="n"/>
      <c r="Q21" s="57" t="n"/>
      <c r="R21" s="57" t="n"/>
      <c r="S21" s="57" t="n"/>
      <c r="T21" s="57" t="n"/>
      <c r="U21" s="57" t="n"/>
      <c r="V21" s="57" t="n"/>
      <c r="W21" s="57" t="n"/>
      <c r="X21" s="57" t="n"/>
      <c r="Y21" s="57" t="n"/>
      <c r="Z21" s="57" t="n"/>
    </row>
    <row r="22" ht="30.75" customHeight="1" s="94">
      <c r="A22" s="13" t="n">
        <v>18</v>
      </c>
      <c r="B22" s="14" t="inlineStr">
        <is>
          <t>An ninh</t>
        </is>
      </c>
      <c r="C22" s="16" t="inlineStr">
        <is>
          <t>An ninh kiểm soát xe vào/ra, trực tiếp cắm và rút điện</t>
        </is>
      </c>
      <c r="D22" s="16" t="inlineStr">
        <is>
          <t>Thực hiện ngoài hiện trường, không buộc tự nhập giờ điện trên PWA</t>
        </is>
      </c>
      <c r="E22" s="14" t="inlineStr">
        <is>
          <t>An ninh</t>
        </is>
      </c>
      <c r="F22" s="14" t="inlineStr">
        <is>
          <t>Đã chốt</t>
        </is>
      </c>
      <c r="G22" s="14" t="inlineStr">
        <is>
          <t>Trao đổi do Sơn Cảng xác nhận, tháng 10/2026</t>
        </is>
      </c>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30.75" customHeight="1" s="94">
      <c r="A23" s="8" t="n">
        <v>19</v>
      </c>
      <c r="B23" s="9" t="inlineStr">
        <is>
          <t>An ninh</t>
        </is>
      </c>
      <c r="C23" s="10" t="inlineStr">
        <is>
          <t>An ninh trực tiếp thu tiền vé xe vào bãi</t>
        </is>
      </c>
      <c r="D23" s="10" t="inlineStr">
        <is>
          <t>Tách doanh thu vé với khoản CCKB thu</t>
        </is>
      </c>
      <c r="E23" s="9" t="inlineStr">
        <is>
          <t>An ninh</t>
        </is>
      </c>
      <c r="F23" s="9" t="inlineStr">
        <is>
          <t>Đã chốt</t>
        </is>
      </c>
      <c r="G23" s="9" t="inlineStr">
        <is>
          <t>Trao đổi do Sơn Cảng xác nhận, tháng 10/2026</t>
        </is>
      </c>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30.75" customHeight="1" s="94">
      <c r="A24" s="13" t="n">
        <v>20</v>
      </c>
      <c r="B24" s="14" t="inlineStr">
        <is>
          <t>CCKB</t>
        </is>
      </c>
      <c r="C24" s="16" t="inlineStr">
        <is>
          <t>CCKB nhận yêu cầu điện của khách, điều phối đến An ninh</t>
        </is>
      </c>
      <c r="D24" s="16" t="inlineStr">
        <is>
          <t>An ninh báo giờ thực tế qua Zalo/nhóm để CCKB nhập</t>
        </is>
      </c>
      <c r="E24" s="14" t="inlineStr">
        <is>
          <t>CCKB</t>
        </is>
      </c>
      <c r="F24" s="14" t="inlineStr">
        <is>
          <t>Đã chốt</t>
        </is>
      </c>
      <c r="G24" s="14" t="inlineStr">
        <is>
          <t>Trao đổi do Sơn Cảng xác nhận, tháng 10/2026</t>
        </is>
      </c>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30.75" customHeight="1" s="94">
      <c r="A25" s="8" t="n">
        <v>21</v>
      </c>
      <c r="B25" s="9" t="inlineStr">
        <is>
          <t>CCKB</t>
        </is>
      </c>
      <c r="C25" s="10" t="inlineStr">
        <is>
          <t>CCKB nhập/sửa giờ cắm và rút điện thực tế</t>
        </is>
      </c>
      <c r="D25" s="10" t="inlineStr">
        <is>
          <t>Không khóa cứng; cơ chế duyệt sau khi đã thu còn chờ chốt</t>
        </is>
      </c>
      <c r="E25" s="9" t="inlineStr">
        <is>
          <t>CCKB</t>
        </is>
      </c>
      <c r="F25" s="9" t="inlineStr">
        <is>
          <t>Đã chốt</t>
        </is>
      </c>
      <c r="G25" s="9" t="inlineStr">
        <is>
          <t>Trao đổi do Sơn Cảng xác nhận, tháng 10/2026</t>
        </is>
      </c>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30.75" customHeight="1" s="94">
      <c r="A26" s="13" t="n">
        <v>22</v>
      </c>
      <c r="B26" s="14" t="inlineStr">
        <is>
          <t>CCKB</t>
        </is>
      </c>
      <c r="C26" s="16" t="inlineStr">
        <is>
          <t>CCKB tính và trực tiếp thu phí lưu container + tiền điện</t>
        </is>
      </c>
      <c r="D26" s="16" t="inlineStr">
        <is>
          <t>Đã chốt phân công ban đầu; V1 T03/T09 lại nêu An ninh thu/tính lưu đêm lúc ra — đang ở 11_RA_SOAT_V1.</t>
        </is>
      </c>
      <c r="E26" s="14" t="inlineStr">
        <is>
          <t>CCKB</t>
        </is>
      </c>
      <c r="F26" s="14" t="inlineStr">
        <is>
          <t>Đã chốt</t>
        </is>
      </c>
      <c r="G26" s="14" t="inlineStr">
        <is>
          <t>Trao đổi do Sơn Cảng xác nhận, tháng 10/2026</t>
        </is>
      </c>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30.75" customHeight="1" s="94">
      <c r="A27" s="8" t="n">
        <v>23</v>
      </c>
      <c r="B27" s="9" t="inlineStr">
        <is>
          <t>CCKB</t>
        </is>
      </c>
      <c r="C27" s="10" t="inlineStr">
        <is>
          <t>CCKB xác nhận đủ điều kiện tài chính để xe/container ra</t>
        </is>
      </c>
      <c r="D27" s="10" t="inlineStr">
        <is>
          <t>Bao gồm nút CCKB duyệt ra bằng tay dù chưa thu đủ (T08) có cảnh báo; chờ quy định quyền và lý do.</t>
        </is>
      </c>
      <c r="E27" s="9" t="inlineStr">
        <is>
          <t>CCKB / An ninh</t>
        </is>
      </c>
      <c r="F27" s="9" t="inlineStr">
        <is>
          <t>Đã chốt</t>
        </is>
      </c>
      <c r="G27" s="9" t="inlineStr">
        <is>
          <t>Trao đổi do Sơn Cảng xác nhận, tháng 10/2026</t>
        </is>
      </c>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30.75" customHeight="1" s="94">
      <c r="A28" s="13" t="n">
        <v>24</v>
      </c>
      <c r="B28" s="14" t="inlineStr">
        <is>
          <t>Điều phối</t>
        </is>
      </c>
      <c r="C28" s="16" t="inlineStr">
        <is>
          <t>Điều phối cập nhật container HÀNG/RỖNG</t>
        </is>
      </c>
      <c r="D28" s="16" t="inlineStr">
        <is>
          <t>Tách quyền Điều phối với An ninh và CCKB</t>
        </is>
      </c>
      <c r="E28" s="14" t="inlineStr">
        <is>
          <t>Điều phối</t>
        </is>
      </c>
      <c r="F28" s="14" t="inlineStr">
        <is>
          <t>Đã chốt</t>
        </is>
      </c>
      <c r="G28" s="14" t="inlineStr">
        <is>
          <t>Trao đổi do Sơn Cảng xác nhận, tháng 10/2026</t>
        </is>
      </c>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30.75" customHeight="1" s="94">
      <c r="A29" s="8" t="n">
        <v>25</v>
      </c>
      <c r="B29" s="9" t="inlineStr">
        <is>
          <t>Điện</t>
        </is>
      </c>
      <c r="C29" s="10" t="inlineStr">
        <is>
          <t>Phí điện hiện tại 100.000 đồng/giờ - Theo giờ</t>
        </is>
      </c>
      <c r="D29" s="10" t="inlineStr">
        <is>
          <t>Mã điện riêng; quản trị linh hoạt trong PRICE_LIST</t>
        </is>
      </c>
      <c r="E29" s="9" t="inlineStr">
        <is>
          <t>CCKB</t>
        </is>
      </c>
      <c r="F29" s="9" t="inlineStr">
        <is>
          <t>Đã chốt</t>
        </is>
      </c>
      <c r="G29" s="9" t="inlineStr">
        <is>
          <t>Trao đổi do Sơn Cảng xác nhận, tháng 10/2026</t>
        </is>
      </c>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30.75" customHeight="1" s="94">
      <c r="A30" s="13" t="n">
        <v>26</v>
      </c>
      <c r="B30" s="14" t="inlineStr">
        <is>
          <t>Điện</t>
        </is>
      </c>
      <c r="C30" s="16" t="inlineStr">
        <is>
          <t>Phí điện hiện tại 100.000 đồng/giờ - Cắm liên tục</t>
        </is>
      </c>
      <c r="D30" s="16" t="inlineStr">
        <is>
          <t>Dù cùng giá nhưng là mã dịch vụ riêng</t>
        </is>
      </c>
      <c r="E30" s="14" t="inlineStr">
        <is>
          <t>CCKB</t>
        </is>
      </c>
      <c r="F30" s="14" t="inlineStr">
        <is>
          <t>Đã chốt</t>
        </is>
      </c>
      <c r="G30" s="14" t="inlineStr">
        <is>
          <t>Trao đổi do Sơn Cảng xác nhận, tháng 10/2026</t>
        </is>
      </c>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30.75" customHeight="1" s="94">
      <c r="A31" s="8" t="n">
        <v>27</v>
      </c>
      <c r="B31" s="9" t="inlineStr">
        <is>
          <t>Điện</t>
        </is>
      </c>
      <c r="C31" s="10" t="inlineStr">
        <is>
          <t>Thời gian điện tính từ giờ cắm/rút thực tế do CCKB nhập</t>
        </is>
      </c>
      <c r="D31" s="10" t="inlineStr">
        <is>
          <t>Không lấy giờ gửi tin nhắn Zalo hoặc giờ nhập làm mốc tính phí</t>
        </is>
      </c>
      <c r="E31" s="9" t="inlineStr">
        <is>
          <t>CCKB</t>
        </is>
      </c>
      <c r="F31" s="9" t="inlineStr">
        <is>
          <t>Đã chốt</t>
        </is>
      </c>
      <c r="G31" s="9" t="inlineStr">
        <is>
          <t>Trao đổi do Sơn Cảng xác nhận, tháng 10/2026</t>
        </is>
      </c>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30.75" customHeight="1" s="94">
      <c r="A32" s="13" t="n">
        <v>28</v>
      </c>
      <c r="B32" s="14" t="inlineStr">
        <is>
          <t>Điện</t>
        </is>
      </c>
      <c r="C32" s="16" t="inlineStr">
        <is>
          <t>Làm tròn thời gian điện LÊN mỗi 15 phút</t>
        </is>
      </c>
      <c r="D32" s="16" t="inlineStr">
        <is>
          <t>4h53p được tính 5h; 4h01p được tính 4h15p</t>
        </is>
      </c>
      <c r="E32" s="14" t="inlineStr">
        <is>
          <t>CCKB</t>
        </is>
      </c>
      <c r="F32" s="14" t="inlineStr">
        <is>
          <t>Đã chốt</t>
        </is>
      </c>
      <c r="G32" s="14" t="inlineStr">
        <is>
          <t>Trao đổi do Sơn Cảng xác nhận, tháng 10/2026</t>
        </is>
      </c>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30.75" customHeight="1" s="94">
      <c r="A33" s="8" t="n">
        <v>29</v>
      </c>
      <c r="B33" s="9" t="inlineStr">
        <is>
          <t>Điện</t>
        </is>
      </c>
      <c r="C33" s="10" t="inlineStr">
        <is>
          <t>Được thu điện ngay khi rút hoặc thu chung khi container xuất</t>
        </is>
      </c>
      <c r="D33" s="10" t="inlineStr">
        <is>
          <t>Chỉ thu phần còn thiếu, tránh thu trùng</t>
        </is>
      </c>
      <c r="E33" s="9" t="inlineStr">
        <is>
          <t>CCKB</t>
        </is>
      </c>
      <c r="F33" s="9" t="inlineStr">
        <is>
          <t>Đã chốt</t>
        </is>
      </c>
      <c r="G33" s="9" t="inlineStr">
        <is>
          <t>Trao đổi do Sơn Cảng xác nhận, tháng 10/2026</t>
        </is>
      </c>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30.75" customHeight="1" s="94">
      <c r="A34" s="13" t="n">
        <v>30</v>
      </c>
      <c r="B34" s="14" t="inlineStr">
        <is>
          <t>Bảng giá</t>
        </is>
      </c>
      <c r="C34" s="16" t="inlineStr">
        <is>
          <t>Bảng giá linh hoạt, sửa trong PWA không sửa mã nguồn</t>
        </is>
      </c>
      <c r="D34" s="16" t="inlineStr">
        <is>
          <t>2 mã điện có thể thay đổi độc lập; quyền duyệt giá còn chờ chốt</t>
        </is>
      </c>
      <c r="E34" s="14" t="inlineStr">
        <is>
          <t>CCKB / Quản trị</t>
        </is>
      </c>
      <c r="F34" s="14" t="inlineStr">
        <is>
          <t>Đã chốt</t>
        </is>
      </c>
      <c r="G34" s="14" t="inlineStr">
        <is>
          <t>Trao đổi do Sơn Cảng xác nhận, tháng 10/2026</t>
        </is>
      </c>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69" customHeight="1" s="94">
      <c r="A35" s="8" t="n">
        <v>31</v>
      </c>
      <c r="B35" s="9" t="inlineStr">
        <is>
          <t>Cắm điện dự kiến</t>
        </is>
      </c>
      <c r="C35" s="10" t="inlineStr">
        <is>
          <t>CCKB tiếp nhận yêu cầu cắm điện trước khi container vào</t>
        </is>
      </c>
      <c r="D35" s="10" t="inlineStr">
        <is>
          <t>Có thể ghi nhận danh sách container A, B, C để chờ xe/container đến; chưa ghi nhận giờ vào thực tế</t>
        </is>
      </c>
      <c r="E35" s="9" t="inlineStr">
        <is>
          <t>CCKB / An ninh</t>
        </is>
      </c>
      <c r="F35" s="9" t="inlineStr">
        <is>
          <t>Đã chốt</t>
        </is>
      </c>
      <c r="G35" s="9" t="inlineStr">
        <is>
          <t>Người dùng xác nhận 11/10/2026</t>
        </is>
      </c>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69" customHeight="1" s="94">
      <c r="A36" s="8" t="n">
        <v>32</v>
      </c>
      <c r="B36" s="9" t="inlineStr">
        <is>
          <t>Giao diện cổng</t>
        </is>
      </c>
      <c r="C36" s="10" t="inlineStr">
        <is>
          <t>An ninh phải được nhìn thấy yêu cầu điện dự kiến khi nhập số cont vào cổng</t>
        </is>
      </c>
      <c r="D36" s="10" t="inlineStr">
        <is>
          <t>Cần gợi ý/cảnh báo các yêu cầu chờ container vào để An ninh đối chiếu</t>
        </is>
      </c>
      <c r="E36" s="9" t="inlineStr">
        <is>
          <t>An ninh / CCKB</t>
        </is>
      </c>
      <c r="F36" s="9" t="inlineStr">
        <is>
          <t>Đã chốt</t>
        </is>
      </c>
      <c r="G36" s="9" t="inlineStr">
        <is>
          <t>Người dùng xác nhận 11/10/2026</t>
        </is>
      </c>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69" customHeight="1" s="94">
      <c r="A37" s="8" t="n">
        <v>33</v>
      </c>
      <c r="B37" s="9" t="inlineStr">
        <is>
          <t>Sửa số container</t>
        </is>
      </c>
      <c r="C37" s="10" t="inlineStr">
        <is>
          <t>An ninh được sửa số container sai và báo lại CCKB</t>
        </is>
      </c>
      <c r="D37" s="10" t="inlineStr">
        <is>
          <t>Sai có thể đến từ khách hàng, CCKB hoặc hiện trường; sửa phải lưu lịch sử, thông báo cho CCKB; chi tiết chứng cứ/quy trình sau thu chưa chốt</t>
        </is>
      </c>
      <c r="E37" s="9" t="inlineStr">
        <is>
          <t>An ninh / CCKB</t>
        </is>
      </c>
      <c r="F37" s="9" t="inlineStr">
        <is>
          <t>Đã chốt</t>
        </is>
      </c>
      <c r="G37" s="9" t="inlineStr">
        <is>
          <t>Người dùng xác nhận 11/10/2026</t>
        </is>
      </c>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64.5" customHeight="1" s="94">
      <c r="A38" s="8" t="n">
        <v>34</v>
      </c>
      <c r="B38" s="9" t="inlineStr">
        <is>
          <t>Vé vào</t>
        </is>
      </c>
      <c r="C38" s="10" t="inlineStr">
        <is>
          <t>Đầu kéo vào không cont, ra kéo cont: KHÔNG thu thêm vé 250.000đ</t>
        </is>
      </c>
      <c r="D38" s="10" t="inlineStr">
        <is>
          <t>Chỉ thu giá vé lượt vào theo phân loại lúc vào; không miễn phí lưu cont khi cont xuất</t>
        </is>
      </c>
      <c r="E38" s="9" t="inlineStr">
        <is>
          <t>An ninh</t>
        </is>
      </c>
      <c r="F38" s="9" t="inlineStr">
        <is>
          <t>Đã chốt phần nguyên tắc</t>
        </is>
      </c>
      <c r="G38" s="9" t="inlineStr">
        <is>
          <t>V1 đã trả lời: V01</t>
        </is>
      </c>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64.5" customHeight="1" s="94">
      <c r="A39" s="8" t="n">
        <v>35</v>
      </c>
      <c r="B39" s="9" t="inlineStr">
        <is>
          <t>Vé vào</t>
        </is>
      </c>
      <c r="C39" s="10" t="inlineStr">
        <is>
          <t>Mặc định thu tiền vé khi xe vào, có trường hợp thu sau (ít)</t>
        </is>
      </c>
      <c r="D39" s="10" t="inlineStr">
        <is>
          <t>Ngoại lệ thu sau cần thêm quy trình, chưa đặt là bắt buộc có phê duyệt TBP</t>
        </is>
      </c>
      <c r="E39" s="9" t="inlineStr">
        <is>
          <t>An ninh</t>
        </is>
      </c>
      <c r="F39" s="9" t="inlineStr">
        <is>
          <t>Đã chốt phần nguyên tắc</t>
        </is>
      </c>
      <c r="G39" s="9" t="inlineStr">
        <is>
          <t>V1 đã trả lời: V02 (G)</t>
        </is>
      </c>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64.5" customHeight="1" s="94">
      <c r="A40" s="8" t="n">
        <v>36</v>
      </c>
      <c r="B40" s="9" t="inlineStr">
        <is>
          <t>Thông tin xe</t>
        </is>
      </c>
      <c r="C40" s="10" t="inlineStr">
        <is>
          <t>Xe container 250.000đ, đầu kéo không container 0đ</t>
        </is>
      </c>
      <c r="D40" s="10" t="inlineStr">
        <is>
          <t>Tên loại xe trên UI cần chuẩn hóa do PRICE_LIST hiện ghi CONT_LANH</t>
        </is>
      </c>
      <c r="E40" s="9" t="inlineStr">
        <is>
          <t>An ninh</t>
        </is>
      </c>
      <c r="F40" s="9" t="inlineStr">
        <is>
          <t>Đã chốt phần nguyên tắc</t>
        </is>
      </c>
      <c r="G40" s="9" t="inlineStr">
        <is>
          <t>V1 đã trả lời: V03 (G)</t>
        </is>
      </c>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64.5" customHeight="1" s="94">
      <c r="A41" s="8" t="n">
        <v>37</v>
      </c>
      <c r="B41" s="9" t="inlineStr">
        <is>
          <t>Vé giấy</t>
        </is>
      </c>
      <c r="C41" s="10" t="inlineStr">
        <is>
          <t>Số vé giấy hiện chưa bắt buộc nhập</t>
        </is>
      </c>
      <c r="D41" s="10" t="inlineStr">
        <is>
          <t>Tính năng in vé sau này; cần đảm bảo đối chiếu lượt xe không biển số</t>
        </is>
      </c>
      <c r="E41" s="9" t="inlineStr">
        <is>
          <t>An ninh</t>
        </is>
      </c>
      <c r="F41" s="9" t="inlineStr">
        <is>
          <t>Đã chốt phần nguyên tắc</t>
        </is>
      </c>
      <c r="G41" s="9" t="inlineStr">
        <is>
          <t>V1 đã trả lời: V05 (G), V04 (G)</t>
        </is>
      </c>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64.5" customHeight="1" s="94">
      <c r="A42" s="8" t="n">
        <v>38</v>
      </c>
      <c r="B42" s="9" t="inlineStr">
        <is>
          <t>Lưu cont</t>
        </is>
      </c>
      <c r="C42" s="10" t="inlineStr">
        <is>
          <t>Trường hợp chưa xác định HÀNG/RỖNG vẫn tính phí lưu</t>
        </is>
      </c>
      <c r="D42" s="10" t="inlineStr">
        <is>
          <t>Vai trò cập nhật HÀNG/RỖNG có thể phân quyền khác Điều phối theo yêu cầu</t>
        </is>
      </c>
      <c r="E42" s="9" t="inlineStr">
        <is>
          <t>Điều phối + CCKB</t>
        </is>
      </c>
      <c r="F42" s="9" t="inlineStr">
        <is>
          <t>Đã chốt phần nguyên tắc</t>
        </is>
      </c>
      <c r="G42" s="9" t="inlineStr">
        <is>
          <t>V1 đã trả lời: L10 (G)</t>
        </is>
      </c>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64.5" customHeight="1" s="94">
      <c r="A43" s="8" t="n">
        <v>39</v>
      </c>
      <c r="B43" s="9" t="inlineStr">
        <is>
          <t>Cắm điện</t>
        </is>
      </c>
      <c r="C43" s="10" t="inlineStr">
        <is>
          <t>Cho nhập giờ cắm/rút hồi tố, có thể điền cả hai trong một biểu mẫu</t>
        </is>
      </c>
      <c r="D43" s="10" t="inlineStr">
        <is>
          <t>Không bắt buộc lập lệnh PWA trước; ghi nguồn giờ thực tế Zalo/ảnh/video</t>
        </is>
      </c>
      <c r="E43" s="9" t="inlineStr">
        <is>
          <t>CCKB</t>
        </is>
      </c>
      <c r="F43" s="9" t="inlineStr">
        <is>
          <t>Đã chốt phần nguyên tắc</t>
        </is>
      </c>
      <c r="G43" s="9" t="inlineStr">
        <is>
          <t>V1 đã trả lời: E01, E04</t>
        </is>
      </c>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64.5" customHeight="1" s="94">
      <c r="A44" s="8" t="n">
        <v>40</v>
      </c>
      <c r="B44" s="9" t="inlineStr">
        <is>
          <t>Cắm điện</t>
        </is>
      </c>
      <c r="C44" s="10" t="inlineStr">
        <is>
          <t>An ninh quay/chụp camera timestamp và gửi lên nhóm</t>
        </is>
      </c>
      <c r="D44" s="10" t="inlineStr">
        <is>
          <t>CCKB dùng bằng chứng hiện trường để xác minh giờ cắm/rút</t>
        </is>
      </c>
      <c r="E44" s="9" t="inlineStr">
        <is>
          <t>An ninh + CCKB</t>
        </is>
      </c>
      <c r="F44" s="9" t="inlineStr">
        <is>
          <t>Đã chốt phần nguyên tắc</t>
        </is>
      </c>
      <c r="G44" s="9" t="inlineStr">
        <is>
          <t>V1 đã trả lời: E05 (G)</t>
        </is>
      </c>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64.5" customHeight="1" s="94">
      <c r="A45" s="8" t="n">
        <v>41</v>
      </c>
      <c r="B45" s="9" t="inlineStr">
        <is>
          <t>Cắm điện</t>
        </is>
      </c>
      <c r="C45" s="10" t="inlineStr">
        <is>
          <t>Theo giờ: thường biết giờ rút dự kiến; Liên tục: chưa biết</t>
        </is>
      </c>
      <c r="D45" s="10" t="inlineStr">
        <is>
          <t>Giờ rút dự kiến chỉ nên là dữ liệu tùy chọn, không chốt bắt buộc</t>
        </is>
      </c>
      <c r="E45" s="9" t="inlineStr">
        <is>
          <t>CCKB</t>
        </is>
      </c>
      <c r="F45" s="9" t="inlineStr">
        <is>
          <t>Đã chốt phần nguyên tắc</t>
        </is>
      </c>
      <c r="G45" s="9" t="inlineStr">
        <is>
          <t>V1 đã trả lời: E03 (G)</t>
        </is>
      </c>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64.5" customHeight="1" s="94">
      <c r="A46" s="8" t="n">
        <v>42</v>
      </c>
      <c r="B46" s="9" t="inlineStr">
        <is>
          <t>Thanh toán</t>
        </is>
      </c>
      <c r="C46" s="10" t="inlineStr">
        <is>
          <t>Được thu phí điện/lưu trọn hoặc từng phần</t>
        </is>
      </c>
      <c r="D46" s="10" t="inlineStr">
        <is>
          <t>Giữ nhiều lần thanh toán và lịch sử phân bổ; chi tiết UX là đề xuất</t>
        </is>
      </c>
      <c r="E46" s="9" t="inlineStr">
        <is>
          <t>CCKB</t>
        </is>
      </c>
      <c r="F46" s="9" t="inlineStr">
        <is>
          <t>Đã chốt phần nguyên tắc</t>
        </is>
      </c>
      <c r="G46" s="9" t="inlineStr">
        <is>
          <t>V1 đã trả lời: T01 (G)</t>
        </is>
      </c>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64.5" customHeight="1" s="94">
      <c r="A47" s="8" t="n">
        <v>43</v>
      </c>
      <c r="B47" s="9" t="inlineStr">
        <is>
          <t>Thanh toán</t>
        </is>
      </c>
      <c r="C47" s="10" t="inlineStr">
        <is>
          <t>Cho CCKB xác nhận xuất thủ công khi chưa thu đủ, có cảnh báo</t>
        </is>
      </c>
      <c r="D47" s="10" t="inlineStr">
        <is>
          <t>Không tự đánh dấu Đã thu; phạm vi quyền/ghi lý do chờ chốt OUT01</t>
        </is>
      </c>
      <c r="E47" s="9" t="inlineStr">
        <is>
          <t>CCKB + An ninh</t>
        </is>
      </c>
      <c r="F47" s="9" t="inlineStr">
        <is>
          <t>Đã chốt phần nguyên tắc</t>
        </is>
      </c>
      <c r="G47" s="9" t="inlineStr">
        <is>
          <t>V1 đã trả lời: T08 (G)</t>
        </is>
      </c>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64.5" customHeight="1" s="94">
      <c r="A48" s="8" t="n">
        <v>44</v>
      </c>
      <c r="B48" s="9" t="inlineStr">
        <is>
          <t>Xe ra</t>
        </is>
      </c>
      <c r="C48" s="10" t="inlineStr">
        <is>
          <t>Xe không kéo cont ra không cần CCKB duyệt riêng nếu không có cont xuất</t>
        </is>
      </c>
      <c r="D48" s="10" t="inlineStr">
        <is>
          <t>An ninh vẫn kiểm tra vé và xác nhận xe ra</t>
        </is>
      </c>
      <c r="E48" s="9" t="inlineStr">
        <is>
          <t>An ninh</t>
        </is>
      </c>
      <c r="F48" s="9" t="inlineStr">
        <is>
          <t>Đã chốt phần nguyên tắc</t>
        </is>
      </c>
      <c r="G48" s="9" t="inlineStr">
        <is>
          <t>V1 đã trả lời: T10 (G)</t>
        </is>
      </c>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64.5" customHeight="1" s="94">
      <c r="A49" s="8" t="n">
        <v>45</v>
      </c>
      <c r="B49" s="9" t="inlineStr">
        <is>
          <t>Điều phối</t>
        </is>
      </c>
      <c r="C49" s="10" t="inlineStr">
        <is>
          <t>HÀNG/RỖNG được để trống khi container mới vào</t>
        </is>
      </c>
      <c r="D49" s="10" t="inlineStr">
        <is>
          <t>Cập nhật thông tin sau, phí lưu không phụ thuộc tình trạng hàng</t>
        </is>
      </c>
      <c r="E49" s="9" t="inlineStr">
        <is>
          <t>Điều phối</t>
        </is>
      </c>
      <c r="F49" s="9" t="inlineStr">
        <is>
          <t>Đã chốt phần nguyên tắc</t>
        </is>
      </c>
      <c r="G49" s="9" t="inlineStr">
        <is>
          <t>V1 đã trả lời: D01 (G), L10</t>
        </is>
      </c>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64.5" customHeight="1" s="94">
      <c r="A50" s="8" t="n">
        <v>46</v>
      </c>
      <c r="B50" s="9" t="inlineStr">
        <is>
          <t>Tương lai</t>
        </is>
      </c>
      <c r="C50" s="10" t="inlineStr">
        <is>
          <t>Quản lý khu/dãy/ô vị trí cont nâng cấp giai đoạn sau</t>
        </is>
      </c>
      <c r="D50" s="10" t="inlineStr">
        <is>
          <t>V1 không coi quản lý vị trí ô bãi là điều kiện bắt buộc</t>
        </is>
      </c>
      <c r="E50" s="9" t="inlineStr">
        <is>
          <t>Điều phối</t>
        </is>
      </c>
      <c r="F50" s="9" t="inlineStr">
        <is>
          <t>Đã chốt phần nguyên tắc</t>
        </is>
      </c>
      <c r="G50" s="9" t="inlineStr">
        <is>
          <t>V1 đã trả lời: D04 (G)</t>
        </is>
      </c>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64.5" customHeight="1" s="94">
      <c r="A51" s="8" t="n">
        <v>47</v>
      </c>
      <c r="B51" s="9" t="inlineStr">
        <is>
          <t>Thu theo ca</t>
        </is>
      </c>
      <c r="C51" s="10" t="inlineStr">
        <is>
          <t>Ca làm việc An ninh hiện 06:00–18:00</t>
        </is>
      </c>
      <c r="D51" s="10" t="inlineStr">
        <is>
          <t>Giờ chốt doanh thu có thể khác ca; quy tắc kỳ chốt còn cần xác nhận</t>
        </is>
      </c>
      <c r="E51" s="9" t="inlineStr">
        <is>
          <t>An ninh</t>
        </is>
      </c>
      <c r="F51" s="9" t="inlineStr">
        <is>
          <t>Đã chốt phần nguyên tắc</t>
        </is>
      </c>
      <c r="G51" s="9" t="inlineStr">
        <is>
          <t>V1 đã trả lời: T14 (G)</t>
        </is>
      </c>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64.5" customHeight="1" s="94">
      <c r="A52" s="8" t="n">
        <v>48</v>
      </c>
      <c r="B52" s="9" t="inlineStr">
        <is>
          <t>Kỹ thuật</t>
        </is>
      </c>
      <c r="C52" s="10" t="inlineStr">
        <is>
          <t>Định hướng dùng Supabase, Vercel (ưu tiên gói free)</t>
        </is>
      </c>
      <c r="D52" s="10" t="inlineStr">
        <is>
          <t>Chưa xác nhận miền, ngân sách và mức tải giới hạn hạ tầng</t>
        </is>
      </c>
      <c r="E52" s="9" t="inlineStr">
        <is>
          <t>CNTT</t>
        </is>
      </c>
      <c r="F52" s="9" t="inlineStr">
        <is>
          <t>Đã chốt phần nguyên tắc</t>
        </is>
      </c>
      <c r="G52" s="9" t="inlineStr">
        <is>
          <t>V1 đã trả lời: K02 (G)</t>
        </is>
      </c>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64.5" customHeight="1" s="94">
      <c r="A53" s="8" t="n">
        <v>49</v>
      </c>
      <c r="B53" s="9" t="inlineStr">
        <is>
          <t>Kỹ thuật</t>
        </is>
      </c>
      <c r="C53" s="10" t="inlineStr">
        <is>
          <t>CCKB dùng tài khoản cá nhân; bốt An ninh vận hành tại vị trí cố định</t>
        </is>
      </c>
      <c r="D53" s="10" t="inlineStr">
        <is>
          <t>Vai trò ca làm và đa quyền theo ca là định hướng sau, cần audit tại bốt</t>
        </is>
      </c>
      <c r="E53" s="9" t="inlineStr">
        <is>
          <t>CNTT + An ninh</t>
        </is>
      </c>
      <c r="F53" s="9" t="inlineStr">
        <is>
          <t>Đã chốt phần nguyên tắc</t>
        </is>
      </c>
      <c r="G53" s="9" t="inlineStr">
        <is>
          <t>V1 đã trả lời: P07 (G)</t>
        </is>
      </c>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64.5" customHeight="1" s="94">
      <c r="A54" s="8" t="n">
        <v>50</v>
      </c>
      <c r="B54" s="9" t="inlineStr">
        <is>
          <t>Dữ liệu</t>
        </is>
      </c>
      <c r="C54" s="10" t="inlineStr">
        <is>
          <t>Cho phép Quản trị cấp cao sửa dữ liệu lỗi về sau</t>
        </is>
      </c>
      <c r="D54" s="10" t="inlineStr">
        <is>
          <t>Cần nhật ký chỉnh sửa và giới hạn hiển thị quyền đặc biệt; không mặc định sửa SQL trực tiếp</t>
        </is>
      </c>
      <c r="E54" s="9" t="inlineStr">
        <is>
          <t>Quản trị</t>
        </is>
      </c>
      <c r="F54" s="9" t="inlineStr">
        <is>
          <t>Đã chốt phần nguyên tắc</t>
        </is>
      </c>
      <c r="G54" s="9" t="inlineStr">
        <is>
          <t>V1 đã trả lời: M04 (G)</t>
        </is>
      </c>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64.5" customHeight="1" s="94">
      <c r="A55" s="8" t="n">
        <v>51</v>
      </c>
      <c r="B55" s="9" t="inlineStr">
        <is>
          <t>Hóa đơn</t>
        </is>
      </c>
      <c r="C55" s="10" t="inlineStr">
        <is>
          <t>Bước tiếp nhận vé cần lưu thông tin khách/lái xe phục vụ hóa đơn</t>
        </is>
      </c>
      <c r="D55" s="10" t="inlineStr">
        <is>
          <t>Yêu cầu công nợ/hóa đơn tích hợp Kế toán dự kiến triển khai giai đoạn sau</t>
        </is>
      </c>
      <c r="E55" s="9" t="inlineStr">
        <is>
          <t>An ninh + Kế toán</t>
        </is>
      </c>
      <c r="F55" s="9" t="inlineStr">
        <is>
          <t>Đã chốt phần nguyên tắc</t>
        </is>
      </c>
      <c r="G55" s="9" t="inlineStr">
        <is>
          <t>V1 đã trả lời: T12 (G)</t>
        </is>
      </c>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G$55"/>
  <mergeCells count="2">
    <mergeCell ref="A2:G2"/>
    <mergeCell ref="A1:G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4.xml><?xml version="1.0" encoding="utf-8"?>
<worksheet xmlns="http://schemas.openxmlformats.org/spreadsheetml/2006/main">
  <sheetPr>
    <tabColor rgb="FF223873"/>
    <outlinePr summaryBelow="1" summaryRight="1"/>
    <pageSetUpPr fitToPage="1"/>
  </sheetPr>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26" customWidth="1" style="94" min="1" max="1"/>
    <col width="31" customWidth="1" style="94" min="2" max="2"/>
    <col width="22" customWidth="1" style="94" min="3" max="3"/>
    <col width="18" customWidth="1" style="94" min="4" max="4"/>
    <col width="20" customWidth="1" style="94" min="5" max="5"/>
    <col width="17" customWidth="1" style="94" min="6" max="7"/>
    <col width="18" customWidth="1" style="94" min="8" max="8"/>
    <col width="21" customWidth="1" style="94" min="9" max="9"/>
    <col width="16" customWidth="1" style="94" min="10" max="10"/>
    <col width="12" customWidth="1" style="94" min="11" max="11"/>
    <col width="62" customWidth="1" style="94" min="12" max="12"/>
    <col width="38" customWidth="1" style="94" min="13" max="13"/>
    <col width="25" customWidth="1" style="94" min="14" max="14"/>
    <col width="51" customWidth="1" style="94" min="15" max="15"/>
  </cols>
  <sheetData>
    <row r="1" ht="36" customHeight="1" s="94">
      <c r="A1" s="95" t="inlineStr">
        <is>
          <t>BẢNG GIÁ HIỆN HÀNH VÀ DÒNG GIÁ BỔ SUNG</t>
        </is>
      </c>
      <c r="P1" s="57" t="n"/>
      <c r="Q1" s="57" t="n"/>
      <c r="R1" s="57" t="n"/>
      <c r="S1" s="57" t="n"/>
      <c r="T1" s="57" t="n"/>
      <c r="U1" s="57" t="n"/>
      <c r="V1" s="57" t="n"/>
      <c r="W1" s="57" t="n"/>
      <c r="X1" s="57" t="n"/>
      <c r="Y1" s="57" t="n"/>
      <c r="Z1" s="57" t="n"/>
    </row>
    <row r="2" ht="33" customHeight="1" s="94">
      <c r="A2" s="96" t="inlineStr">
        <is>
          <t>Giữ nguyên 8 dòng PRICE_LIST do Sơn Cảng cung cấp; bổ sung 2 mã cắm điện và 1 mã phạt mất vé để chuẩn hóa, cần xác nhận mã mới.</t>
        </is>
      </c>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MA_LOAI</t>
        </is>
      </c>
      <c r="B4" s="6" t="inlineStr">
        <is>
          <t>TEN_LOAI</t>
        </is>
      </c>
      <c r="C4" s="6" t="inlineStr">
        <is>
          <t>DOI_TUONG</t>
        </is>
      </c>
      <c r="D4" s="6" t="inlineStr">
        <is>
          <t>LOAI_PHI</t>
        </is>
      </c>
      <c r="E4" s="6" t="inlineStr">
        <is>
          <t>DON_GIA (VND)</t>
        </is>
      </c>
      <c r="F4" s="6" t="inlineStr">
        <is>
          <t>DON_VI_TINH</t>
        </is>
      </c>
      <c r="G4" s="6" t="inlineStr">
        <is>
          <t>MOC_BAT_DAU</t>
        </is>
      </c>
      <c r="H4" s="6" t="inlineStr">
        <is>
          <t>MOC_KET_THUC</t>
        </is>
      </c>
      <c r="I4" s="6" t="inlineStr">
        <is>
          <t>SO_DEM_MIEN_PHI</t>
        </is>
      </c>
      <c r="J4" s="6" t="inlineStr">
        <is>
          <t>HOAT_DONG</t>
        </is>
      </c>
      <c r="K4" s="6" t="inlineStr">
        <is>
          <t>THU_TU</t>
        </is>
      </c>
      <c r="L4" s="6" t="inlineStr">
        <is>
          <t>GHI_CHU</t>
        </is>
      </c>
      <c r="M4" s="6" t="inlineStr">
        <is>
          <t>Nguồn</t>
        </is>
      </c>
      <c r="N4" s="6" t="inlineStr">
        <is>
          <t>Phê duyệt mã thêm</t>
        </is>
      </c>
      <c r="O4" s="6" t="inlineStr">
        <is>
          <t>Ghi chú cập nhật (điền)</t>
        </is>
      </c>
      <c r="P4" s="57" t="n"/>
      <c r="Q4" s="57" t="n"/>
      <c r="R4" s="57" t="n"/>
      <c r="S4" s="57" t="n"/>
      <c r="T4" s="57" t="n"/>
      <c r="U4" s="57" t="n"/>
      <c r="V4" s="57" t="n"/>
      <c r="W4" s="57" t="n"/>
      <c r="X4" s="57" t="n"/>
      <c r="Y4" s="57" t="n"/>
      <c r="Z4" s="57" t="n"/>
    </row>
    <row r="5" ht="42.75" customHeight="1" s="94">
      <c r="A5" s="11" t="inlineStr">
        <is>
          <t>CONT_LANH</t>
        </is>
      </c>
      <c r="B5" s="12" t="inlineStr">
        <is>
          <t>Xe container lạnh</t>
        </is>
      </c>
      <c r="C5" s="12" t="inlineStr">
        <is>
          <t>Phương tiện</t>
        </is>
      </c>
      <c r="D5" s="12" t="inlineStr">
        <is>
          <t>Vé vào</t>
        </is>
      </c>
      <c r="E5" s="20" t="n">
        <v>250000</v>
      </c>
      <c r="F5" s="12" t="inlineStr">
        <is>
          <t>Lượt</t>
        </is>
      </c>
      <c r="G5" s="12" t="n"/>
      <c r="H5" s="12" t="n"/>
      <c r="I5" s="12" t="n">
        <v>0</v>
      </c>
      <c r="J5" s="12" t="b">
        <v>1</v>
      </c>
      <c r="K5" s="12" t="n">
        <v>1</v>
      </c>
      <c r="L5" s="12" t="inlineStr">
        <is>
          <t>Thu vé khi xe vào có kéo container</t>
        </is>
      </c>
      <c r="M5" s="22" t="inlineStr">
        <is>
          <t>PRICE_LIST gốc</t>
        </is>
      </c>
      <c r="N5" s="22" t="inlineStr">
        <is>
          <t>Đã xác nhận</t>
        </is>
      </c>
      <c r="O5" s="23" t="n"/>
      <c r="P5" s="57" t="n"/>
      <c r="Q5" s="57" t="n"/>
      <c r="R5" s="57" t="n"/>
      <c r="S5" s="57" t="n"/>
      <c r="T5" s="57" t="n"/>
      <c r="U5" s="57" t="n"/>
      <c r="V5" s="57" t="n"/>
      <c r="W5" s="57" t="n"/>
      <c r="X5" s="57" t="n"/>
      <c r="Y5" s="57" t="n"/>
      <c r="Z5" s="57" t="n"/>
    </row>
    <row r="6" ht="42.75" customHeight="1" s="94">
      <c r="A6" s="11" t="inlineStr">
        <is>
          <t>DAU_KEO</t>
        </is>
      </c>
      <c r="B6" s="12" t="inlineStr">
        <is>
          <t>Đầu kéo không container</t>
        </is>
      </c>
      <c r="C6" s="12" t="inlineStr">
        <is>
          <t>Phương tiện</t>
        </is>
      </c>
      <c r="D6" s="12" t="inlineStr">
        <is>
          <t>Vé vào</t>
        </is>
      </c>
      <c r="E6" s="20" t="n">
        <v>0</v>
      </c>
      <c r="F6" s="12" t="inlineStr">
        <is>
          <t>Lượt</t>
        </is>
      </c>
      <c r="G6" s="12" t="n"/>
      <c r="H6" s="12" t="n"/>
      <c r="I6" s="12" t="n">
        <v>0</v>
      </c>
      <c r="J6" s="12" t="b">
        <v>1</v>
      </c>
      <c r="K6" s="12" t="n">
        <v>2</v>
      </c>
      <c r="L6" s="12" t="inlineStr">
        <is>
          <t>Thu vé khi đầu kéo vào không có container</t>
        </is>
      </c>
      <c r="M6" s="22" t="inlineStr">
        <is>
          <t>PRICE_LIST gốc</t>
        </is>
      </c>
      <c r="N6" s="22" t="inlineStr">
        <is>
          <t>Đã xác nhận</t>
        </is>
      </c>
      <c r="O6" s="23" t="n"/>
      <c r="P6" s="57" t="n"/>
      <c r="Q6" s="57" t="n"/>
      <c r="R6" s="57" t="n"/>
      <c r="S6" s="57" t="n"/>
      <c r="T6" s="57" t="n"/>
      <c r="U6" s="57" t="n"/>
      <c r="V6" s="57" t="n"/>
      <c r="W6" s="57" t="n"/>
      <c r="X6" s="57" t="n"/>
      <c r="Y6" s="57" t="n"/>
      <c r="Z6" s="57" t="n"/>
    </row>
    <row r="7" ht="42.75" customHeight="1" s="94">
      <c r="A7" s="11" t="inlineStr">
        <is>
          <t>XE_BO_4_CHAN</t>
        </is>
      </c>
      <c r="B7" s="12" t="inlineStr">
        <is>
          <t>Xe bo 4 chân</t>
        </is>
      </c>
      <c r="C7" s="12" t="inlineStr">
        <is>
          <t>Phương tiện</t>
        </is>
      </c>
      <c r="D7" s="12" t="inlineStr">
        <is>
          <t>Vé vào</t>
        </is>
      </c>
      <c r="E7" s="20" t="n">
        <v>200000</v>
      </c>
      <c r="F7" s="12" t="inlineStr">
        <is>
          <t>Lượt</t>
        </is>
      </c>
      <c r="G7" s="12" t="n"/>
      <c r="H7" s="12" t="n"/>
      <c r="I7" s="12" t="n">
        <v>0</v>
      </c>
      <c r="J7" s="12" t="b">
        <v>1</v>
      </c>
      <c r="K7" s="12" t="n">
        <v>3</v>
      </c>
      <c r="L7" s="12" t="inlineStr">
        <is>
          <t>Thu tiền vé khi xe vào</t>
        </is>
      </c>
      <c r="M7" s="22" t="inlineStr">
        <is>
          <t>PRICE_LIST gốc</t>
        </is>
      </c>
      <c r="N7" s="22" t="inlineStr">
        <is>
          <t>Đã xác nhận</t>
        </is>
      </c>
      <c r="O7" s="23" t="n"/>
      <c r="P7" s="57" t="n"/>
      <c r="Q7" s="57" t="n"/>
      <c r="R7" s="57" t="n"/>
      <c r="S7" s="57" t="n"/>
      <c r="T7" s="57" t="n"/>
      <c r="U7" s="57" t="n"/>
      <c r="V7" s="57" t="n"/>
      <c r="W7" s="57" t="n"/>
      <c r="X7" s="57" t="n"/>
      <c r="Y7" s="57" t="n"/>
      <c r="Z7" s="57" t="n"/>
    </row>
    <row r="8" ht="42.75" customHeight="1" s="94">
      <c r="A8" s="11" t="inlineStr">
        <is>
          <t>XE_BO_3_CHAN</t>
        </is>
      </c>
      <c r="B8" s="12" t="inlineStr">
        <is>
          <t>Xe bo 3 chân</t>
        </is>
      </c>
      <c r="C8" s="12" t="inlineStr">
        <is>
          <t>Phương tiện</t>
        </is>
      </c>
      <c r="D8" s="12" t="inlineStr">
        <is>
          <t>Vé vào</t>
        </is>
      </c>
      <c r="E8" s="20" t="n">
        <v>200000</v>
      </c>
      <c r="F8" s="12" t="inlineStr">
        <is>
          <t>Lượt</t>
        </is>
      </c>
      <c r="G8" s="12" t="n"/>
      <c r="H8" s="12" t="n"/>
      <c r="I8" s="12" t="n">
        <v>0</v>
      </c>
      <c r="J8" s="12" t="b">
        <v>1</v>
      </c>
      <c r="K8" s="12" t="n">
        <v>4</v>
      </c>
      <c r="L8" s="12" t="inlineStr">
        <is>
          <t>Thu tiền vé khi xe vào</t>
        </is>
      </c>
      <c r="M8" s="22" t="inlineStr">
        <is>
          <t>PRICE_LIST gốc</t>
        </is>
      </c>
      <c r="N8" s="22" t="inlineStr">
        <is>
          <t>Đã xác nhận</t>
        </is>
      </c>
      <c r="O8" s="23" t="n"/>
      <c r="P8" s="57" t="n"/>
      <c r="Q8" s="57" t="n"/>
      <c r="R8" s="57" t="n"/>
      <c r="S8" s="57" t="n"/>
      <c r="T8" s="57" t="n"/>
      <c r="U8" s="57" t="n"/>
      <c r="V8" s="57" t="n"/>
      <c r="W8" s="57" t="n"/>
      <c r="X8" s="57" t="n"/>
      <c r="Y8" s="57" t="n"/>
      <c r="Z8" s="57" t="n"/>
    </row>
    <row r="9" ht="42.75" customHeight="1" s="94">
      <c r="A9" s="11" t="inlineStr">
        <is>
          <t>XE_BO_8_TAN_2_CHAN</t>
        </is>
      </c>
      <c r="B9" s="12" t="inlineStr">
        <is>
          <t>Xe bo 8 tấn/2 chân</t>
        </is>
      </c>
      <c r="C9" s="12" t="inlineStr">
        <is>
          <t>Phương tiện</t>
        </is>
      </c>
      <c r="D9" s="12" t="inlineStr">
        <is>
          <t>Vé vào</t>
        </is>
      </c>
      <c r="E9" s="20" t="n">
        <v>100000</v>
      </c>
      <c r="F9" s="12" t="inlineStr">
        <is>
          <t>Lượt</t>
        </is>
      </c>
      <c r="G9" s="12" t="n"/>
      <c r="H9" s="12" t="n"/>
      <c r="I9" s="12" t="n">
        <v>0</v>
      </c>
      <c r="J9" s="12" t="b">
        <v>1</v>
      </c>
      <c r="K9" s="12" t="n">
        <v>5</v>
      </c>
      <c r="L9" s="12" t="inlineStr">
        <is>
          <t>Thu tiền vé khi xe vào</t>
        </is>
      </c>
      <c r="M9" s="22" t="inlineStr">
        <is>
          <t>PRICE_LIST gốc</t>
        </is>
      </c>
      <c r="N9" s="22" t="inlineStr">
        <is>
          <t>Đã xác nhận</t>
        </is>
      </c>
      <c r="O9" s="23" t="n"/>
      <c r="P9" s="57" t="n"/>
      <c r="Q9" s="57" t="n"/>
      <c r="R9" s="57" t="n"/>
      <c r="S9" s="57" t="n"/>
      <c r="T9" s="57" t="n"/>
      <c r="U9" s="57" t="n"/>
      <c r="V9" s="57" t="n"/>
      <c r="W9" s="57" t="n"/>
      <c r="X9" s="57" t="n"/>
      <c r="Y9" s="57" t="n"/>
      <c r="Z9" s="57" t="n"/>
    </row>
    <row r="10" ht="42.75" customHeight="1" s="94">
      <c r="A10" s="11" t="inlineStr">
        <is>
          <t>XE_BO_3_BANH</t>
        </is>
      </c>
      <c r="B10" s="12" t="inlineStr">
        <is>
          <t>Xe bo 3 bánh</t>
        </is>
      </c>
      <c r="C10" s="12" t="inlineStr">
        <is>
          <t>Phương tiện</t>
        </is>
      </c>
      <c r="D10" s="12" t="inlineStr">
        <is>
          <t>Vé vào</t>
        </is>
      </c>
      <c r="E10" s="20" t="n">
        <v>40000</v>
      </c>
      <c r="F10" s="12" t="inlineStr">
        <is>
          <t>Lượt</t>
        </is>
      </c>
      <c r="G10" s="12" t="n"/>
      <c r="H10" s="12" t="n"/>
      <c r="I10" s="12" t="n">
        <v>0</v>
      </c>
      <c r="J10" s="12" t="b">
        <v>1</v>
      </c>
      <c r="K10" s="12" t="n">
        <v>6</v>
      </c>
      <c r="L10" s="12" t="inlineStr">
        <is>
          <t>Thu tiền vé khi xe vào; không yêu cầu biển số</t>
        </is>
      </c>
      <c r="M10" s="22" t="inlineStr">
        <is>
          <t>PRICE_LIST gốc</t>
        </is>
      </c>
      <c r="N10" s="22" t="inlineStr">
        <is>
          <t>Đã xác nhận</t>
        </is>
      </c>
      <c r="O10" s="23" t="n"/>
      <c r="P10" s="57" t="n"/>
      <c r="Q10" s="57" t="n"/>
      <c r="R10" s="57" t="n"/>
      <c r="S10" s="57" t="n"/>
      <c r="T10" s="57" t="n"/>
      <c r="U10" s="57" t="n"/>
      <c r="V10" s="57" t="n"/>
      <c r="W10" s="57" t="n"/>
      <c r="X10" s="57" t="n"/>
      <c r="Y10" s="57" t="n"/>
      <c r="Z10" s="57" t="n"/>
    </row>
    <row r="11" ht="42.75" customHeight="1" s="94">
      <c r="A11" s="11" t="inlineStr">
        <is>
          <t>XE_SANG_TAI</t>
        </is>
      </c>
      <c r="B11" s="12" t="inlineStr">
        <is>
          <t>Xe sang tải (tạp)</t>
        </is>
      </c>
      <c r="C11" s="12" t="inlineStr">
        <is>
          <t>Phương tiện</t>
        </is>
      </c>
      <c r="D11" s="12" t="inlineStr">
        <is>
          <t>Vé vào</t>
        </is>
      </c>
      <c r="E11" s="20" t="n">
        <v>0</v>
      </c>
      <c r="F11" s="12" t="inlineStr">
        <is>
          <t>Lượt</t>
        </is>
      </c>
      <c r="G11" s="12" t="n"/>
      <c r="H11" s="12" t="n"/>
      <c r="I11" s="12" t="n">
        <v>0</v>
      </c>
      <c r="J11" s="12" t="b">
        <v>1</v>
      </c>
      <c r="K11" s="12" t="n">
        <v>7</v>
      </c>
      <c r="L11" s="12" t="inlineStr">
        <is>
          <t>Miễn phí, chỉ kiểm soát xe ra vào</t>
        </is>
      </c>
      <c r="M11" s="22" t="inlineStr">
        <is>
          <t>PRICE_LIST gốc</t>
        </is>
      </c>
      <c r="N11" s="22" t="inlineStr">
        <is>
          <t>Đã xác nhận</t>
        </is>
      </c>
      <c r="O11" s="23" t="n"/>
      <c r="P11" s="57" t="n"/>
      <c r="Q11" s="57" t="n"/>
      <c r="R11" s="57" t="n"/>
      <c r="S11" s="57" t="n"/>
      <c r="T11" s="57" t="n"/>
      <c r="U11" s="57" t="n"/>
      <c r="V11" s="57" t="n"/>
      <c r="W11" s="57" t="n"/>
      <c r="X11" s="57" t="n"/>
      <c r="Y11" s="57" t="n"/>
      <c r="Z11" s="57" t="n"/>
    </row>
    <row r="12" ht="42.75" customHeight="1" s="94">
      <c r="A12" s="11" t="inlineStr">
        <is>
          <t>LUU_CONTAINER</t>
        </is>
      </c>
      <c r="B12" s="12" t="inlineStr">
        <is>
          <t>Phí lưu container</t>
        </is>
      </c>
      <c r="C12" s="12" t="inlineStr">
        <is>
          <t>Container</t>
        </is>
      </c>
      <c r="D12" s="12" t="inlineStr">
        <is>
          <t>Lưu đêm</t>
        </is>
      </c>
      <c r="E12" s="20" t="n">
        <v>100000</v>
      </c>
      <c r="F12" s="12" t="inlineStr">
        <is>
          <t>Đêm</t>
        </is>
      </c>
      <c r="G12" s="12" t="inlineStr">
        <is>
          <t>22:00</t>
        </is>
      </c>
      <c r="H12" s="12" t="inlineStr">
        <is>
          <t>06:00</t>
        </is>
      </c>
      <c r="I12" s="12" t="n">
        <v>1</v>
      </c>
      <c r="J12" s="12" t="b">
        <v>1</v>
      </c>
      <c r="K12" s="12" t="n">
        <v>8</v>
      </c>
      <c r="L12" s="12" t="inlineStr">
        <is>
          <t>Phí lưu bằng (số đêm trừ một) nhân 100.000; kể cả không hạ cont</t>
        </is>
      </c>
      <c r="M12" s="22" t="inlineStr">
        <is>
          <t>PRICE_LIST gốc + chốt sau</t>
        </is>
      </c>
      <c r="N12" s="22" t="inlineStr">
        <is>
          <t>Đã xác nhận</t>
        </is>
      </c>
      <c r="O12" s="23" t="n"/>
      <c r="P12" s="57" t="n"/>
      <c r="Q12" s="57" t="n"/>
      <c r="R12" s="57" t="n"/>
      <c r="S12" s="57" t="n"/>
      <c r="T12" s="57" t="n"/>
      <c r="U12" s="57" t="n"/>
      <c r="V12" s="57" t="n"/>
      <c r="W12" s="57" t="n"/>
      <c r="X12" s="57" t="n"/>
      <c r="Y12" s="57" t="n"/>
      <c r="Z12" s="57" t="n"/>
    </row>
    <row r="13" ht="42.75" customHeight="1" s="94">
      <c r="A13" s="34" t="inlineStr">
        <is>
          <t>DIEN_CONT_GIO</t>
        </is>
      </c>
      <c r="B13" s="35" t="inlineStr">
        <is>
          <t>Cắm điện theo giờ</t>
        </is>
      </c>
      <c r="C13" s="35" t="inlineStr">
        <is>
          <t>Container</t>
        </is>
      </c>
      <c r="D13" s="35" t="inlineStr">
        <is>
          <t>Cắm điện</t>
        </is>
      </c>
      <c r="E13" s="36" t="n">
        <v>100000</v>
      </c>
      <c r="F13" s="35" t="inlineStr">
        <is>
          <t>Giờ</t>
        </is>
      </c>
      <c r="G13" s="35" t="n"/>
      <c r="H13" s="35" t="n"/>
      <c r="I13" s="35" t="n">
        <v>0</v>
      </c>
      <c r="J13" s="35" t="b">
        <v>1</v>
      </c>
      <c r="K13" s="35" t="n">
        <v>9</v>
      </c>
      <c r="L13" s="35" t="inlineStr">
        <is>
          <t>Làm tròn lên từng 15 phút; CCKB nhập giờ thực tế</t>
        </is>
      </c>
      <c r="M13" s="14" t="inlineStr">
        <is>
          <t>Bổ sung theo chốt mới</t>
        </is>
      </c>
      <c r="N13" s="14" t="inlineStr">
        <is>
          <t>Mã đề xuất cần duyệt</t>
        </is>
      </c>
      <c r="O13" s="23" t="n"/>
      <c r="P13" s="57" t="n"/>
      <c r="Q13" s="57" t="n"/>
      <c r="R13" s="57" t="n"/>
      <c r="S13" s="57" t="n"/>
      <c r="T13" s="57" t="n"/>
      <c r="U13" s="57" t="n"/>
      <c r="V13" s="57" t="n"/>
      <c r="W13" s="57" t="n"/>
      <c r="X13" s="57" t="n"/>
      <c r="Y13" s="57" t="n"/>
      <c r="Z13" s="57" t="n"/>
    </row>
    <row r="14" ht="42.75" customHeight="1" s="94">
      <c r="A14" s="34" t="inlineStr">
        <is>
          <t>DIEN_CONT_LIEN_TUC</t>
        </is>
      </c>
      <c r="B14" s="35" t="inlineStr">
        <is>
          <t>Cắm điện liên tục</t>
        </is>
      </c>
      <c r="C14" s="35" t="inlineStr">
        <is>
          <t>Container</t>
        </is>
      </c>
      <c r="D14" s="35" t="inlineStr">
        <is>
          <t>Cắm điện</t>
        </is>
      </c>
      <c r="E14" s="36" t="n">
        <v>100000</v>
      </c>
      <c r="F14" s="35" t="inlineStr">
        <is>
          <t>Giờ</t>
        </is>
      </c>
      <c r="G14" s="35" t="n"/>
      <c r="H14" s="35" t="n"/>
      <c r="I14" s="35" t="n">
        <v>0</v>
      </c>
      <c r="J14" s="35" t="b">
        <v>1</v>
      </c>
      <c r="K14" s="35" t="n">
        <v>10</v>
      </c>
      <c r="L14" s="35" t="inlineStr">
        <is>
          <t>Làm tròn lên từng 15 phút; CCKB nhập giờ thực tế</t>
        </is>
      </c>
      <c r="M14" s="14" t="inlineStr">
        <is>
          <t>Bổ sung theo chốt mới</t>
        </is>
      </c>
      <c r="N14" s="14" t="inlineStr">
        <is>
          <t>Mã đề xuất cần duyệt</t>
        </is>
      </c>
      <c r="O14" s="23" t="n"/>
      <c r="P14" s="57" t="n"/>
      <c r="Q14" s="57" t="n"/>
      <c r="R14" s="57" t="n"/>
      <c r="S14" s="57" t="n"/>
      <c r="T14" s="57" t="n"/>
      <c r="U14" s="57" t="n"/>
      <c r="V14" s="57" t="n"/>
      <c r="W14" s="57" t="n"/>
      <c r="X14" s="57" t="n"/>
      <c r="Y14" s="57" t="n"/>
      <c r="Z14" s="57" t="n"/>
    </row>
    <row r="15" ht="42.75" customHeight="1" s="94">
      <c r="A15" s="34" t="inlineStr">
        <is>
          <t>PHAT_MAT_VE</t>
        </is>
      </c>
      <c r="B15" s="35" t="inlineStr">
        <is>
          <t>Phạt mất liên 02 vé xe</t>
        </is>
      </c>
      <c r="C15" s="35" t="inlineStr">
        <is>
          <t>Vé xe</t>
        </is>
      </c>
      <c r="D15" s="35" t="inlineStr">
        <is>
          <t>Phạt</t>
        </is>
      </c>
      <c r="E15" s="36" t="n">
        <v>250000</v>
      </c>
      <c r="F15" s="35" t="inlineStr">
        <is>
          <t>Trường hợp</t>
        </is>
      </c>
      <c r="G15" s="35" t="n"/>
      <c r="H15" s="35" t="n"/>
      <c r="I15" s="35" t="n">
        <v>0</v>
      </c>
      <c r="J15" s="35" t="b">
        <v>1</v>
      </c>
      <c r="K15" s="35" t="n">
        <v>11</v>
      </c>
      <c r="L15" s="35" t="inlineStr">
        <is>
          <t>Mức tiền theo thông báo; người trực tiếp thu còn cần chốt</t>
        </is>
      </c>
      <c r="M15" s="14" t="inlineStr">
        <is>
          <t>Bổ sung từ thông báo</t>
        </is>
      </c>
      <c r="N15" s="14" t="inlineStr">
        <is>
          <t>Mã đề xuất cần duyệt</t>
        </is>
      </c>
      <c r="O15" s="23" t="n"/>
      <c r="P15" s="57" t="n"/>
      <c r="Q15" s="57" t="n"/>
      <c r="R15" s="57" t="n"/>
      <c r="S15" s="57" t="n"/>
      <c r="T15" s="57" t="n"/>
      <c r="U15" s="57" t="n"/>
      <c r="V15" s="57" t="n"/>
      <c r="W15" s="57" t="n"/>
      <c r="X15" s="57" t="n"/>
      <c r="Y15" s="57" t="n"/>
      <c r="Z15" s="57" t="n"/>
    </row>
    <row r="16">
      <c r="A16" s="57" t="n"/>
      <c r="B16" s="57" t="n"/>
      <c r="C16" s="57" t="n"/>
      <c r="D16" s="57" t="n"/>
      <c r="E16" s="57" t="n"/>
      <c r="F16" s="57" t="n"/>
      <c r="G16" s="57" t="n"/>
      <c r="H16" s="57" t="n"/>
      <c r="I16" s="57" t="n"/>
      <c r="J16" s="57" t="n"/>
      <c r="K16" s="57" t="n"/>
      <c r="L16" s="57" t="n"/>
      <c r="M16" s="57" t="n"/>
      <c r="N16" s="57" t="n"/>
      <c r="O16" s="57" t="n"/>
      <c r="P16" s="57" t="n"/>
      <c r="Q16" s="57" t="n"/>
      <c r="R16" s="57" t="n"/>
      <c r="S16" s="57" t="n"/>
      <c r="T16" s="57" t="n"/>
      <c r="U16" s="57" t="n"/>
      <c r="V16" s="57" t="n"/>
      <c r="W16" s="57" t="n"/>
      <c r="X16" s="57" t="n"/>
      <c r="Y16" s="57" t="n"/>
      <c r="Z16" s="57" t="n"/>
    </row>
    <row r="17">
      <c r="A17" s="57" t="n"/>
      <c r="B17" s="57" t="n"/>
      <c r="C17" s="57" t="n"/>
      <c r="D17" s="57" t="n"/>
      <c r="E17" s="57" t="n"/>
      <c r="F17" s="57" t="n"/>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c r="A18" s="57" t="n"/>
      <c r="B18" s="57" t="n"/>
      <c r="C18" s="57" t="n"/>
      <c r="D18" s="57" t="n"/>
      <c r="E18" s="57" t="n"/>
      <c r="F18" s="57" t="n"/>
      <c r="G18" s="57" t="n"/>
      <c r="H18" s="57" t="n"/>
      <c r="I18" s="57" t="n"/>
      <c r="J18" s="57" t="n"/>
      <c r="K18" s="57" t="n"/>
      <c r="L18" s="57" t="n"/>
      <c r="M18" s="57" t="n"/>
      <c r="N18" s="57" t="n"/>
      <c r="O18" s="57" t="n"/>
      <c r="P18" s="57" t="n"/>
      <c r="Q18" s="57" t="n"/>
      <c r="R18" s="57" t="n"/>
      <c r="S18" s="57" t="n"/>
      <c r="T18" s="57" t="n"/>
      <c r="U18" s="57" t="n"/>
      <c r="V18" s="57" t="n"/>
      <c r="W18" s="57" t="n"/>
      <c r="X18" s="57" t="n"/>
      <c r="Y18" s="57" t="n"/>
      <c r="Z18" s="57" t="n"/>
    </row>
    <row r="19">
      <c r="A19" s="57" t="n"/>
      <c r="B19" s="57" t="n"/>
      <c r="C19" s="57" t="n"/>
      <c r="D19" s="57" t="n"/>
      <c r="E19" s="57" t="n"/>
      <c r="F19" s="57" t="n"/>
      <c r="G19" s="57" t="n"/>
      <c r="H19" s="57" t="n"/>
      <c r="I19" s="57" t="n"/>
      <c r="J19" s="57" t="n"/>
      <c r="K19" s="57" t="n"/>
      <c r="L19" s="57" t="n"/>
      <c r="M19" s="57" t="n"/>
      <c r="N19" s="57" t="n"/>
      <c r="O19" s="57" t="n"/>
      <c r="P19" s="57" t="n"/>
      <c r="Q19" s="57" t="n"/>
      <c r="R19" s="57" t="n"/>
      <c r="S19" s="57" t="n"/>
      <c r="T19" s="57" t="n"/>
      <c r="U19" s="57" t="n"/>
      <c r="V19" s="57" t="n"/>
      <c r="W19" s="57" t="n"/>
      <c r="X19" s="57" t="n"/>
      <c r="Y19" s="57" t="n"/>
      <c r="Z19" s="57" t="n"/>
    </row>
    <row r="20">
      <c r="A20" s="57" t="n"/>
      <c r="B20" s="57" t="n"/>
      <c r="C20" s="57" t="n"/>
      <c r="D20" s="57" t="n"/>
      <c r="E20" s="57" t="n"/>
      <c r="F20" s="57" t="n"/>
      <c r="G20" s="57" t="n"/>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15.75" customHeight="1" s="94">
      <c r="A21" s="57" t="n"/>
      <c r="B21" s="57" t="n"/>
      <c r="C21" s="57" t="n"/>
      <c r="D21" s="57" t="n"/>
      <c r="E21" s="57" t="n"/>
      <c r="F21" s="57" t="n"/>
      <c r="G21" s="57" t="n"/>
      <c r="H21" s="57" t="n"/>
      <c r="I21" s="57" t="n"/>
      <c r="J21" s="57" t="n"/>
      <c r="K21" s="57" t="n"/>
      <c r="L21" s="57" t="n"/>
      <c r="M21" s="57" t="n"/>
      <c r="N21" s="57" t="n"/>
      <c r="O21" s="57" t="n"/>
      <c r="P21" s="57" t="n"/>
      <c r="Q21" s="57" t="n"/>
      <c r="R21" s="57" t="n"/>
      <c r="S21" s="57" t="n"/>
      <c r="T21" s="57" t="n"/>
      <c r="U21" s="57" t="n"/>
      <c r="V21" s="57" t="n"/>
      <c r="W21" s="57" t="n"/>
      <c r="X21" s="57" t="n"/>
      <c r="Y21" s="57" t="n"/>
      <c r="Z21" s="57" t="n"/>
    </row>
    <row r="22" ht="15.75" customHeight="1" s="94">
      <c r="A22" s="57" t="n"/>
      <c r="B22" s="57" t="n"/>
      <c r="C22" s="57" t="n"/>
      <c r="D22" s="57" t="n"/>
      <c r="E22" s="57" t="n"/>
      <c r="F22" s="57" t="n"/>
      <c r="G22" s="57" t="n"/>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15.75" customHeight="1" s="94">
      <c r="A23" s="57" t="n"/>
      <c r="B23" s="57" t="n"/>
      <c r="C23" s="57" t="n"/>
      <c r="D23" s="57" t="n"/>
      <c r="E23" s="57" t="n"/>
      <c r="F23" s="57" t="n"/>
      <c r="G23" s="57" t="n"/>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15.75" customHeight="1" s="94">
      <c r="A24" s="57" t="n"/>
      <c r="B24" s="57" t="n"/>
      <c r="C24" s="57" t="n"/>
      <c r="D24" s="57" t="n"/>
      <c r="E24" s="57" t="n"/>
      <c r="F24" s="57" t="n"/>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15.75" customHeight="1" s="94">
      <c r="A25" s="57" t="n"/>
      <c r="B25" s="57" t="n"/>
      <c r="C25" s="57" t="n"/>
      <c r="D25" s="57" t="n"/>
      <c r="E25" s="57" t="n"/>
      <c r="F25" s="57" t="n"/>
      <c r="G25" s="57" t="n"/>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15.75" customHeight="1" s="94">
      <c r="A26" s="57" t="n"/>
      <c r="B26" s="57" t="n"/>
      <c r="C26" s="57" t="n"/>
      <c r="D26" s="57" t="n"/>
      <c r="E26" s="57" t="n"/>
      <c r="F26" s="57" t="n"/>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15.75" customHeight="1" s="94">
      <c r="A27" s="57" t="n"/>
      <c r="B27" s="57" t="n"/>
      <c r="C27" s="57" t="n"/>
      <c r="D27" s="57" t="n"/>
      <c r="E27" s="57" t="n"/>
      <c r="F27" s="57" t="n"/>
      <c r="G27" s="57" t="n"/>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15.75" customHeight="1" s="94">
      <c r="A28" s="57" t="n"/>
      <c r="B28" s="57" t="n"/>
      <c r="C28" s="57" t="n"/>
      <c r="D28" s="57" t="n"/>
      <c r="E28" s="57" t="n"/>
      <c r="F28" s="57" t="n"/>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5.75" customHeight="1" s="94">
      <c r="A29" s="57" t="n"/>
      <c r="B29" s="57" t="n"/>
      <c r="C29" s="57" t="n"/>
      <c r="D29" s="57" t="n"/>
      <c r="E29" s="57" t="n"/>
      <c r="F29" s="57" t="n"/>
      <c r="G29" s="57" t="n"/>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s="94">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15.75" customHeight="1" s="94">
      <c r="A32" s="57" t="n"/>
      <c r="B32" s="57" t="n"/>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15.75" customHeight="1" s="94">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s="94">
      <c r="A34" s="57" t="n"/>
      <c r="B34" s="57" t="n"/>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s="94">
      <c r="A35" s="57" t="n"/>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s="94">
      <c r="A36" s="57" t="n"/>
      <c r="B36" s="57" t="n"/>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s="94">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s="94">
      <c r="A38" s="57" t="n"/>
      <c r="B38" s="57" t="n"/>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s="94">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s="94">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O$15"/>
  <mergeCells count="2">
    <mergeCell ref="A1:O1"/>
    <mergeCell ref="A2:O2"/>
  </mergeCells>
  <pageMargins left="0.25" right="0.25" top="0.45" bottom="0.45" header="0" footer="0"/>
  <pageSetup orientation="landscape" paperSize="8" fitToHeight="0"/>
  <headerFooter>
    <oddHeader/>
    <oddFooter>&amp;CPWA Son Cang | Yeu cau nghiep vu | Trang &amp;P /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Q43"/>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0" customWidth="1" style="94" min="1" max="1"/>
    <col width="16" customWidth="1" style="94" min="2" max="2"/>
    <col width="44" customWidth="1" style="94" min="3" max="3"/>
    <col width="22" customWidth="1" style="94" min="4" max="4"/>
    <col width="15" customWidth="1" style="94" min="5" max="5"/>
    <col width="15" customWidth="1" style="94" min="6" max="6"/>
    <col width="15" customWidth="1" style="94" min="7" max="7"/>
    <col width="15" customWidth="1" style="94" min="8" max="8"/>
    <col width="16" customWidth="1" style="94" min="9" max="9"/>
    <col width="17" customWidth="1" style="94" min="10" max="10"/>
    <col width="14" customWidth="1" style="94" min="11" max="11"/>
    <col width="44" customWidth="1" style="94" min="12" max="12"/>
    <col width="26" customWidth="1" style="94" min="13" max="13"/>
    <col width="25" customWidth="1" style="94" min="14" max="14"/>
    <col width="93" customWidth="1" style="94" min="15" max="15"/>
    <col width="21" customWidth="1" style="94" min="16" max="16"/>
    <col width="12" customWidth="1" style="94" min="17" max="17"/>
  </cols>
  <sheetData>
    <row r="1" ht="36" customHeight="1" s="94">
      <c r="A1" s="98" t="inlineStr">
        <is>
          <t>MA TRẬN QUYỀN ĐỀ XUẤT — PWA SƠN CẢNG</t>
        </is>
      </c>
    </row>
    <row r="2" ht="30" customHeight="1" s="94">
      <c r="A2" s="100" t="inlineStr">
        <is>
          <t>BẢN THẨM ĐỊNH: cột E–K là quyền khuyến nghị; mọi phần khác biệt được tô vàng. Tab 04_PHAN_QUYEN giữ nguyên câu trả lời của bạn.</t>
        </is>
      </c>
    </row>
    <row r="3" ht="32" customHeight="1" s="94">
      <c r="A3" s="101" t="inlineStr">
        <is>
          <t>Ký hiệu quyền: Thực hiện = thao tác; Xem = xem trong phạm vi; Đề nghị = gửi yêu cầu; Phê duyệt = quyết định; Không = không truy cập. CHƯA PHẢI QUYỀN ĐÃ DUYỆT.</t>
        </is>
      </c>
    </row>
    <row r="4" ht="34" customHeight="1" s="94">
      <c r="A4" s="102" t="inlineStr">
        <is>
          <t>Mã</t>
        </is>
      </c>
      <c r="B4" s="102" t="inlineStr">
        <is>
          <t>Nhóm</t>
        </is>
      </c>
      <c r="C4" s="102" t="inlineStr">
        <is>
          <t>Chức năng / thao tác</t>
        </is>
      </c>
      <c r="D4" s="102" t="inlineStr">
        <is>
          <t>Bộ phận trách nhiệm đã chốt</t>
        </is>
      </c>
      <c r="E4" s="102" t="inlineStr">
        <is>
          <t>NV An ninh</t>
        </is>
      </c>
      <c r="F4" s="102" t="inlineStr">
        <is>
          <t>TBP An ninh</t>
        </is>
      </c>
      <c r="G4" s="102" t="inlineStr">
        <is>
          <t>NV CCKB</t>
        </is>
      </c>
      <c r="H4" s="102" t="inlineStr">
        <is>
          <t>TBP CCKB</t>
        </is>
      </c>
      <c r="I4" s="102" t="inlineStr">
        <is>
          <t>NV Điều phối</t>
        </is>
      </c>
      <c r="J4" s="102" t="inlineStr">
        <is>
          <t>TBP Điều phối</t>
        </is>
      </c>
      <c r="K4" s="102" t="inlineStr">
        <is>
          <t>Quản trị</t>
        </is>
      </c>
      <c r="L4" s="102" t="inlineStr">
        <is>
          <t>Ghi chú cần xác nhận (điền)</t>
        </is>
      </c>
      <c r="M4" s="102" t="inlineStr">
        <is>
          <t>Trạng thái</t>
        </is>
      </c>
      <c r="N4" s="102" t="inlineStr">
        <is>
          <t>Đánh giá</t>
        </is>
      </c>
      <c r="O4" s="102" t="inlineStr">
        <is>
          <t>Giải pháp / điều kiện an toàn</t>
        </is>
      </c>
      <c r="P4" s="102" t="inlineStr">
        <is>
          <t>Thay đổi cột</t>
        </is>
      </c>
      <c r="Q4" s="102" t="inlineStr">
        <is>
          <t>Mức ưu tiên</t>
        </is>
      </c>
    </row>
    <row r="5" ht="38" customHeight="1" s="94">
      <c r="A5" s="103" t="inlineStr">
        <is>
          <t>Q01</t>
        </is>
      </c>
      <c r="B5" s="104" t="inlineStr">
        <is>
          <t>Cổng vào</t>
        </is>
      </c>
      <c r="C5" s="105" t="inlineStr">
        <is>
          <t>Tạo lượt xe vào và giờ vào</t>
        </is>
      </c>
      <c r="D5" s="104" t="inlineStr">
        <is>
          <t>An ninh</t>
        </is>
      </c>
      <c r="E5" s="105" t="inlineStr">
        <is>
          <t>Thực hiện</t>
        </is>
      </c>
      <c r="F5" s="105" t="inlineStr">
        <is>
          <t>Thực hiện</t>
        </is>
      </c>
      <c r="G5" s="105" t="inlineStr">
        <is>
          <t>Không</t>
        </is>
      </c>
      <c r="H5" s="105" t="inlineStr">
        <is>
          <t>Không</t>
        </is>
      </c>
      <c r="I5" s="105" t="inlineStr">
        <is>
          <t>Không</t>
        </is>
      </c>
      <c r="J5" s="105" t="inlineStr">
        <is>
          <t>Không</t>
        </is>
      </c>
      <c r="K5" s="105" t="inlineStr">
        <is>
          <t>Thực hiện</t>
        </is>
      </c>
      <c r="L5" s="105" t="n"/>
      <c r="M5" s="105" t="inlineStr">
        <is>
          <t>Đã chốt</t>
        </is>
      </c>
      <c r="N5" s="106" t="inlineStr">
        <is>
          <t>Giữ nguyên đề xuất của bạn</t>
        </is>
      </c>
      <c r="O5" s="106" t="inlineStr">
        <is>
          <t>Giữ như bản bạn điền; vẫn phải triển khai RBAC phía server, không chỉ ẩn nút trên giao diện.</t>
        </is>
      </c>
      <c r="P5" s="106" t="inlineStr">
        <is>
          <t>Không đổi giá trị</t>
        </is>
      </c>
      <c r="Q5" s="106" t="inlineStr">
        <is>
          <t>P2</t>
        </is>
      </c>
    </row>
    <row r="6" ht="38" customHeight="1" s="94">
      <c r="A6" s="107" t="inlineStr">
        <is>
          <t>Q02</t>
        </is>
      </c>
      <c r="B6" s="108" t="inlineStr">
        <is>
          <t>Cổng vào</t>
        </is>
      </c>
      <c r="C6" s="109" t="inlineStr">
        <is>
          <t>Thu tiền vé vào, đính kèm ảnh chuyển khoản</t>
        </is>
      </c>
      <c r="D6" s="108" t="inlineStr">
        <is>
          <t>An ninh</t>
        </is>
      </c>
      <c r="E6" s="109" t="inlineStr">
        <is>
          <t>Thực hiện</t>
        </is>
      </c>
      <c r="F6" s="109" t="inlineStr">
        <is>
          <t>Thực hiện</t>
        </is>
      </c>
      <c r="G6" s="109" t="inlineStr">
        <is>
          <t>Không</t>
        </is>
      </c>
      <c r="H6" s="109" t="inlineStr">
        <is>
          <t>Không</t>
        </is>
      </c>
      <c r="I6" s="109" t="inlineStr">
        <is>
          <t>Không</t>
        </is>
      </c>
      <c r="J6" s="109" t="inlineStr">
        <is>
          <t>Không</t>
        </is>
      </c>
      <c r="K6" s="109" t="inlineStr">
        <is>
          <t>Thực hiện</t>
        </is>
      </c>
      <c r="L6" s="109" t="n"/>
      <c r="M6" s="109" t="inlineStr">
        <is>
          <t>Đã chốt</t>
        </is>
      </c>
      <c r="N6" s="106" t="inlineStr">
        <is>
          <t>Giữ nguyên đề xuất của bạn</t>
        </is>
      </c>
      <c r="O6" s="106" t="inlineStr">
        <is>
          <t>Giữ như bản bạn điền; vẫn phải triển khai RBAC phía server, không chỉ ẩn nút trên giao diện.</t>
        </is>
      </c>
      <c r="P6" s="106" t="inlineStr">
        <is>
          <t>Không đổi giá trị</t>
        </is>
      </c>
      <c r="Q6" s="106" t="inlineStr">
        <is>
          <t>P2</t>
        </is>
      </c>
    </row>
    <row r="7" ht="74" customHeight="1" s="94">
      <c r="A7" s="103" t="inlineStr">
        <is>
          <t>Q03</t>
        </is>
      </c>
      <c r="B7" s="104" t="inlineStr">
        <is>
          <t>Cổng vào</t>
        </is>
      </c>
      <c r="C7" s="105" t="inlineStr">
        <is>
          <t>Sửa biển số / loại xe / GIO_VAO</t>
        </is>
      </c>
      <c r="D7" s="104" t="inlineStr">
        <is>
          <t>An ninh</t>
        </is>
      </c>
      <c r="E7" s="105" t="inlineStr">
        <is>
          <t>Thực hiện</t>
        </is>
      </c>
      <c r="F7" s="105" t="inlineStr">
        <is>
          <t>Thực hiện</t>
        </is>
      </c>
      <c r="G7" s="105" t="inlineStr">
        <is>
          <t>Xem</t>
        </is>
      </c>
      <c r="H7" s="105" t="inlineStr">
        <is>
          <t>Xem</t>
        </is>
      </c>
      <c r="I7" s="105" t="inlineStr">
        <is>
          <t>Xem</t>
        </is>
      </c>
      <c r="J7" s="105" t="inlineStr">
        <is>
          <t>Xem</t>
        </is>
      </c>
      <c r="K7" s="105" t="inlineStr">
        <is>
          <t>Thực hiện</t>
        </is>
      </c>
      <c r="L7" s="105" t="n"/>
      <c r="M7" s="105" t="inlineStr">
        <is>
          <t>Tách thao tác / chờ duyệt</t>
        </is>
      </c>
      <c r="N7" s="110" t="inlineStr">
        <is>
          <t>Tách thao tác / chờ duyệt</t>
        </is>
      </c>
      <c r="O7" s="110" t="inlineStr">
        <is>
          <t>Tách sửa biển số, loại xe và GIO_VAO thành các quyền riêng. Trước khi xuất cho An ninh sửa có audit; sau khi đã thu/đã xuất phải kiểm tra ảnh hưởng phí và cho TBP xử lý. Không tự sửa chứng từ đã thu.</t>
        </is>
      </c>
      <c r="P7" s="110" t="inlineStr">
        <is>
          <t>Không đổi giá trị</t>
        </is>
      </c>
      <c r="Q7" s="110" t="inlineStr">
        <is>
          <t>P0</t>
        </is>
      </c>
    </row>
    <row r="8" ht="63" customHeight="1" s="94">
      <c r="A8" s="107" t="inlineStr">
        <is>
          <t>Q04</t>
        </is>
      </c>
      <c r="B8" s="108" t="inlineStr">
        <is>
          <t>Cổng vào</t>
        </is>
      </c>
      <c r="C8" s="109" t="inlineStr">
        <is>
          <t>Tạo/điều chỉnh số vé giấy</t>
        </is>
      </c>
      <c r="D8" s="111" t="inlineStr">
        <is>
          <t>Chưa triển khai V1</t>
        </is>
      </c>
      <c r="E8" s="111" t="inlineStr">
        <is>
          <t>Không</t>
        </is>
      </c>
      <c r="F8" s="111" t="inlineStr">
        <is>
          <t>Không</t>
        </is>
      </c>
      <c r="G8" s="111" t="inlineStr">
        <is>
          <t>Không</t>
        </is>
      </c>
      <c r="H8" s="111" t="inlineStr">
        <is>
          <t>Không</t>
        </is>
      </c>
      <c r="I8" s="111" t="inlineStr">
        <is>
          <t>Không</t>
        </is>
      </c>
      <c r="J8" s="111" t="inlineStr">
        <is>
          <t>Không</t>
        </is>
      </c>
      <c r="K8" s="111" t="inlineStr">
        <is>
          <t>Không</t>
        </is>
      </c>
      <c r="L8" s="109" t="n"/>
      <c r="M8" s="109" t="inlineStr">
        <is>
          <t>Đề xuất hoãn V1</t>
        </is>
      </c>
      <c r="N8" s="112" t="inlineStr">
        <is>
          <t>Đề xuất hoãn V1</t>
        </is>
      </c>
      <c r="O8" s="110" t="inlineStr">
        <is>
          <t>Bạn ghi hiện chưa dùng chỉnh số vé giấy; do đó tắt thao tác thay đổi số vé giấy ở V1. Nếu cần vẫn có thể nhập số vé tham chiếu tùy chọn, không cấp quyền sửa tùy ý.</t>
        </is>
      </c>
      <c r="P8" s="110" t="inlineStr">
        <is>
          <t>D, E, F, G, H, I, J, K</t>
        </is>
      </c>
      <c r="Q8" s="110" t="inlineStr">
        <is>
          <t>P2</t>
        </is>
      </c>
    </row>
    <row r="9" ht="38" customHeight="1" s="94">
      <c r="A9" s="103" t="inlineStr">
        <is>
          <t>Q05</t>
        </is>
      </c>
      <c r="B9" s="104" t="inlineStr">
        <is>
          <t>Container</t>
        </is>
      </c>
      <c r="C9" s="105" t="inlineStr">
        <is>
          <t>Tạo lượt container vào, ghi GIO_CONT_VAO</t>
        </is>
      </c>
      <c r="D9" s="104" t="inlineStr">
        <is>
          <t>An ninh</t>
        </is>
      </c>
      <c r="E9" s="105" t="inlineStr">
        <is>
          <t>Thực hiện</t>
        </is>
      </c>
      <c r="F9" s="105" t="inlineStr">
        <is>
          <t>Thực hiện</t>
        </is>
      </c>
      <c r="G9" s="105" t="inlineStr">
        <is>
          <t>Không</t>
        </is>
      </c>
      <c r="H9" s="105" t="inlineStr">
        <is>
          <t>Không</t>
        </is>
      </c>
      <c r="I9" s="105" t="inlineStr">
        <is>
          <t>Không</t>
        </is>
      </c>
      <c r="J9" s="105" t="inlineStr">
        <is>
          <t>Không</t>
        </is>
      </c>
      <c r="K9" s="105" t="inlineStr">
        <is>
          <t>Thực hiện</t>
        </is>
      </c>
      <c r="L9" s="105" t="n"/>
      <c r="M9" s="105" t="inlineStr">
        <is>
          <t>Đã chốt</t>
        </is>
      </c>
      <c r="N9" s="106" t="inlineStr">
        <is>
          <t>Giữ nguyên đề xuất của bạn</t>
        </is>
      </c>
      <c r="O9" s="106" t="inlineStr">
        <is>
          <t>Giữ như bản bạn điền; vẫn phải triển khai RBAC phía server, không chỉ ẩn nút trên giao diện.</t>
        </is>
      </c>
      <c r="P9" s="106" t="inlineStr">
        <is>
          <t>Không đổi giá trị</t>
        </is>
      </c>
      <c r="Q9" s="106" t="inlineStr">
        <is>
          <t>P2</t>
        </is>
      </c>
    </row>
    <row r="10" ht="74" customHeight="1" s="94">
      <c r="A10" s="107" t="inlineStr">
        <is>
          <t>Q06</t>
        </is>
      </c>
      <c r="B10" s="108" t="inlineStr">
        <is>
          <t>Container</t>
        </is>
      </c>
      <c r="C10" s="109" t="inlineStr">
        <is>
          <t>Thay đổi số container sau khi lưu</t>
        </is>
      </c>
      <c r="D10" s="108" t="inlineStr">
        <is>
          <t>An ninh</t>
        </is>
      </c>
      <c r="E10" s="109" t="inlineStr">
        <is>
          <t>Thực hiện</t>
        </is>
      </c>
      <c r="F10" s="109" t="inlineStr">
        <is>
          <t>Thực hiện</t>
        </is>
      </c>
      <c r="G10" s="109" t="inlineStr">
        <is>
          <t>Xem</t>
        </is>
      </c>
      <c r="H10" s="109" t="inlineStr">
        <is>
          <t>Xem</t>
        </is>
      </c>
      <c r="I10" s="109" t="inlineStr">
        <is>
          <t>Xem</t>
        </is>
      </c>
      <c r="J10" s="109" t="inlineStr">
        <is>
          <t>Xem</t>
        </is>
      </c>
      <c r="K10" s="109" t="inlineStr">
        <is>
          <t>Thực hiện</t>
        </is>
      </c>
      <c r="L10" s="109" t="inlineStr">
        <is>
          <t>Đã xác nhận cấp quyền cho An ninh sửa số cont và báo CCKB. Các ngoại lệ đã thanh toán/đã xuất vẫn cần chốt.</t>
        </is>
      </c>
      <c r="M10" s="109" t="inlineStr">
        <is>
          <t>Giữ quyền, bổ sung điều kiện</t>
        </is>
      </c>
      <c r="N10" s="110" t="inlineStr">
        <is>
          <t>Giữ quyền, bổ sung điều kiện</t>
        </is>
      </c>
      <c r="O10" s="110" t="inlineStr">
        <is>
          <t>Giữ quyền sửa số cont cho An ninh như bạn chọn; bắt buộc ghi số trước/sau, lý do, người sửa, giờ sửa và tự gửi cảnh báo tới CCKB. Nếu đã thu thì giữ giao dịch cũ; thay đổi số cont không tự động thay tiền.</t>
        </is>
      </c>
      <c r="P10" s="110" t="inlineStr">
        <is>
          <t>Không đổi giá trị</t>
        </is>
      </c>
      <c r="Q10" s="110" t="inlineStr">
        <is>
          <t>P0</t>
        </is>
      </c>
    </row>
    <row r="11" ht="74" customHeight="1" s="94">
      <c r="A11" s="103" t="inlineStr">
        <is>
          <t>Q07</t>
        </is>
      </c>
      <c r="B11" s="104" t="inlineStr">
        <is>
          <t>Container</t>
        </is>
      </c>
      <c r="C11" s="105" t="inlineStr">
        <is>
          <t>Xác nhận hạ/xếp container (quản lý vị trí)</t>
        </is>
      </c>
      <c r="D11" s="104" t="inlineStr">
        <is>
          <t>An ninh</t>
        </is>
      </c>
      <c r="E11" s="105" t="inlineStr">
        <is>
          <t>Thực hiện</t>
        </is>
      </c>
      <c r="F11" s="105" t="inlineStr">
        <is>
          <t>Thực hiện</t>
        </is>
      </c>
      <c r="G11" s="105" t="inlineStr">
        <is>
          <t>Xem</t>
        </is>
      </c>
      <c r="H11" s="105" t="inlineStr">
        <is>
          <t>Xem</t>
        </is>
      </c>
      <c r="I11" s="105" t="inlineStr">
        <is>
          <t>Thực hiện</t>
        </is>
      </c>
      <c r="J11" s="105" t="inlineStr">
        <is>
          <t>Thực hiện</t>
        </is>
      </c>
      <c r="K11" s="105" t="inlineStr">
        <is>
          <t>Thực hiện</t>
        </is>
      </c>
      <c r="L11" s="105" t="n"/>
      <c r="M11" s="105" t="inlineStr">
        <is>
          <t>Giữ quyền, bổ sung điều kiện</t>
        </is>
      </c>
      <c r="N11" s="110" t="inlineStr">
        <is>
          <t>Giữ quyền, bổ sung điều kiện</t>
        </is>
      </c>
      <c r="O11" s="110" t="inlineStr">
        <is>
          <t>Nghiệp vụ hạ/xếp/vị trí là thông tin vận hành, không phải điều kiện tính phí lưu. Nếu chưa áp dụng kiểm soát vị trí trong V1, ẩn phần vị trí; vẫn lưu trạng thái xe ra không container.</t>
        </is>
      </c>
      <c r="P11" s="110" t="inlineStr">
        <is>
          <t>Không đổi giá trị</t>
        </is>
      </c>
      <c r="Q11" s="110" t="inlineStr">
        <is>
          <t>P2</t>
        </is>
      </c>
    </row>
    <row r="12" ht="63" customHeight="1" s="94">
      <c r="A12" s="107" t="inlineStr">
        <is>
          <t>Q08</t>
        </is>
      </c>
      <c r="B12" s="108" t="inlineStr">
        <is>
          <t>Điều phối</t>
        </is>
      </c>
      <c r="C12" s="109" t="inlineStr">
        <is>
          <t>Cập nhật HÀNG/RỖNG</t>
        </is>
      </c>
      <c r="D12" s="108" t="inlineStr">
        <is>
          <t>Điều phối</t>
        </is>
      </c>
      <c r="E12" s="111" t="inlineStr">
        <is>
          <t>Xem</t>
        </is>
      </c>
      <c r="F12" s="111" t="inlineStr">
        <is>
          <t>Xem</t>
        </is>
      </c>
      <c r="G12" s="109" t="inlineStr">
        <is>
          <t>Xem</t>
        </is>
      </c>
      <c r="H12" s="109" t="inlineStr">
        <is>
          <t>Xem</t>
        </is>
      </c>
      <c r="I12" s="109" t="inlineStr">
        <is>
          <t>Thực hiện</t>
        </is>
      </c>
      <c r="J12" s="109" t="inlineStr">
        <is>
          <t>Thực hiện</t>
        </is>
      </c>
      <c r="K12" s="109" t="inlineStr">
        <is>
          <t>Thực hiện</t>
        </is>
      </c>
      <c r="L12" s="109" t="n"/>
      <c r="M12" s="109" t="inlineStr">
        <is>
          <t>Đề xuất sửa quyền</t>
        </is>
      </c>
      <c r="N12" s="112" t="inlineStr">
        <is>
          <t>Đề xuất sửa quyền</t>
        </is>
      </c>
      <c r="O12" s="110" t="inlineStr">
        <is>
          <t>Chỉ Điều phối nhập HÀNG/RỖNG; An ninh xem để đối chiếu. Tránh 2 bộ phận cập nhật chéo làm mất nguồn dữ liệu chuẩn.</t>
        </is>
      </c>
      <c r="P12" s="110" t="inlineStr">
        <is>
          <t>E, F</t>
        </is>
      </c>
      <c r="Q12" s="110" t="inlineStr">
        <is>
          <t>P0</t>
        </is>
      </c>
    </row>
    <row r="13" ht="63" customHeight="1" s="94">
      <c r="A13" s="103" t="inlineStr">
        <is>
          <t>Q09</t>
        </is>
      </c>
      <c r="B13" s="104" t="inlineStr">
        <is>
          <t>Điều phối</t>
        </is>
      </c>
      <c r="C13" s="105" t="inlineStr">
        <is>
          <t>Sửa HÀNG/RỖNG sau khi đã ra</t>
        </is>
      </c>
      <c r="D13" s="104" t="inlineStr">
        <is>
          <t>Điều phối</t>
        </is>
      </c>
      <c r="E13" s="111" t="inlineStr">
        <is>
          <t>Xem</t>
        </is>
      </c>
      <c r="F13" s="111" t="inlineStr">
        <is>
          <t>Xem</t>
        </is>
      </c>
      <c r="G13" s="105" t="inlineStr">
        <is>
          <t>Xem</t>
        </is>
      </c>
      <c r="H13" s="105" t="inlineStr">
        <is>
          <t>Xem</t>
        </is>
      </c>
      <c r="I13" s="111" t="inlineStr">
        <is>
          <t>Đề nghị</t>
        </is>
      </c>
      <c r="J13" s="111" t="inlineStr">
        <is>
          <t>Phê duyệt</t>
        </is>
      </c>
      <c r="K13" s="105" t="inlineStr">
        <is>
          <t>Thực hiện</t>
        </is>
      </c>
      <c r="L13" s="105" t="n"/>
      <c r="M13" s="105" t="inlineStr">
        <is>
          <t>Đề xuất sửa quyền</t>
        </is>
      </c>
      <c r="N13" s="112" t="inlineStr">
        <is>
          <t>Đề xuất sửa quyền</t>
        </is>
      </c>
      <c r="O13" s="110" t="inlineStr">
        <is>
          <t>Sau khi container đã xuất: NV Điều phối chỉ đề nghị sửa; TBP Điều phối/Quản trị duyệt, ghi nhật ký trước/sau. Nếu chỉ sửa chú thích không ảnh hưởng phí thì có thể đơn giản hóa.</t>
        </is>
      </c>
      <c r="P13" s="110" t="inlineStr">
        <is>
          <t>E, F, I, J</t>
        </is>
      </c>
      <c r="Q13" s="110" t="inlineStr">
        <is>
          <t>P1</t>
        </is>
      </c>
    </row>
    <row r="14" ht="38" customHeight="1" s="94">
      <c r="A14" s="107" t="inlineStr">
        <is>
          <t>Q10</t>
        </is>
      </c>
      <c r="B14" s="108" t="inlineStr">
        <is>
          <t>Cắm điện</t>
        </is>
      </c>
      <c r="C14" s="109" t="inlineStr">
        <is>
          <t>Tạo yêu cầu cắm/rút từ khách hàng</t>
        </is>
      </c>
      <c r="D14" s="108" t="inlineStr">
        <is>
          <t>CCKB</t>
        </is>
      </c>
      <c r="E14" s="109" t="inlineStr">
        <is>
          <t>Xem</t>
        </is>
      </c>
      <c r="F14" s="109" t="inlineStr">
        <is>
          <t>Xem</t>
        </is>
      </c>
      <c r="G14" s="109" t="inlineStr">
        <is>
          <t>Thực hiện</t>
        </is>
      </c>
      <c r="H14" s="109" t="inlineStr">
        <is>
          <t>Thực hiện</t>
        </is>
      </c>
      <c r="I14" s="109" t="inlineStr">
        <is>
          <t>Xem</t>
        </is>
      </c>
      <c r="J14" s="109" t="inlineStr">
        <is>
          <t>Xem</t>
        </is>
      </c>
      <c r="K14" s="109" t="inlineStr">
        <is>
          <t>Thực hiện</t>
        </is>
      </c>
      <c r="L14" s="109" t="n"/>
      <c r="M14" s="109" t="inlineStr">
        <is>
          <t>Đã chốt</t>
        </is>
      </c>
      <c r="N14" s="106" t="inlineStr">
        <is>
          <t>Giữ nguyên đề xuất của bạn</t>
        </is>
      </c>
      <c r="O14" s="106" t="inlineStr">
        <is>
          <t>Giữ như bản bạn điền; vẫn phải triển khai RBAC phía server, không chỉ ẩn nút trên giao diện.</t>
        </is>
      </c>
      <c r="P14" s="106" t="inlineStr">
        <is>
          <t>Không đổi giá trị</t>
        </is>
      </c>
      <c r="Q14" s="106" t="inlineStr">
        <is>
          <t>P2</t>
        </is>
      </c>
    </row>
    <row r="15" ht="63" customHeight="1" s="94">
      <c r="A15" s="103" t="inlineStr">
        <is>
          <t>Q11</t>
        </is>
      </c>
      <c r="B15" s="104" t="inlineStr">
        <is>
          <t>Cắm điện</t>
        </is>
      </c>
      <c r="C15" s="105" t="inlineStr">
        <is>
          <t>Thực hiện cắm/rút điện tại hiện trường</t>
        </is>
      </c>
      <c r="D15" s="104" t="inlineStr">
        <is>
          <t>An ninh</t>
        </is>
      </c>
      <c r="E15" s="105" t="inlineStr">
        <is>
          <t>Thực hiện</t>
        </is>
      </c>
      <c r="F15" s="105" t="inlineStr">
        <is>
          <t>Thực hiện</t>
        </is>
      </c>
      <c r="G15" s="111" t="inlineStr">
        <is>
          <t>Xem</t>
        </is>
      </c>
      <c r="H15" s="111" t="inlineStr">
        <is>
          <t>Xem</t>
        </is>
      </c>
      <c r="I15" s="105" t="inlineStr">
        <is>
          <t>Xem</t>
        </is>
      </c>
      <c r="J15" s="105" t="inlineStr">
        <is>
          <t>Xem</t>
        </is>
      </c>
      <c r="K15" s="105" t="inlineStr">
        <is>
          <t>Thực hiện</t>
        </is>
      </c>
      <c r="L15" s="105" t="n"/>
      <c r="M15" s="105" t="inlineStr">
        <is>
          <t>Đề xuất sửa quyền</t>
        </is>
      </c>
      <c r="N15" s="112" t="inlineStr">
        <is>
          <t>Đề xuất sửa quyền</t>
        </is>
      </c>
      <c r="O15" s="110" t="inlineStr">
        <is>
          <t>Thao tác cắm/rút PHYSICAL chỉ An ninh thực hiện. CCKB tiếp nhận thông báo qua Zalo, sau đó nhập giờ tại Q12/Q13. Không bắt buộc An ninh nhập giờ trên PWA.</t>
        </is>
      </c>
      <c r="P15" s="110" t="inlineStr">
        <is>
          <t>G, H</t>
        </is>
      </c>
      <c r="Q15" s="110" t="inlineStr">
        <is>
          <t>P0</t>
        </is>
      </c>
    </row>
    <row r="16" ht="38" customHeight="1" s="94">
      <c r="A16" s="107" t="inlineStr">
        <is>
          <t>Q12</t>
        </is>
      </c>
      <c r="B16" s="108" t="inlineStr">
        <is>
          <t>Cắm điện</t>
        </is>
      </c>
      <c r="C16" s="109" t="inlineStr">
        <is>
          <t>Nhập GIO_CAM_THUC_TE</t>
        </is>
      </c>
      <c r="D16" s="108" t="inlineStr">
        <is>
          <t>CCKB</t>
        </is>
      </c>
      <c r="E16" s="109" t="inlineStr">
        <is>
          <t>Xem</t>
        </is>
      </c>
      <c r="F16" s="109" t="inlineStr">
        <is>
          <t>Xem</t>
        </is>
      </c>
      <c r="G16" s="109" t="inlineStr">
        <is>
          <t>Thực hiện</t>
        </is>
      </c>
      <c r="H16" s="109" t="inlineStr">
        <is>
          <t>Thực hiện</t>
        </is>
      </c>
      <c r="I16" s="109" t="inlineStr">
        <is>
          <t>Xem</t>
        </is>
      </c>
      <c r="J16" s="109" t="inlineStr">
        <is>
          <t>Xem</t>
        </is>
      </c>
      <c r="K16" s="109" t="inlineStr">
        <is>
          <t>Thực hiện</t>
        </is>
      </c>
      <c r="L16" s="109" t="n"/>
      <c r="M16" s="109" t="inlineStr">
        <is>
          <t>Đã chốt</t>
        </is>
      </c>
      <c r="N16" s="106" t="inlineStr">
        <is>
          <t>Giữ nguyên đề xuất của bạn</t>
        </is>
      </c>
      <c r="O16" s="106" t="inlineStr">
        <is>
          <t>Giữ như bản bạn điền; vẫn phải triển khai RBAC phía server, không chỉ ẩn nút trên giao diện.</t>
        </is>
      </c>
      <c r="P16" s="106" t="inlineStr">
        <is>
          <t>Không đổi giá trị</t>
        </is>
      </c>
      <c r="Q16" s="106" t="inlineStr">
        <is>
          <t>P2</t>
        </is>
      </c>
    </row>
    <row r="17" ht="38" customHeight="1" s="94">
      <c r="A17" s="103" t="inlineStr">
        <is>
          <t>Q13</t>
        </is>
      </c>
      <c r="B17" s="104" t="inlineStr">
        <is>
          <t>Cắm điện</t>
        </is>
      </c>
      <c r="C17" s="105" t="inlineStr">
        <is>
          <t>Nhập GIO_RUT_THUC_TE</t>
        </is>
      </c>
      <c r="D17" s="104" t="inlineStr">
        <is>
          <t>CCKB</t>
        </is>
      </c>
      <c r="E17" s="105" t="inlineStr">
        <is>
          <t>Xem</t>
        </is>
      </c>
      <c r="F17" s="105" t="inlineStr">
        <is>
          <t>Xem</t>
        </is>
      </c>
      <c r="G17" s="105" t="inlineStr">
        <is>
          <t>Thực hiện</t>
        </is>
      </c>
      <c r="H17" s="105" t="inlineStr">
        <is>
          <t>Thực hiện</t>
        </is>
      </c>
      <c r="I17" s="105" t="inlineStr">
        <is>
          <t>Xem</t>
        </is>
      </c>
      <c r="J17" s="105" t="inlineStr">
        <is>
          <t>Xem</t>
        </is>
      </c>
      <c r="K17" s="105" t="inlineStr">
        <is>
          <t>Thực hiện</t>
        </is>
      </c>
      <c r="L17" s="105" t="n"/>
      <c r="M17" s="105" t="inlineStr">
        <is>
          <t>Đã chốt</t>
        </is>
      </c>
      <c r="N17" s="106" t="inlineStr">
        <is>
          <t>Giữ nguyên đề xuất của bạn</t>
        </is>
      </c>
      <c r="O17" s="106" t="inlineStr">
        <is>
          <t>Giữ như bản bạn điền; vẫn phải triển khai RBAC phía server, không chỉ ẩn nút trên giao diện.</t>
        </is>
      </c>
      <c r="P17" s="106" t="inlineStr">
        <is>
          <t>Không đổi giá trị</t>
        </is>
      </c>
      <c r="Q17" s="106" t="inlineStr">
        <is>
          <t>P2</t>
        </is>
      </c>
    </row>
    <row r="18" ht="63" customHeight="1" s="94">
      <c r="A18" s="107" t="inlineStr">
        <is>
          <t>Q14</t>
        </is>
      </c>
      <c r="B18" s="108" t="inlineStr">
        <is>
          <t>Cắm điện</t>
        </is>
      </c>
      <c r="C18" s="109" t="inlineStr">
        <is>
          <t>Sửa giờ cắm/rút trước khi thu</t>
        </is>
      </c>
      <c r="D18" s="108" t="inlineStr">
        <is>
          <t>CCKB</t>
        </is>
      </c>
      <c r="E18" s="109" t="inlineStr">
        <is>
          <t>Xem</t>
        </is>
      </c>
      <c r="F18" s="109" t="inlineStr">
        <is>
          <t>Xem</t>
        </is>
      </c>
      <c r="G18" s="109" t="inlineStr">
        <is>
          <t>Thực hiện</t>
        </is>
      </c>
      <c r="H18" s="109" t="inlineStr">
        <is>
          <t>Thực hiện</t>
        </is>
      </c>
      <c r="I18" s="109" t="inlineStr">
        <is>
          <t>Xem</t>
        </is>
      </c>
      <c r="J18" s="109" t="inlineStr">
        <is>
          <t>Xem</t>
        </is>
      </c>
      <c r="K18" s="109" t="inlineStr">
        <is>
          <t>Thực hiện</t>
        </is>
      </c>
      <c r="L18" s="109" t="n"/>
      <c r="M18" s="109" t="inlineStr">
        <is>
          <t>Giữ quyền, bổ sung điều kiện</t>
        </is>
      </c>
      <c r="N18" s="110" t="inlineStr">
        <is>
          <t>Giữ quyền, bổ sung điều kiện</t>
        </is>
      </c>
      <c r="O18" s="110" t="inlineStr">
        <is>
          <t>CCKB sửa giờ cắm/rút trước thu, hệ thống tính lại từng phiên bằng CEILING(số phút/15)*15; bắt buộc audit khi đã lưu trước đó.</t>
        </is>
      </c>
      <c r="P18" s="110" t="inlineStr">
        <is>
          <t>Không đổi giá trị</t>
        </is>
      </c>
      <c r="Q18" s="110" t="inlineStr">
        <is>
          <t>P1</t>
        </is>
      </c>
    </row>
    <row r="19" ht="63" customHeight="1" s="94">
      <c r="A19" s="103" t="inlineStr">
        <is>
          <t>Q15</t>
        </is>
      </c>
      <c r="B19" s="104" t="inlineStr">
        <is>
          <t>Cắm điện</t>
        </is>
      </c>
      <c r="C19" s="105" t="inlineStr">
        <is>
          <t>Đề nghị sửa giờ sau khi đã thu</t>
        </is>
      </c>
      <c r="D19" s="104" t="inlineStr">
        <is>
          <t>CCKB</t>
        </is>
      </c>
      <c r="E19" s="105" t="inlineStr">
        <is>
          <t>Xem</t>
        </is>
      </c>
      <c r="F19" s="105" t="inlineStr">
        <is>
          <t>Xem</t>
        </is>
      </c>
      <c r="G19" s="111" t="inlineStr">
        <is>
          <t>Đề nghị</t>
        </is>
      </c>
      <c r="H19" s="111" t="inlineStr">
        <is>
          <t>Đề nghị</t>
        </is>
      </c>
      <c r="I19" s="105" t="inlineStr">
        <is>
          <t>Xem</t>
        </is>
      </c>
      <c r="J19" s="105" t="inlineStr">
        <is>
          <t>Xem</t>
        </is>
      </c>
      <c r="K19" s="105" t="inlineStr">
        <is>
          <t>Thực hiện</t>
        </is>
      </c>
      <c r="L19" s="105" t="n"/>
      <c r="M19" s="105" t="inlineStr">
        <is>
          <t>Đề xuất sửa quyền</t>
        </is>
      </c>
      <c r="N19" s="112" t="inlineStr">
        <is>
          <t>Đề xuất sửa quyền</t>
        </is>
      </c>
      <c r="O19" s="110" t="inlineStr">
        <is>
          <t>Nhân viên/TBP CCKB đề nghị điều chỉnh sau thu; Trưởng BP có quyền phê duyệt theo Q16. Không ghi đè trực tiếp khoản đã thanh toán.</t>
        </is>
      </c>
      <c r="P19" s="110" t="inlineStr">
        <is>
          <t>G, H</t>
        </is>
      </c>
      <c r="Q19" s="110" t="inlineStr">
        <is>
          <t>P0</t>
        </is>
      </c>
    </row>
    <row r="20" ht="74" customHeight="1" s="94">
      <c r="A20" s="107" t="inlineStr">
        <is>
          <t>Q16</t>
        </is>
      </c>
      <c r="B20" s="108" t="inlineStr">
        <is>
          <t>Cắm điện</t>
        </is>
      </c>
      <c r="C20" s="109" t="inlineStr">
        <is>
          <t>Phê duyệt chênh lệch sau khi thu</t>
        </is>
      </c>
      <c r="D20" s="111" t="inlineStr">
        <is>
          <t>TBP CCKB / Quản trị</t>
        </is>
      </c>
      <c r="E20" s="109" t="inlineStr">
        <is>
          <t>Xem</t>
        </is>
      </c>
      <c r="F20" s="109" t="inlineStr">
        <is>
          <t>Xem</t>
        </is>
      </c>
      <c r="G20" s="111" t="inlineStr">
        <is>
          <t>Xem</t>
        </is>
      </c>
      <c r="H20" s="111" t="inlineStr">
        <is>
          <t>Phê duyệt</t>
        </is>
      </c>
      <c r="I20" s="109" t="inlineStr">
        <is>
          <t>Xem</t>
        </is>
      </c>
      <c r="J20" s="109" t="inlineStr">
        <is>
          <t>Xem</t>
        </is>
      </c>
      <c r="K20" s="111" t="inlineStr">
        <is>
          <t>Phê duyệt</t>
        </is>
      </c>
      <c r="L20" s="109" t="n"/>
      <c r="M20" s="109" t="inlineStr">
        <is>
          <t>Đề xuất sửa quyền</t>
        </is>
      </c>
      <c r="N20" s="112" t="inlineStr">
        <is>
          <t>Đề xuất sửa quyền</t>
        </is>
      </c>
      <c r="O20" s="110" t="inlineStr">
        <is>
          <t>Chỉ TBP CCKB hoặc Quản trị phê duyệt chênh lệch sau đã thu; người vừa đề nghị KHÔNG tự duyệt. Nếu TBP tự chỉnh thì cần giải trình/audit. Bút toán chênh lệch/hoàn tiền giữ nguyên chứng từ gốc.</t>
        </is>
      </c>
      <c r="P20" s="110" t="inlineStr">
        <is>
          <t>D, G, H, K</t>
        </is>
      </c>
      <c r="Q20" s="110" t="inlineStr">
        <is>
          <t>P0</t>
        </is>
      </c>
    </row>
    <row r="21" ht="38" customHeight="1" s="94">
      <c r="A21" s="103" t="inlineStr">
        <is>
          <t>Q17</t>
        </is>
      </c>
      <c r="B21" s="104" t="inlineStr">
        <is>
          <t>Cắm điện</t>
        </is>
      </c>
      <c r="C21" s="105" t="inlineStr">
        <is>
          <t>Quản lý danh mục giá điện và ngày hiệu lực</t>
        </is>
      </c>
      <c r="D21" s="104" t="inlineStr">
        <is>
          <t>Quản trị</t>
        </is>
      </c>
      <c r="E21" s="105" t="inlineStr">
        <is>
          <t>Xem</t>
        </is>
      </c>
      <c r="F21" s="105" t="inlineStr">
        <is>
          <t>Xem</t>
        </is>
      </c>
      <c r="G21" s="105" t="inlineStr">
        <is>
          <t>Xem</t>
        </is>
      </c>
      <c r="H21" s="105" t="inlineStr">
        <is>
          <t>Xem</t>
        </is>
      </c>
      <c r="I21" s="105" t="inlineStr">
        <is>
          <t>Xem</t>
        </is>
      </c>
      <c r="J21" s="105" t="inlineStr">
        <is>
          <t>Xem</t>
        </is>
      </c>
      <c r="K21" s="105" t="inlineStr">
        <is>
          <t>Thực hiện</t>
        </is>
      </c>
      <c r="L21" s="105" t="n"/>
      <c r="M21" s="105" t="inlineStr">
        <is>
          <t>Đã chốt</t>
        </is>
      </c>
      <c r="N21" s="106" t="inlineStr">
        <is>
          <t>Giữ nguyên đề xuất của bạn</t>
        </is>
      </c>
      <c r="O21" s="106" t="inlineStr">
        <is>
          <t>Giữ như bản bạn điền; vẫn phải triển khai RBAC phía server, không chỉ ẩn nút trên giao diện.</t>
        </is>
      </c>
      <c r="P21" s="106" t="inlineStr">
        <is>
          <t>Không đổi giá trị</t>
        </is>
      </c>
      <c r="Q21" s="106" t="inlineStr">
        <is>
          <t>P2</t>
        </is>
      </c>
    </row>
    <row r="22" ht="63" customHeight="1" s="94">
      <c r="A22" s="107" t="inlineStr">
        <is>
          <t>Q18</t>
        </is>
      </c>
      <c r="B22" s="108" t="inlineStr">
        <is>
          <t>Thanh toán</t>
        </is>
      </c>
      <c r="C22" s="109" t="inlineStr">
        <is>
          <t>Tính/thu phí lưu container</t>
        </is>
      </c>
      <c r="D22" s="108" t="inlineStr">
        <is>
          <t>An ninh</t>
        </is>
      </c>
      <c r="E22" s="109" t="inlineStr">
        <is>
          <t>Thực hiện</t>
        </is>
      </c>
      <c r="F22" s="109" t="inlineStr">
        <is>
          <t>Thực hiện</t>
        </is>
      </c>
      <c r="G22" s="109" t="inlineStr">
        <is>
          <t>Xem</t>
        </is>
      </c>
      <c r="H22" s="109" t="inlineStr">
        <is>
          <t>Xem</t>
        </is>
      </c>
      <c r="I22" s="109" t="inlineStr">
        <is>
          <t>Xem</t>
        </is>
      </c>
      <c r="J22" s="109" t="inlineStr">
        <is>
          <t>Xem</t>
        </is>
      </c>
      <c r="K22" s="109" t="inlineStr">
        <is>
          <t>Thực hiện</t>
        </is>
      </c>
      <c r="L22" s="109" t="n"/>
      <c r="M22" s="109" t="inlineStr">
        <is>
          <t>Giữ quyền, bổ sung điều kiện</t>
        </is>
      </c>
      <c r="N22" s="110" t="inlineStr">
        <is>
          <t>Giữ quyền, bổ sung điều kiện</t>
        </is>
      </c>
      <c r="O22" s="110" t="inlineStr">
        <is>
          <t>An ninh thu PHÍ LƯU CONTAINER đúng lúc GIO_CONT_RA thực tế được xác nhận, không khóa phí trước 22:00. Nếu chưa thu, phải ghi rõ nợ/ngoại lệ và kiểm tra quyền cho ra.</t>
        </is>
      </c>
      <c r="P22" s="110" t="inlineStr">
        <is>
          <t>Không đổi giá trị</t>
        </is>
      </c>
      <c r="Q22" s="110" t="inlineStr">
        <is>
          <t>P0</t>
        </is>
      </c>
    </row>
    <row r="23" ht="38" customHeight="1" s="94">
      <c r="A23" s="103" t="inlineStr">
        <is>
          <t>Q19</t>
        </is>
      </c>
      <c r="B23" s="104" t="inlineStr">
        <is>
          <t>Thanh toán</t>
        </is>
      </c>
      <c r="C23" s="105" t="inlineStr">
        <is>
          <t>Tính/thu phí điện</t>
        </is>
      </c>
      <c r="D23" s="104" t="inlineStr">
        <is>
          <t>CCKB</t>
        </is>
      </c>
      <c r="E23" s="105" t="inlineStr">
        <is>
          <t>Xem</t>
        </is>
      </c>
      <c r="F23" s="105" t="inlineStr">
        <is>
          <t>Xem</t>
        </is>
      </c>
      <c r="G23" s="105" t="inlineStr">
        <is>
          <t>Thực hiện</t>
        </is>
      </c>
      <c r="H23" s="105" t="inlineStr">
        <is>
          <t>Thực hiện</t>
        </is>
      </c>
      <c r="I23" s="105" t="inlineStr">
        <is>
          <t>Xem</t>
        </is>
      </c>
      <c r="J23" s="105" t="inlineStr">
        <is>
          <t>Xem</t>
        </is>
      </c>
      <c r="K23" s="105" t="inlineStr">
        <is>
          <t>Thực hiện</t>
        </is>
      </c>
      <c r="L23" s="105" t="n"/>
      <c r="M23" s="105" t="inlineStr">
        <is>
          <t>Đã chốt</t>
        </is>
      </c>
      <c r="N23" s="106" t="inlineStr">
        <is>
          <t>Giữ nguyên đề xuất của bạn</t>
        </is>
      </c>
      <c r="O23" s="106" t="inlineStr">
        <is>
          <t>Giữ như bản bạn điền; vẫn phải triển khai RBAC phía server, không chỉ ẩn nút trên giao diện.</t>
        </is>
      </c>
      <c r="P23" s="106" t="inlineStr">
        <is>
          <t>Không đổi giá trị</t>
        </is>
      </c>
      <c r="Q23" s="106" t="inlineStr">
        <is>
          <t>P2</t>
        </is>
      </c>
    </row>
    <row r="24" ht="38" customHeight="1" s="94">
      <c r="A24" s="107" t="inlineStr">
        <is>
          <t>Q20</t>
        </is>
      </c>
      <c r="B24" s="108" t="inlineStr">
        <is>
          <t>Thanh toán</t>
        </is>
      </c>
      <c r="C24" s="109" t="inlineStr">
        <is>
          <t>Thu phạt mất vé</t>
        </is>
      </c>
      <c r="D24" s="108" t="inlineStr">
        <is>
          <t>An ninh</t>
        </is>
      </c>
      <c r="E24" s="109" t="inlineStr">
        <is>
          <t>Thực hiện</t>
        </is>
      </c>
      <c r="F24" s="109" t="inlineStr">
        <is>
          <t>Thực hiện</t>
        </is>
      </c>
      <c r="G24" s="109" t="inlineStr">
        <is>
          <t>Xem</t>
        </is>
      </c>
      <c r="H24" s="109" t="inlineStr">
        <is>
          <t>Xem</t>
        </is>
      </c>
      <c r="I24" s="109" t="inlineStr">
        <is>
          <t>Xem</t>
        </is>
      </c>
      <c r="J24" s="109" t="inlineStr">
        <is>
          <t>Xem</t>
        </is>
      </c>
      <c r="K24" s="109" t="inlineStr">
        <is>
          <t>Thực hiện</t>
        </is>
      </c>
      <c r="L24" s="109" t="n"/>
      <c r="M24" s="109" t="inlineStr">
        <is>
          <t>Đã chốt</t>
        </is>
      </c>
      <c r="N24" s="106" t="inlineStr">
        <is>
          <t>Giữ nguyên đề xuất của bạn</t>
        </is>
      </c>
      <c r="O24" s="106" t="inlineStr">
        <is>
          <t>Giữ như bản bạn điền; vẫn phải triển khai RBAC phía server, không chỉ ẩn nút trên giao diện.</t>
        </is>
      </c>
      <c r="P24" s="106" t="inlineStr">
        <is>
          <t>Không đổi giá trị</t>
        </is>
      </c>
      <c r="Q24" s="106" t="inlineStr">
        <is>
          <t>P2</t>
        </is>
      </c>
    </row>
    <row r="25" ht="63" customHeight="1" s="94">
      <c r="A25" s="103" t="inlineStr">
        <is>
          <t>Q21</t>
        </is>
      </c>
      <c r="B25" s="104" t="inlineStr">
        <is>
          <t>Thanh toán</t>
        </is>
      </c>
      <c r="C25" s="105" t="inlineStr">
        <is>
          <t>Đối soát chuyển khoản/chứng từ</t>
        </is>
      </c>
      <c r="D25" s="111" t="inlineStr">
        <is>
          <t>TBP An ninh / TBP CCKB / Quản trị</t>
        </is>
      </c>
      <c r="E25" s="105" t="inlineStr">
        <is>
          <t>Xem</t>
        </is>
      </c>
      <c r="F25" s="111" t="inlineStr">
        <is>
          <t>Thực hiện</t>
        </is>
      </c>
      <c r="G25" s="105" t="inlineStr">
        <is>
          <t>Xem</t>
        </is>
      </c>
      <c r="H25" s="111" t="inlineStr">
        <is>
          <t>Thực hiện</t>
        </is>
      </c>
      <c r="I25" s="111" t="inlineStr">
        <is>
          <t>Không</t>
        </is>
      </c>
      <c r="J25" s="111" t="inlineStr">
        <is>
          <t>Không</t>
        </is>
      </c>
      <c r="K25" s="105" t="inlineStr">
        <is>
          <t>Thực hiện</t>
        </is>
      </c>
      <c r="L25" s="105" t="n"/>
      <c r="M25" s="105" t="inlineStr">
        <is>
          <t>Đề xuất sửa quyền</t>
        </is>
      </c>
      <c r="N25" s="112" t="inlineStr">
        <is>
          <t>Đề xuất sửa quyền</t>
        </is>
      </c>
      <c r="O25" s="110" t="inlineStr">
        <is>
          <t>TBP An ninh đối soát vé/lưu, TBP CCKB đối soát điện trong phạm vi của mình. Nhân viên chỉ xem khoản do mình thu; Quản trị xem toàn bộ. Không coi ảnh CK là xác nhận tiền đã về.</t>
        </is>
      </c>
      <c r="P25" s="110" t="inlineStr">
        <is>
          <t>D, F, H, I, J</t>
        </is>
      </c>
      <c r="Q25" s="110" t="inlineStr">
        <is>
          <t>P1</t>
        </is>
      </c>
    </row>
    <row r="26" ht="63" customHeight="1" s="94">
      <c r="A26" s="107" t="inlineStr">
        <is>
          <t>Q22</t>
        </is>
      </c>
      <c r="B26" s="108" t="inlineStr">
        <is>
          <t>Thanh toán</t>
        </is>
      </c>
      <c r="C26" s="109" t="inlineStr">
        <is>
          <t>Miễn/giảm/điều chỉnh tiền phải thu</t>
        </is>
      </c>
      <c r="D26" s="108" t="inlineStr">
        <is>
          <t>Quản trị</t>
        </is>
      </c>
      <c r="E26" s="109" t="inlineStr">
        <is>
          <t>Xem</t>
        </is>
      </c>
      <c r="F26" s="109" t="inlineStr">
        <is>
          <t>Xem</t>
        </is>
      </c>
      <c r="G26" s="109" t="inlineStr">
        <is>
          <t>Xem</t>
        </is>
      </c>
      <c r="H26" s="109" t="inlineStr">
        <is>
          <t>Xem</t>
        </is>
      </c>
      <c r="I26" s="109" t="inlineStr">
        <is>
          <t>Xem</t>
        </is>
      </c>
      <c r="J26" s="109" t="inlineStr">
        <is>
          <t>Xem</t>
        </is>
      </c>
      <c r="K26" s="109" t="inlineStr">
        <is>
          <t>Thực hiện</t>
        </is>
      </c>
      <c r="L26" s="109" t="n"/>
      <c r="M26" s="109" t="inlineStr">
        <is>
          <t>Giữ quyền, hoãn tính năng</t>
        </is>
      </c>
      <c r="N26" s="110" t="inlineStr">
        <is>
          <t>Giữ quyền, hoãn tính năng</t>
        </is>
      </c>
      <c r="O26" s="110" t="inlineStr">
        <is>
          <t>Chỉ Quản trị được truy cập nếu bật tính năng. Chính sách miễn/giảm toàn phần CHƯA bắt buộc trong V1; không dùng Q22 thay cho chỉnh giờ điện có kiểm soát.</t>
        </is>
      </c>
      <c r="P26" s="110" t="inlineStr">
        <is>
          <t>Không đổi giá trị</t>
        </is>
      </c>
      <c r="Q26" s="110" t="inlineStr">
        <is>
          <t>P1</t>
        </is>
      </c>
    </row>
    <row r="27" ht="63" customHeight="1" s="94">
      <c r="A27" s="103" t="inlineStr">
        <is>
          <t>Q23</t>
        </is>
      </c>
      <c r="B27" s="104" t="inlineStr">
        <is>
          <t>Thanh toán</t>
        </is>
      </c>
      <c r="C27" s="105" t="inlineStr">
        <is>
          <t>Hoàn tiền/hủy giao dịch đã thu</t>
        </is>
      </c>
      <c r="D27" s="104" t="inlineStr">
        <is>
          <t>Quản trị</t>
        </is>
      </c>
      <c r="E27" s="105" t="inlineStr">
        <is>
          <t>Xem</t>
        </is>
      </c>
      <c r="F27" s="105" t="inlineStr">
        <is>
          <t>Xem</t>
        </is>
      </c>
      <c r="G27" s="105" t="inlineStr">
        <is>
          <t>Xem</t>
        </is>
      </c>
      <c r="H27" s="105" t="inlineStr">
        <is>
          <t>Xem</t>
        </is>
      </c>
      <c r="I27" s="105" t="inlineStr">
        <is>
          <t>Xem</t>
        </is>
      </c>
      <c r="J27" s="105" t="inlineStr">
        <is>
          <t>Xem</t>
        </is>
      </c>
      <c r="K27" s="105" t="inlineStr">
        <is>
          <t>Thực hiện</t>
        </is>
      </c>
      <c r="L27" s="105" t="n"/>
      <c r="M27" s="105" t="inlineStr">
        <is>
          <t>Giữ quyền, hoãn tính năng</t>
        </is>
      </c>
      <c r="N27" s="110" t="inlineStr">
        <is>
          <t>Giữ quyền, hoãn tính năng</t>
        </is>
      </c>
      <c r="O27" s="110" t="inlineStr">
        <is>
          <t>Hoàn tiền/hủy giao dịch đã thu là nghiệp vụ tài chính nhạy cảm, đề xuất chưa kích hoạt V1. Khi làm phải tạo chứng từ bù trừ, không xóa/ghi đè giao dịch đã nhận.</t>
        </is>
      </c>
      <c r="P27" s="110" t="inlineStr">
        <is>
          <t>Không đổi giá trị</t>
        </is>
      </c>
      <c r="Q27" s="110" t="inlineStr">
        <is>
          <t>P1</t>
        </is>
      </c>
    </row>
    <row r="28" ht="63" customHeight="1" s="94">
      <c r="A28" s="107" t="inlineStr">
        <is>
          <t>Q24</t>
        </is>
      </c>
      <c r="B28" s="108" t="inlineStr">
        <is>
          <t>Cổng ra</t>
        </is>
      </c>
      <c r="C28" s="109" t="inlineStr">
        <is>
          <t>Xác nhận đủ điều kiện tài chính</t>
        </is>
      </c>
      <c r="D28" s="108" t="inlineStr">
        <is>
          <t>CCKB</t>
        </is>
      </c>
      <c r="E28" s="109" t="inlineStr">
        <is>
          <t>Xem</t>
        </is>
      </c>
      <c r="F28" s="109" t="inlineStr">
        <is>
          <t>Xem</t>
        </is>
      </c>
      <c r="G28" s="109" t="inlineStr">
        <is>
          <t>Thực hiện</t>
        </is>
      </c>
      <c r="H28" s="109" t="inlineStr">
        <is>
          <t>Thực hiện</t>
        </is>
      </c>
      <c r="I28" s="109" t="inlineStr">
        <is>
          <t>Xem</t>
        </is>
      </c>
      <c r="J28" s="109" t="inlineStr">
        <is>
          <t>Xem</t>
        </is>
      </c>
      <c r="K28" s="109" t="inlineStr">
        <is>
          <t>Thực hiện</t>
        </is>
      </c>
      <c r="L28" s="109" t="n"/>
      <c r="M28" s="109" t="inlineStr">
        <is>
          <t>Giữ quyền, bổ sung điều kiện</t>
        </is>
      </c>
      <c r="N28" s="110" t="inlineStr">
        <is>
          <t>Giữ quyền, bổ sung điều kiện</t>
        </is>
      </c>
      <c r="O28" s="110" t="inlineStr">
        <is>
          <t>CCKB kiểm tra và cho xuất hoặc cho ra ngoại lệ có lý do/công nợ. KHÔNG đồng nghĩa đã thu đủ phí lưu tại thời điểm CCKB duyệt; An ninh chốt phí lưu khi ra thực.</t>
        </is>
      </c>
      <c r="P28" s="110" t="inlineStr">
        <is>
          <t>Không đổi giá trị</t>
        </is>
      </c>
      <c r="Q28" s="110" t="inlineStr">
        <is>
          <t>P0</t>
        </is>
      </c>
    </row>
    <row r="29" ht="74" customHeight="1" s="94">
      <c r="A29" s="103" t="inlineStr">
        <is>
          <t>Q25</t>
        </is>
      </c>
      <c r="B29" s="104" t="inlineStr">
        <is>
          <t>Cổng ra</t>
        </is>
      </c>
      <c r="C29" s="105" t="inlineStr">
        <is>
          <t>Xác nhận xe/container thực tế ra</t>
        </is>
      </c>
      <c r="D29" s="104" t="inlineStr">
        <is>
          <t>An ninh</t>
        </is>
      </c>
      <c r="E29" s="105" t="inlineStr">
        <is>
          <t>Thực hiện</t>
        </is>
      </c>
      <c r="F29" s="105" t="inlineStr">
        <is>
          <t>Thực hiện</t>
        </is>
      </c>
      <c r="G29" s="105" t="inlineStr">
        <is>
          <t>Xem</t>
        </is>
      </c>
      <c r="H29" s="105" t="inlineStr">
        <is>
          <t>Xem</t>
        </is>
      </c>
      <c r="I29" s="105" t="inlineStr">
        <is>
          <t>Xem</t>
        </is>
      </c>
      <c r="J29" s="105" t="inlineStr">
        <is>
          <t>Xem</t>
        </is>
      </c>
      <c r="K29" s="105" t="inlineStr">
        <is>
          <t>Thực hiện</t>
        </is>
      </c>
      <c r="L29" s="105" t="n"/>
      <c r="M29" s="105" t="inlineStr">
        <is>
          <t>Giữ quyền, bổ sung điều kiện</t>
        </is>
      </c>
      <c r="N29" s="110" t="inlineStr">
        <is>
          <t>Giữ quyền, bổ sung điều kiện</t>
        </is>
      </c>
      <c r="O29" s="110" t="inlineStr">
        <is>
          <t>An ninh xác nhận xe/container thực tế ra; lấy GIO_CONT_RA của lượt container và tính phí lưu tại cùng giao dịch server; không tự báo ra khi offline. Quản trị dùng quyền thay mặt chỉ trong sự cố có audit.</t>
        </is>
      </c>
      <c r="P29" s="110" t="inlineStr">
        <is>
          <t>Không đổi giá trị</t>
        </is>
      </c>
      <c r="Q29" s="110" t="inlineStr">
        <is>
          <t>P0</t>
        </is>
      </c>
    </row>
    <row r="30" ht="63" customHeight="1" s="94">
      <c r="A30" s="107" t="inlineStr">
        <is>
          <t>Q26</t>
        </is>
      </c>
      <c r="B30" s="108" t="inlineStr">
        <is>
          <t>Cổng ra</t>
        </is>
      </c>
      <c r="C30" s="109" t="inlineStr">
        <is>
          <t>Hủy trạng thái duyệt ra/khóa xuất ngoại lệ</t>
        </is>
      </c>
      <c r="D30" s="111" t="inlineStr">
        <is>
          <t>TBP CCKB / Quản trị</t>
        </is>
      </c>
      <c r="E30" s="109" t="inlineStr">
        <is>
          <t>Xem</t>
        </is>
      </c>
      <c r="F30" s="109" t="inlineStr">
        <is>
          <t>Xem</t>
        </is>
      </c>
      <c r="G30" s="111" t="inlineStr">
        <is>
          <t>Đề nghị</t>
        </is>
      </c>
      <c r="H30" s="109" t="inlineStr">
        <is>
          <t>Thực hiện</t>
        </is>
      </c>
      <c r="I30" s="109" t="inlineStr">
        <is>
          <t>Xem</t>
        </is>
      </c>
      <c r="J30" s="109" t="inlineStr">
        <is>
          <t>Xem</t>
        </is>
      </c>
      <c r="K30" s="109" t="inlineStr">
        <is>
          <t>Thực hiện</t>
        </is>
      </c>
      <c r="L30" s="109" t="n"/>
      <c r="M30" s="109" t="inlineStr">
        <is>
          <t>Đề xuất sửa quyền</t>
        </is>
      </c>
      <c r="N30" s="112" t="inlineStr">
        <is>
          <t>Đề xuất sửa quyền</t>
        </is>
      </c>
      <c r="O30" s="110" t="inlineStr">
        <is>
          <t>Hủy phê duyệt chỉ khi CHƯA xác nhận ra thực tế. Sau khi đã xuất phải dùng quy trình sửa/hồi tố riêng với lịch sử; nhân viên CCKB chỉ đề nghị hủy.</t>
        </is>
      </c>
      <c r="P30" s="110" t="inlineStr">
        <is>
          <t>D, G</t>
        </is>
      </c>
      <c r="Q30" s="110" t="inlineStr">
        <is>
          <t>P1</t>
        </is>
      </c>
    </row>
    <row r="31" ht="38" customHeight="1" s="94">
      <c r="A31" s="103" t="inlineStr">
        <is>
          <t>Q27</t>
        </is>
      </c>
      <c r="B31" s="104" t="inlineStr">
        <is>
          <t>Quản trị</t>
        </is>
      </c>
      <c r="C31" s="105" t="inlineStr">
        <is>
          <t>Tạo/khóa tài khoản và cấp vai trò</t>
        </is>
      </c>
      <c r="D31" s="104" t="inlineStr">
        <is>
          <t>Quản trị</t>
        </is>
      </c>
      <c r="E31" s="105" t="inlineStr">
        <is>
          <t>Không</t>
        </is>
      </c>
      <c r="F31" s="105" t="inlineStr">
        <is>
          <t>Không</t>
        </is>
      </c>
      <c r="G31" s="105" t="inlineStr">
        <is>
          <t>Không</t>
        </is>
      </c>
      <c r="H31" s="105" t="inlineStr">
        <is>
          <t>Không</t>
        </is>
      </c>
      <c r="I31" s="105" t="inlineStr">
        <is>
          <t>Không</t>
        </is>
      </c>
      <c r="J31" s="105" t="inlineStr">
        <is>
          <t>Không</t>
        </is>
      </c>
      <c r="K31" s="105" t="inlineStr">
        <is>
          <t>Thực hiện</t>
        </is>
      </c>
      <c r="L31" s="105" t="n"/>
      <c r="M31" s="105" t="inlineStr">
        <is>
          <t>Đã chốt</t>
        </is>
      </c>
      <c r="N31" s="106" t="inlineStr">
        <is>
          <t>Giữ nguyên đề xuất của bạn</t>
        </is>
      </c>
      <c r="O31" s="106" t="inlineStr">
        <is>
          <t>Giữ như bản bạn điền; vẫn phải triển khai RBAC phía server, không chỉ ẩn nút trên giao diện.</t>
        </is>
      </c>
      <c r="P31" s="106" t="inlineStr">
        <is>
          <t>Không đổi giá trị</t>
        </is>
      </c>
      <c r="Q31" s="106" t="inlineStr">
        <is>
          <t>P2</t>
        </is>
      </c>
    </row>
    <row r="32" ht="63" customHeight="1" s="94">
      <c r="A32" s="107" t="inlineStr">
        <is>
          <t>Q28</t>
        </is>
      </c>
      <c r="B32" s="108" t="inlineStr">
        <is>
          <t>Quản trị</t>
        </is>
      </c>
      <c r="C32" s="109" t="inlineStr">
        <is>
          <t>Xem nhật ký chỉnh sửa/audit</t>
        </is>
      </c>
      <c r="D32" s="111" t="inlineStr">
        <is>
          <t>Quản trị (toàn bộ) / TBP (phạm vi BP)</t>
        </is>
      </c>
      <c r="E32" s="109" t="inlineStr">
        <is>
          <t>Không</t>
        </is>
      </c>
      <c r="F32" s="111" t="inlineStr">
        <is>
          <t>Xem</t>
        </is>
      </c>
      <c r="G32" s="109" t="inlineStr">
        <is>
          <t>Không</t>
        </is>
      </c>
      <c r="H32" s="111" t="inlineStr">
        <is>
          <t>Xem</t>
        </is>
      </c>
      <c r="I32" s="109" t="inlineStr">
        <is>
          <t>Không</t>
        </is>
      </c>
      <c r="J32" s="111" t="inlineStr">
        <is>
          <t>Xem</t>
        </is>
      </c>
      <c r="K32" s="109" t="inlineStr">
        <is>
          <t>Thực hiện</t>
        </is>
      </c>
      <c r="L32" s="109" t="n"/>
      <c r="M32" s="109" t="inlineStr">
        <is>
          <t>Đề xuất sửa quyền</t>
        </is>
      </c>
      <c r="N32" s="112" t="inlineStr">
        <is>
          <t>Đề xuất sửa quyền</t>
        </is>
      </c>
      <c r="O32" s="110" t="inlineStr">
        <is>
          <t>TBP xem audit thuộc bộ phận mình để xử lý sai sót; Quản trị thấy toàn bộ. Không cho TBP sửa/xóa audit.</t>
        </is>
      </c>
      <c r="P32" s="110" t="inlineStr">
        <is>
          <t>D, F, H, J</t>
        </is>
      </c>
      <c r="Q32" s="110" t="inlineStr">
        <is>
          <t>P1</t>
        </is>
      </c>
    </row>
    <row r="33" ht="63" customHeight="1" s="94">
      <c r="A33" s="103" t="inlineStr">
        <is>
          <t>Q29</t>
        </is>
      </c>
      <c r="B33" s="104" t="inlineStr">
        <is>
          <t>Báo cáo</t>
        </is>
      </c>
      <c r="C33" s="105" t="inlineStr">
        <is>
          <t>Xem doanh thu theo ca/bộ phận/người thu</t>
        </is>
      </c>
      <c r="D33" s="111" t="inlineStr">
        <is>
          <t>Quản trị / An ninh / CCKB theo phạm vi</t>
        </is>
      </c>
      <c r="E33" s="111" t="inlineStr">
        <is>
          <t>Xem</t>
        </is>
      </c>
      <c r="F33" s="111" t="inlineStr">
        <is>
          <t>Xem</t>
        </is>
      </c>
      <c r="G33" s="111" t="inlineStr">
        <is>
          <t>Xem</t>
        </is>
      </c>
      <c r="H33" s="111" t="inlineStr">
        <is>
          <t>Xem</t>
        </is>
      </c>
      <c r="I33" s="105" t="inlineStr">
        <is>
          <t>Không</t>
        </is>
      </c>
      <c r="J33" s="105" t="inlineStr">
        <is>
          <t>Không</t>
        </is>
      </c>
      <c r="K33" s="105" t="inlineStr">
        <is>
          <t>Thực hiện</t>
        </is>
      </c>
      <c r="L33" s="105" t="n"/>
      <c r="M33" s="105" t="inlineStr">
        <is>
          <t>Đề xuất sửa quyền</t>
        </is>
      </c>
      <c r="N33" s="112" t="inlineStr">
        <is>
          <t>Đề xuất sửa quyền</t>
        </is>
      </c>
      <c r="O33" s="110" t="inlineStr">
        <is>
          <t>NV xem khoản mình trực tiếp thu; TBP xem doanh thu bộ phận. NV/TBP Điều phối không cần xem doanh thu nếu không được cấp thêm.</t>
        </is>
      </c>
      <c r="P33" s="110" t="inlineStr">
        <is>
          <t>D, E, F, G, H</t>
        </is>
      </c>
      <c r="Q33" s="110" t="inlineStr">
        <is>
          <t>P1</t>
        </is>
      </c>
    </row>
    <row r="34" ht="63" customHeight="1" s="94">
      <c r="A34" s="107" t="inlineStr">
        <is>
          <t>Q30</t>
        </is>
      </c>
      <c r="B34" s="108" t="inlineStr">
        <is>
          <t>Báo cáo</t>
        </is>
      </c>
      <c r="C34" s="109" t="inlineStr">
        <is>
          <t>Xuất Excel/báo cáo phục vụ kiểm toán</t>
        </is>
      </c>
      <c r="D34" s="111" t="inlineStr">
        <is>
          <t>Quản trị (toàn bộ) / TBP (bộ phận)</t>
        </is>
      </c>
      <c r="E34" s="109" t="inlineStr">
        <is>
          <t>Không</t>
        </is>
      </c>
      <c r="F34" s="111" t="inlineStr">
        <is>
          <t>Thực hiện</t>
        </is>
      </c>
      <c r="G34" s="109" t="inlineStr">
        <is>
          <t>Không</t>
        </is>
      </c>
      <c r="H34" s="111" t="inlineStr">
        <is>
          <t>Thực hiện</t>
        </is>
      </c>
      <c r="I34" s="109" t="inlineStr">
        <is>
          <t>Không</t>
        </is>
      </c>
      <c r="J34" s="109" t="inlineStr">
        <is>
          <t>Không</t>
        </is>
      </c>
      <c r="K34" s="109" t="inlineStr">
        <is>
          <t>Thực hiện</t>
        </is>
      </c>
      <c r="L34" s="109" t="n"/>
      <c r="M34" s="109" t="inlineStr">
        <is>
          <t>Đề xuất sửa quyền</t>
        </is>
      </c>
      <c r="N34" s="112" t="inlineStr">
        <is>
          <t>Đề xuất sửa quyền</t>
        </is>
      </c>
      <c r="O34" s="110" t="inlineStr">
        <is>
          <t>Cho TBP An ninh/CCKB xuất báo cáo thuộc BP để bàn giao đối soát. Báo cáo kiểm toán toàn bộ dữ liệu chỉ Quản trị.</t>
        </is>
      </c>
      <c r="P34" s="110" t="inlineStr">
        <is>
          <t>D, F, H</t>
        </is>
      </c>
      <c r="Q34" s="110" t="inlineStr">
        <is>
          <t>P2</t>
        </is>
      </c>
    </row>
    <row r="35" ht="63" customHeight="1" s="94">
      <c r="A35" s="103" t="inlineStr">
        <is>
          <t>Q31</t>
        </is>
      </c>
      <c r="B35" s="104" t="inlineStr">
        <is>
          <t>Cắm điện dự kiến</t>
        </is>
      </c>
      <c r="C35" s="105" t="inlineStr">
        <is>
          <t>Tạo yêu cầu cắm điện cho cont chưa vào (một hoặc nhiều số)</t>
        </is>
      </c>
      <c r="D35" s="104" t="inlineStr">
        <is>
          <t>CCKB</t>
        </is>
      </c>
      <c r="E35" s="111" t="inlineStr">
        <is>
          <t>Xem</t>
        </is>
      </c>
      <c r="F35" s="111" t="inlineStr">
        <is>
          <t>Xem</t>
        </is>
      </c>
      <c r="G35" s="111" t="inlineStr">
        <is>
          <t>Thực hiện</t>
        </is>
      </c>
      <c r="H35" s="111" t="inlineStr">
        <is>
          <t>Thực hiện</t>
        </is>
      </c>
      <c r="I35" s="111" t="inlineStr">
        <is>
          <t>Xem</t>
        </is>
      </c>
      <c r="J35" s="111" t="inlineStr">
        <is>
          <t>Xem</t>
        </is>
      </c>
      <c r="K35" s="105" t="inlineStr">
        <is>
          <t>Thực hiện</t>
        </is>
      </c>
      <c r="L35" s="105" t="inlineStr">
        <is>
          <t>Đề xuất NV/TBP CCKB thực hiện; chưa chốt chi tiết vai trò.</t>
        </is>
      </c>
      <c r="M35" s="105" t="inlineStr">
        <is>
          <t>Đề xuất sửa quyền</t>
        </is>
      </c>
      <c r="N35" s="112" t="inlineStr">
        <is>
          <t>Đề xuất sửa quyền</t>
        </is>
      </c>
      <c r="O35" s="110" t="inlineStr">
        <is>
          <t>CCKB nhập yêu cầu cho từng cont trước khi cont đến; An ninh phải nhìn thấy yêu cầu chờ để nhận diện lúc vào. Chưa có cont visit thì không tính phí lưu.</t>
        </is>
      </c>
      <c r="P35" s="110" t="inlineStr">
        <is>
          <t>E, F, G, H, I, J</t>
        </is>
      </c>
      <c r="Q35" s="110" t="inlineStr">
        <is>
          <t>P0</t>
        </is>
      </c>
    </row>
    <row r="36" ht="63" customHeight="1" s="94">
      <c r="A36" s="107" t="inlineStr">
        <is>
          <t>Q32</t>
        </is>
      </c>
      <c r="B36" s="108" t="inlineStr">
        <is>
          <t>Cắm điện dự kiến</t>
        </is>
      </c>
      <c r="C36" s="109" t="inlineStr">
        <is>
          <t>Sửa hoặc hủy yêu cầu điện dự kiến khi khách đổi số cont</t>
        </is>
      </c>
      <c r="D36" s="108" t="inlineStr">
        <is>
          <t>CCKB</t>
        </is>
      </c>
      <c r="E36" s="111" t="inlineStr">
        <is>
          <t>Xem</t>
        </is>
      </c>
      <c r="F36" s="111" t="inlineStr">
        <is>
          <t>Xem</t>
        </is>
      </c>
      <c r="G36" s="111" t="inlineStr">
        <is>
          <t>Thực hiện</t>
        </is>
      </c>
      <c r="H36" s="111" t="inlineStr">
        <is>
          <t>Thực hiện</t>
        </is>
      </c>
      <c r="I36" s="111" t="inlineStr">
        <is>
          <t>Xem</t>
        </is>
      </c>
      <c r="J36" s="111" t="inlineStr">
        <is>
          <t>Xem</t>
        </is>
      </c>
      <c r="K36" s="109" t="inlineStr">
        <is>
          <t>Thực hiện</t>
        </is>
      </c>
      <c r="L36" s="109" t="inlineStr">
        <is>
          <t>Cần chốt quyền, lưu lịch sử và thông báo An ninh.</t>
        </is>
      </c>
      <c r="M36" s="109" t="inlineStr">
        <is>
          <t>Đề xuất sửa quyền</t>
        </is>
      </c>
      <c r="N36" s="112" t="inlineStr">
        <is>
          <t>Đề xuất sửa quyền</t>
        </is>
      </c>
      <c r="O36" s="110" t="inlineStr">
        <is>
          <t>CCKB sửa/hủy yêu cầu dự kiến khi KH báo nhầm; phải lưu lịch sử và gửi thông báo lại An ninh. Không xóa mất bằng chứng đã nhận từ khách.</t>
        </is>
      </c>
      <c r="P36" s="110" t="inlineStr">
        <is>
          <t>E, F, G, H, I, J</t>
        </is>
      </c>
      <c r="Q36" s="110" t="inlineStr">
        <is>
          <t>P0</t>
        </is>
      </c>
    </row>
    <row r="37" ht="63" customHeight="1" s="94">
      <c r="A37" s="103" t="inlineStr">
        <is>
          <t>Q33</t>
        </is>
      </c>
      <c r="B37" s="104" t="inlineStr">
        <is>
          <t>Cổng vào</t>
        </is>
      </c>
      <c r="C37" s="105" t="inlineStr">
        <is>
          <t>Xem cảnh báo danh sách cont có yêu cầu cắm điện dự kiến</t>
        </is>
      </c>
      <c r="D37" s="104" t="inlineStr">
        <is>
          <t>An ninh</t>
        </is>
      </c>
      <c r="E37" s="111" t="inlineStr">
        <is>
          <t>Xem</t>
        </is>
      </c>
      <c r="F37" s="111" t="inlineStr">
        <is>
          <t>Xem</t>
        </is>
      </c>
      <c r="G37" s="111" t="inlineStr">
        <is>
          <t>Xem</t>
        </is>
      </c>
      <c r="H37" s="111" t="inlineStr">
        <is>
          <t>Xem</t>
        </is>
      </c>
      <c r="I37" s="111" t="inlineStr">
        <is>
          <t>Không</t>
        </is>
      </c>
      <c r="J37" s="111" t="inlineStr">
        <is>
          <t>Không</t>
        </is>
      </c>
      <c r="K37" s="105" t="inlineStr">
        <is>
          <t>Thực hiện</t>
        </is>
      </c>
      <c r="L37" s="105" t="inlineStr">
        <is>
          <t>Đã chốt An ninh cần nhìn thấy khi nhập container.</t>
        </is>
      </c>
      <c r="M37" s="105" t="inlineStr">
        <is>
          <t>Đề xuất sửa quyền</t>
        </is>
      </c>
      <c r="N37" s="112" t="inlineStr">
        <is>
          <t>Đề xuất sửa quyền</t>
        </is>
      </c>
      <c r="O37" s="110" t="inlineStr">
        <is>
          <t>An ninh phải THẤY cảnh báo cont có yêu cầu cắm điện dự kiến khi nhập tại cổng. Không chờ Quản trị mới xem được.</t>
        </is>
      </c>
      <c r="P37" s="110" t="inlineStr">
        <is>
          <t>E, F, G, H, I, J</t>
        </is>
      </c>
      <c r="Q37" s="110" t="inlineStr">
        <is>
          <t>P0</t>
        </is>
      </c>
    </row>
    <row r="38" ht="63" customHeight="1" s="94">
      <c r="A38" s="107" t="inlineStr">
        <is>
          <t>Q34</t>
        </is>
      </c>
      <c r="B38" s="108" t="inlineStr">
        <is>
          <t>Cổng vào</t>
        </is>
      </c>
      <c r="C38" s="109" t="inlineStr">
        <is>
          <t>Xác nhận ghép số cont dự kiến với lượt cont vào thực tế</t>
        </is>
      </c>
      <c r="D38" s="108" t="inlineStr">
        <is>
          <t>An ninh + CCKB</t>
        </is>
      </c>
      <c r="E38" s="111" t="inlineStr">
        <is>
          <t>Thực hiện</t>
        </is>
      </c>
      <c r="F38" s="111" t="inlineStr">
        <is>
          <t>Thực hiện</t>
        </is>
      </c>
      <c r="G38" s="111" t="inlineStr">
        <is>
          <t>Thực hiện</t>
        </is>
      </c>
      <c r="H38" s="111" t="inlineStr">
        <is>
          <t>Thực hiện</t>
        </is>
      </c>
      <c r="I38" s="111" t="inlineStr">
        <is>
          <t>Xem</t>
        </is>
      </c>
      <c r="J38" s="111" t="inlineStr">
        <is>
          <t>Xem</t>
        </is>
      </c>
      <c r="K38" s="109" t="inlineStr">
        <is>
          <t>Thực hiện</t>
        </is>
      </c>
      <c r="L38" s="109" t="inlineStr">
        <is>
          <t>Quy tắc ghép tự động/thủ công chưa chốt.</t>
        </is>
      </c>
      <c r="M38" s="109" t="inlineStr">
        <is>
          <t>Đề xuất sửa quyền</t>
        </is>
      </c>
      <c r="N38" s="112" t="inlineStr">
        <is>
          <t>Đề xuất sửa quyền</t>
        </is>
      </c>
      <c r="O38" s="110" t="inlineStr">
        <is>
          <t>An ninh đối chiếu cont thực vào với danh sách dự kiến và xác nhận ghép; CCKB kiểm tra/chỉnh phiếu theo kết quả. Gợi ý 7 số cuối/gần giống chỉ hỗ trợ, KHÔNG tự ghép.</t>
        </is>
      </c>
      <c r="P38" s="110" t="inlineStr">
        <is>
          <t>E, F, G, H, I, J</t>
        </is>
      </c>
      <c r="Q38" s="110" t="inlineStr">
        <is>
          <t>P0</t>
        </is>
      </c>
    </row>
    <row r="39" ht="63" customHeight="1" s="94">
      <c r="A39" s="103" t="inlineStr">
        <is>
          <t>Q35</t>
        </is>
      </c>
      <c r="B39" s="104" t="inlineStr">
        <is>
          <t>Container</t>
        </is>
      </c>
      <c r="C39" s="105" t="inlineStr">
        <is>
          <t>Sửa số cont đã nhập sai và ghi nhận đã báo CCKB</t>
        </is>
      </c>
      <c r="D39" s="104" t="inlineStr">
        <is>
          <t>An ninh</t>
        </is>
      </c>
      <c r="E39" s="111" t="inlineStr">
        <is>
          <t>Thực hiện</t>
        </is>
      </c>
      <c r="F39" s="111" t="inlineStr">
        <is>
          <t>Thực hiện</t>
        </is>
      </c>
      <c r="G39" s="111" t="inlineStr">
        <is>
          <t>Xem</t>
        </is>
      </c>
      <c r="H39" s="111" t="inlineStr">
        <is>
          <t>Xem</t>
        </is>
      </c>
      <c r="I39" s="111" t="inlineStr">
        <is>
          <t>Xem</t>
        </is>
      </c>
      <c r="J39" s="111" t="inlineStr">
        <is>
          <t>Xem</t>
        </is>
      </c>
      <c r="K39" s="105" t="inlineStr">
        <is>
          <t>Thực hiện</t>
        </is>
      </c>
      <c r="L39" s="105" t="inlineStr">
        <is>
          <t>Đã chốt bộ phận; cần quy định khi đã thu tiền.</t>
        </is>
      </c>
      <c r="M39" s="105" t="inlineStr">
        <is>
          <t>Đề xuất sửa quyền</t>
        </is>
      </c>
      <c r="N39" s="112" t="inlineStr">
        <is>
          <t>Đề xuất sửa quyền</t>
        </is>
      </c>
      <c r="O39" s="110" t="inlineStr">
        <is>
          <t>Tương đồng Q06: giữ AN được sửa đúng cont tại hiện trường và bấm Đã báo CCKB; số cũ, số mới, ảnh/video nếu có, lý do và audit bắt buộc. Nên gộp chức năng với Q06 trong UI.</t>
        </is>
      </c>
      <c r="P39" s="110" t="inlineStr">
        <is>
          <t>E, F, G, H, I, J</t>
        </is>
      </c>
      <c r="Q39" s="110" t="inlineStr">
        <is>
          <t>P0</t>
        </is>
      </c>
    </row>
    <row r="40" ht="63" customHeight="1" s="94">
      <c r="A40" s="107" t="inlineStr">
        <is>
          <t>Q36</t>
        </is>
      </c>
      <c r="B40" s="108" t="inlineStr">
        <is>
          <t>Container</t>
        </is>
      </c>
      <c r="C40" s="109" t="inlineStr">
        <is>
          <t>Tiếp nhận cảnh báo sửa số cont, kiểm tra và cập nhật yêu cầu dự kiến</t>
        </is>
      </c>
      <c r="D40" s="108" t="inlineStr">
        <is>
          <t>CCKB</t>
        </is>
      </c>
      <c r="E40" s="111" t="inlineStr">
        <is>
          <t>Xem</t>
        </is>
      </c>
      <c r="F40" s="111" t="inlineStr">
        <is>
          <t>Xem</t>
        </is>
      </c>
      <c r="G40" s="111" t="inlineStr">
        <is>
          <t>Thực hiện</t>
        </is>
      </c>
      <c r="H40" s="111" t="inlineStr">
        <is>
          <t>Thực hiện</t>
        </is>
      </c>
      <c r="I40" s="111" t="inlineStr">
        <is>
          <t>Xem</t>
        </is>
      </c>
      <c r="J40" s="111" t="inlineStr">
        <is>
          <t>Xem</t>
        </is>
      </c>
      <c r="K40" s="109" t="inlineStr">
        <is>
          <t>Thực hiện</t>
        </is>
      </c>
      <c r="L40" s="109" t="inlineStr">
        <is>
          <t>Quy trình xác nhận và phương thức báo lại cần chốt.</t>
        </is>
      </c>
      <c r="M40" s="109" t="inlineStr">
        <is>
          <t>Đề xuất sửa quyền</t>
        </is>
      </c>
      <c r="N40" s="112" t="inlineStr">
        <is>
          <t>Đề xuất sửa quyền</t>
        </is>
      </c>
      <c r="O40" s="110" t="inlineStr">
        <is>
          <t>CCKB tiếp nhận cảnh báo AN sửa số cont và được cập nhật phiếu dự kiến; lưu trạng thái đã xem/đã xử lý. Không tạo thêm phiên mới ngoài ý muốn.</t>
        </is>
      </c>
      <c r="P40" s="110" t="inlineStr">
        <is>
          <t>E, F, G, H, I, J</t>
        </is>
      </c>
      <c r="Q40" s="110" t="inlineStr">
        <is>
          <t>P0</t>
        </is>
      </c>
    </row>
    <row r="41" ht="63" customHeight="1" s="94">
      <c r="A41" s="103" t="inlineStr">
        <is>
          <t>Q37</t>
        </is>
      </c>
      <c r="B41" s="104" t="inlineStr">
        <is>
          <t>Chứng cứ</t>
        </is>
      </c>
      <c r="C41" s="105" t="inlineStr">
        <is>
          <t>Đính kèm ảnh/video nhận diện sai số container</t>
        </is>
      </c>
      <c r="D41" s="104" t="inlineStr">
        <is>
          <t>An ninh / CCKB</t>
        </is>
      </c>
      <c r="E41" s="111" t="inlineStr">
        <is>
          <t>Thực hiện</t>
        </is>
      </c>
      <c r="F41" s="111" t="inlineStr">
        <is>
          <t>Thực hiện</t>
        </is>
      </c>
      <c r="G41" s="111" t="inlineStr">
        <is>
          <t>Thực hiện</t>
        </is>
      </c>
      <c r="H41" s="111" t="inlineStr">
        <is>
          <t>Thực hiện</t>
        </is>
      </c>
      <c r="I41" s="111" t="inlineStr">
        <is>
          <t>Xem</t>
        </is>
      </c>
      <c r="J41" s="111" t="inlineStr">
        <is>
          <t>Xem</t>
        </is>
      </c>
      <c r="K41" s="105" t="inlineStr">
        <is>
          <t>Thực hiện</t>
        </is>
      </c>
      <c r="L41" s="105" t="inlineStr">
        <is>
          <t>Cần chốt bắt buộc hay không, kích thước và lưu trữ.</t>
        </is>
      </c>
      <c r="M41" s="105" t="inlineStr">
        <is>
          <t>Đề xuất sửa quyền</t>
        </is>
      </c>
      <c r="N41" s="112" t="inlineStr">
        <is>
          <t>Đề xuất sửa quyền</t>
        </is>
      </c>
      <c r="O41" s="110" t="inlineStr">
        <is>
          <t>AN hoặc CCKB được đính kèm ảnh/video đối chiếu. Khuyến khích ảnh/video; khi không có phải có lý do, không chặn thao tác nếu nguồn thực tế không cho chụp.</t>
        </is>
      </c>
      <c r="P41" s="110" t="inlineStr">
        <is>
          <t>E, F, G, H, I, J</t>
        </is>
      </c>
      <c r="Q41" s="110" t="inlineStr">
        <is>
          <t>P0</t>
        </is>
      </c>
    </row>
    <row r="42" ht="74" customHeight="1" s="94">
      <c r="A42" s="107" t="inlineStr">
        <is>
          <t>Q38</t>
        </is>
      </c>
      <c r="B42" s="108" t="inlineStr">
        <is>
          <t>Ngoại lệ</t>
        </is>
      </c>
      <c r="C42" s="111" t="inlineStr">
        <is>
          <t>Đối soát chênh lệch tiền sau khi sửa số container đã thu/đã ra</t>
        </is>
      </c>
      <c r="D42" s="111" t="inlineStr">
        <is>
          <t>TBP CCKB / Quản trị</t>
        </is>
      </c>
      <c r="E42" s="111" t="inlineStr">
        <is>
          <t>Xem</t>
        </is>
      </c>
      <c r="F42" s="111" t="inlineStr">
        <is>
          <t>Xem</t>
        </is>
      </c>
      <c r="G42" s="111" t="inlineStr">
        <is>
          <t>Đề nghị</t>
        </is>
      </c>
      <c r="H42" s="111" t="inlineStr">
        <is>
          <t>Phê duyệt</t>
        </is>
      </c>
      <c r="I42" s="111" t="inlineStr">
        <is>
          <t>Xem</t>
        </is>
      </c>
      <c r="J42" s="111" t="inlineStr">
        <is>
          <t>Xem</t>
        </is>
      </c>
      <c r="K42" s="111" t="inlineStr">
        <is>
          <t>Phê duyệt</t>
        </is>
      </c>
      <c r="L42" s="109" t="inlineStr">
        <is>
          <t>Không được tự động đổi lịch sử khoản thu đã chốt.</t>
        </is>
      </c>
      <c r="M42" s="109" t="inlineStr">
        <is>
          <t>Đề xuất tách nghiệp vụ</t>
        </is>
      </c>
      <c r="N42" s="112" t="inlineStr">
        <is>
          <t>Đề xuất tách nghiệp vụ</t>
        </is>
      </c>
      <c r="O42" s="110" t="inlineStr">
        <is>
          <t>SỬA MÃ CONTAINER luôn theo Q06/Q35 (AN được sửa có nhật ký). Q38 chỉ dùng khi phải ĐIỀU CHỈNH TIỀN đã thu do sửa số; cần TBP CCKB/Quản trị duyệt giao dịch điều chỉnh, không thay khoản đã thu gốc.</t>
        </is>
      </c>
      <c r="P42" s="110" t="inlineStr">
        <is>
          <t>C, D, E, F, G, H, I, J, K</t>
        </is>
      </c>
      <c r="Q42" s="110" t="inlineStr">
        <is>
          <t>P0</t>
        </is>
      </c>
    </row>
    <row r="43" ht="63" customHeight="1" s="94">
      <c r="A43" s="103" t="inlineStr">
        <is>
          <t>Q39</t>
        </is>
      </c>
      <c r="B43" s="104" t="inlineStr">
        <is>
          <t>Đối soát</t>
        </is>
      </c>
      <c r="C43" s="105" t="inlineStr">
        <is>
          <t>Xem và xác nhận đã xử lý cảnh báo sai số cont/không ghép được yêu cầu dự kiến</t>
        </is>
      </c>
      <c r="D43" s="104" t="inlineStr">
        <is>
          <t>CCKB + An ninh</t>
        </is>
      </c>
      <c r="E43" s="111" t="inlineStr">
        <is>
          <t>Thực hiện</t>
        </is>
      </c>
      <c r="F43" s="111" t="inlineStr">
        <is>
          <t>Thực hiện</t>
        </is>
      </c>
      <c r="G43" s="111" t="inlineStr">
        <is>
          <t>Thực hiện</t>
        </is>
      </c>
      <c r="H43" s="111" t="inlineStr">
        <is>
          <t>Thực hiện</t>
        </is>
      </c>
      <c r="I43" s="111" t="inlineStr">
        <is>
          <t>Xem</t>
        </is>
      </c>
      <c r="J43" s="111" t="inlineStr">
        <is>
          <t>Xem</t>
        </is>
      </c>
      <c r="K43" s="105" t="inlineStr">
        <is>
          <t>Thực hiện</t>
        </is>
      </c>
      <c r="L43" s="105" t="inlineStr">
        <is>
          <t>Cần trạng thái giao việc và phản hồi đóng thông báo.</t>
        </is>
      </c>
      <c r="M43" s="105" t="inlineStr">
        <is>
          <t>Đề xuất sửa quyền</t>
        </is>
      </c>
      <c r="N43" s="112" t="inlineStr">
        <is>
          <t>Đề xuất sửa quyền</t>
        </is>
      </c>
      <c r="O43" s="110" t="inlineStr">
        <is>
          <t>An ninh ghi đã báo/chụp hiện trường; CCKB đánh dấu đã kiểm tra/đối soát và đóng cảnh báo; trạng thái riêng từng BP, ai hoàn tất thao tác của mình.</t>
        </is>
      </c>
      <c r="P43" s="110" t="inlineStr">
        <is>
          <t>E, F, G, H, I, J</t>
        </is>
      </c>
      <c r="Q43" s="110" t="inlineStr">
        <is>
          <t>P0</t>
        </is>
      </c>
    </row>
  </sheetData>
  <autoFilter ref="A4:Q43"/>
  <mergeCells count="3">
    <mergeCell ref="A3:Q3"/>
    <mergeCell ref="A2:Q2"/>
    <mergeCell ref="A1:Q1"/>
  </mergeCells>
  <dataValidations count="1">
    <dataValidation sqref="E5:K43" showDropDown="0" showInputMessage="0" showErrorMessage="1" allowBlank="1" errorTitle="Quyền không hợp lệ" error="Chọn một trong năm quyền đã định nghĩa." type="list">
      <formula1>"Thực hiện,Xem,Không,Đề nghị,Phê duyệt"</formula1>
    </dataValidation>
  </dataValidations>
  <printOptions horizontalCentered="1"/>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H1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7" customWidth="1" style="94" min="1" max="1"/>
    <col width="21" customWidth="1" style="94" min="2" max="2"/>
    <col width="10" customWidth="1" style="94" min="3" max="3"/>
    <col width="56" customWidth="1" style="94" min="4" max="4"/>
    <col width="51" customWidth="1" style="94" min="5" max="5"/>
    <col width="83" customWidth="1" style="94" min="6" max="6"/>
    <col width="21" customWidth="1" style="94" min="7" max="7"/>
    <col width="24" customWidth="1" style="94" min="8" max="8"/>
  </cols>
  <sheetData>
    <row r="1" ht="38" customHeight="1" s="94">
      <c r="A1" s="98" t="inlineStr">
        <is>
          <t>KẾT LUẬN THẨM ĐỊNH — BẢN PHÂN QUYỀN BẠN ĐÃ ĐIỀN</t>
        </is>
      </c>
    </row>
    <row r="2" ht="30" customHeight="1" s="94">
      <c r="A2" s="100" t="inlineStr">
        <is>
          <t>ĐÁNH GIÁ: Cơ cấu 3 bộ phận đúng; cần sửa những quyền đang nhầm người, những thao tác admin-only và quyền tài chính nhạy cảm trước khi dùng làm mã nguồn.</t>
        </is>
      </c>
    </row>
    <row r="3" ht="30" customHeight="1" s="94">
      <c r="A3" s="100" t="inlineStr">
        <is>
          <t>Bản gốc ở 04_PHAN_QUYEN; quyền sửa đề xuất ở 17_DE_XUAT_PHAN_QUYEN. Chưa tự ý xác nhận thay người dùng.</t>
        </is>
      </c>
    </row>
    <row r="5" ht="30" customHeight="1" s="94">
      <c r="A5" s="113" t="inlineStr">
        <is>
          <t>STT</t>
        </is>
      </c>
      <c r="B5" s="113" t="inlineStr">
        <is>
          <t>Mã liên quan</t>
        </is>
      </c>
      <c r="C5" s="113" t="inlineStr">
        <is>
          <t>Mức</t>
        </is>
      </c>
      <c r="D5" s="113" t="inlineStr">
        <is>
          <t>Nhận xét kiểm tra</t>
        </is>
      </c>
      <c r="E5" s="113" t="inlineStr">
        <is>
          <t>Rủi ro nếu giữ nguyên</t>
        </is>
      </c>
      <c r="F5" s="113" t="inlineStr">
        <is>
          <t>Hướng xử lý khuyến nghị</t>
        </is>
      </c>
      <c r="G5" s="113" t="inlineStr">
        <is>
          <t>Loại quyết định</t>
        </is>
      </c>
      <c r="H5" s="113" t="inlineStr">
        <is>
          <t>Trạng thái rà soát</t>
        </is>
      </c>
    </row>
    <row r="6" ht="83" customHeight="1" s="94">
      <c r="A6" s="114" t="n">
        <v>1</v>
      </c>
      <c r="B6" s="115" t="inlineStr">
        <is>
          <t>Q31–Q39</t>
        </is>
      </c>
      <c r="C6" s="115" t="inlineStr">
        <is>
          <t>P0</t>
        </is>
      </c>
      <c r="D6" s="114" t="inlineStr">
        <is>
          <t>9 chức năng mới chỉ có Quản trị được thao tác; NV/TBP An ninh và CCKB để trống.</t>
        </is>
      </c>
      <c r="E6" s="114" t="inlineStr">
        <is>
          <t>Nghiệp vụ điện dự kiến và báo sai số cont không hoạt động đúng thực tế.</t>
        </is>
      </c>
      <c r="F6" s="114" t="inlineStr">
        <is>
          <t>Giao quyền tạo/sửa phiếu dự kiến cho CCKB; AN xem cảnh báo, xác nhận ghép và sửa số cont; CCKB tiếp nhận cảnh báo; AN/CCKB đính kèm bằng chứng.</t>
        </is>
      </c>
      <c r="G6" s="115" t="inlineStr">
        <is>
          <t>BẮT BUỘC SỬA</t>
        </is>
      </c>
      <c r="H6" s="114" t="inlineStr">
        <is>
          <t>Đề xuất / chờ duyệt</t>
        </is>
      </c>
    </row>
    <row r="7" ht="83" customHeight="1" s="94">
      <c r="A7" s="114" t="n">
        <v>2</v>
      </c>
      <c r="B7" s="115" t="inlineStr">
        <is>
          <t>Q08–Q09</t>
        </is>
      </c>
      <c r="C7" s="115" t="inlineStr">
        <is>
          <t>P0</t>
        </is>
      </c>
      <c r="D7" s="114" t="inlineStr">
        <is>
          <t>An ninh được sửa trạng thái HÀNG/RỖNG, kể cả khi cont đã ra.</t>
        </is>
      </c>
      <c r="E7" s="114" t="inlineStr">
        <is>
          <t>Không còn một bộ phận sở hữu dữ liệu chuẩn; khó điều tra sai trạng thái.</t>
        </is>
      </c>
      <c r="F7" s="114" t="inlineStr">
        <is>
          <t>Điều phối nhập và chịu trách nhiệm; An ninh/CCKB xem; sửa sau khi ra phải có TBP phê duyệt/audit.</t>
        </is>
      </c>
      <c r="G7" s="115" t="inlineStr">
        <is>
          <t>BẮT BUỘC SỬA</t>
        </is>
      </c>
      <c r="H7" s="114" t="inlineStr">
        <is>
          <t>Đề xuất / chờ duyệt</t>
        </is>
      </c>
    </row>
    <row r="8" ht="83" customHeight="1" s="94">
      <c r="A8" s="114" t="n">
        <v>3</v>
      </c>
      <c r="B8" s="115" t="inlineStr">
        <is>
          <t>Q11, Q12–Q13</t>
        </is>
      </c>
      <c r="C8" s="115" t="inlineStr">
        <is>
          <t>P0</t>
        </is>
      </c>
      <c r="D8" s="114" t="inlineStr">
        <is>
          <t>CCKB được ghi “Thực hiện cắm/rút điện tại hiện trường”.</t>
        </is>
      </c>
      <c r="E8" s="114" t="inlineStr">
        <is>
          <t>Trộn người thực hiện thực tế với người nhập giờ vào ứng dụng.</t>
        </is>
      </c>
      <c r="F8" s="114" t="inlineStr">
        <is>
          <t>An ninh trực tiếp cắm/rút; CCKB chỉ ghi giờ và quản lý tiền theo thông tin An ninh báo.</t>
        </is>
      </c>
      <c r="G8" s="115" t="inlineStr">
        <is>
          <t>BẮT BUỘC SỬA</t>
        </is>
      </c>
      <c r="H8" s="114" t="inlineStr">
        <is>
          <t>Đề xuất / chờ duyệt</t>
        </is>
      </c>
    </row>
    <row r="9" ht="83" customHeight="1" s="94">
      <c r="A9" s="114" t="n">
        <v>4</v>
      </c>
      <c r="B9" s="115" t="inlineStr">
        <is>
          <t>Q15–Q16</t>
        </is>
      </c>
      <c r="C9" s="115" t="inlineStr">
        <is>
          <t>P0</t>
        </is>
      </c>
      <c r="D9" s="114" t="inlineStr">
        <is>
          <t>Nhân viên CCKB vừa được đề nghị vừa được phê duyệt chênh lệch sau thu.</t>
        </is>
      </c>
      <c r="E9" s="114" t="inlineStr">
        <is>
          <t>Có thể tự sửa giảm tiền đã thu mà không có kiểm tra độc lập.</t>
        </is>
      </c>
      <c r="F9" s="114" t="inlineStr">
        <is>
          <t>NV CCKB gửi đề nghị; TBP CCKB/Quản trị phê duyệt. Giữ bút toán tiền gốc và ghi chênh lệch.</t>
        </is>
      </c>
      <c r="G9" s="115" t="inlineStr">
        <is>
          <t>BẮT BUỘC SỬA</t>
        </is>
      </c>
      <c r="H9" s="114" t="inlineStr">
        <is>
          <t>Đề xuất / chờ duyệt</t>
        </is>
      </c>
    </row>
    <row r="10" ht="83" customHeight="1" s="94">
      <c r="A10" s="114" t="n">
        <v>5</v>
      </c>
      <c r="B10" s="115" t="inlineStr">
        <is>
          <t>Q03,Q06,Q35,Q38</t>
        </is>
      </c>
      <c r="C10" s="115" t="inlineStr">
        <is>
          <t>P0</t>
        </is>
      </c>
      <c r="D10" s="114" t="inlineStr">
        <is>
          <t>Sửa giờ vào/số cont vẫn quá rộng; Q38 chồng chéo quyền sửa số cont và chỉnh tiền.</t>
        </is>
      </c>
      <c r="E10" s="114" t="inlineStr">
        <is>
          <t>Tiền lưu, tiền điện, lịch sử container và giao dịch đã thu có thể sai.</t>
        </is>
      </c>
      <c r="F10" s="114" t="inlineStr">
        <is>
          <t>Giữ AN quyền sửa số cont có audit/báo CCKB. Khi chỉnh tiền đã thu, TBP CCKB duyệt riêng; tách quyền sửa giờ ra/vào sau khi thu.</t>
        </is>
      </c>
      <c r="G10" s="115" t="inlineStr">
        <is>
          <t>BẮT BUỘC SỬA</t>
        </is>
      </c>
      <c r="H10" s="114" t="inlineStr">
        <is>
          <t>Đề xuất / chờ duyệt</t>
        </is>
      </c>
    </row>
    <row r="11" ht="83" customHeight="1" s="94">
      <c r="A11" s="114" t="n">
        <v>6</v>
      </c>
      <c r="B11" s="115" t="inlineStr">
        <is>
          <t>Q18,Q24–Q25</t>
        </is>
      </c>
      <c r="C11" s="115" t="inlineStr">
        <is>
          <t>P0</t>
        </is>
      </c>
      <c r="D11" s="114" t="inlineStr">
        <is>
          <t>CCKB duyệt tài chính trước, trong khi AN chỉ tính phí lưu khi ghi giờ cont ra thật.</t>
        </is>
      </c>
      <c r="E11" s="114" t="inlineStr">
        <is>
          <t>Xuất container khi chưa ghi nhận/thu phí lưu phát sinh ở cổng.</t>
        </is>
      </c>
      <c r="F11" s="114" t="inlineStr">
        <is>
          <t>CCKB duyệt tiền điện + cảnh báo nợ; AN nhập giờ ra thật, tính/thu lưu; hệ thống kiểm tra thu hoặc ngoại lệ rồi mới ghi nhận ra.</t>
        </is>
      </c>
      <c r="G11" s="115" t="inlineStr">
        <is>
          <t>CẦN ĐIỀU KIỆN</t>
        </is>
      </c>
      <c r="H11" s="114" t="inlineStr">
        <is>
          <t>Áp dụng quy trình hai bước</t>
        </is>
      </c>
    </row>
    <row r="12" ht="83" customHeight="1" s="94">
      <c r="A12" s="116" t="n">
        <v>7</v>
      </c>
      <c r="B12" s="117" t="inlineStr">
        <is>
          <t>Q26</t>
        </is>
      </c>
      <c r="C12" s="117" t="inlineStr">
        <is>
          <t>P1</t>
        </is>
      </c>
      <c r="D12" s="116" t="inlineStr">
        <is>
          <t>NV CCKB có thể hủy duyệt ra không tách trước/sau khi đã thực tế xuất.</t>
        </is>
      </c>
      <c r="E12" s="116" t="inlineStr">
        <is>
          <t>Lịch sử duyệt ra và công nợ có thể mâu thuẫn trạng thái cổng.</t>
        </is>
      </c>
      <c r="F12" s="116" t="inlineStr">
        <is>
          <t>Trước khi AN xác nhận ra: NV đề nghị, TBP/Quản trị hủy; sau khi ra: chỉ lập nghiệp vụ điều chỉnh có lịch sử.</t>
        </is>
      </c>
      <c r="G12" s="117" t="inlineStr">
        <is>
          <t>NÊN SỬA</t>
        </is>
      </c>
      <c r="H12" s="116" t="inlineStr">
        <is>
          <t>Đề xuất / chờ duyệt</t>
        </is>
      </c>
    </row>
    <row r="13" ht="83" customHeight="1" s="94">
      <c r="A13" s="118" t="n">
        <v>8</v>
      </c>
      <c r="B13" s="119" t="inlineStr">
        <is>
          <t>Q28–Q30</t>
        </is>
      </c>
      <c r="C13" s="119" t="inlineStr">
        <is>
          <t>P1</t>
        </is>
      </c>
      <c r="D13" s="118" t="inlineStr">
        <is>
          <t>TBP An ninh và CCKB không được xem nhật ký, báo cáo doanh thu và xuất báo cáo.</t>
        </is>
      </c>
      <c r="E13" s="118" t="inlineStr">
        <is>
          <t>Không chủ động giám sát ca, đối soát hoặc điều tra sai sót.</t>
        </is>
      </c>
      <c r="F13" s="118" t="inlineStr">
        <is>
          <t>Cấp quyền theo phạm vi bộ phận; nhân viên chỉ xem khoản của mình; Quản trị được xem toàn bộ.</t>
        </is>
      </c>
      <c r="G13" s="119" t="inlineStr">
        <is>
          <t>NÊN SỬA</t>
        </is>
      </c>
      <c r="H13" s="118" t="inlineStr">
        <is>
          <t>Đề xuất / chờ duyệt</t>
        </is>
      </c>
    </row>
    <row r="14" ht="83" customHeight="1" s="94">
      <c r="A14" s="116" t="n">
        <v>9</v>
      </c>
      <c r="B14" s="117" t="inlineStr">
        <is>
          <t>Q21</t>
        </is>
      </c>
      <c r="C14" s="117" t="inlineStr">
        <is>
          <t>P1</t>
        </is>
      </c>
      <c r="D14" s="116" t="inlineStr">
        <is>
          <t>Chỉ Quản trị được đối soát chứng từ chuyển khoản; người trực thu không tham gia quy trình kiểm tra.</t>
        </is>
      </c>
      <c r="E14" s="116" t="inlineStr">
        <is>
          <t>Mất khả năng giám sát tiền thực nhận hằng ngày tại An ninh/CCKB.</t>
        </is>
      </c>
      <c r="F14" s="116" t="inlineStr">
        <is>
          <t>TBP mỗi bộ phận đối soát các khoản thuộc phạm vi, có thể kết nối Kế toán ở giai đoạn sau.</t>
        </is>
      </c>
      <c r="G14" s="117" t="inlineStr">
        <is>
          <t>NÊN SỬA</t>
        </is>
      </c>
      <c r="H14" s="116" t="inlineStr">
        <is>
          <t>Đề xuất / chờ duyệt</t>
        </is>
      </c>
    </row>
    <row r="15" ht="83" customHeight="1" s="94">
      <c r="A15" s="118" t="n">
        <v>10</v>
      </c>
      <c r="B15" s="119" t="inlineStr">
        <is>
          <t>Q04</t>
        </is>
      </c>
      <c r="C15" s="119" t="inlineStr">
        <is>
          <t>P2</t>
        </is>
      </c>
      <c r="D15" s="118" t="inlineStr">
        <is>
          <t>Không gán quyền nào và ghi “không sử dụng chỉnh vé giấy”, nhưng trạng thái vẫn “Đã chốt”.</t>
        </is>
      </c>
      <c r="E15" s="118" t="inlineStr">
        <is>
          <t>Nhóm lập trình có thể hiểu vẫn phải xây thao tác chỉnh vé giấy ngay V1.</t>
        </is>
      </c>
      <c r="F15" s="118" t="inlineStr">
        <is>
          <t>Gắn nhãn “Không triển khai V1”; chỉ lưu số vé nếu thực tế có, chức năng in/QR sau.</t>
        </is>
      </c>
      <c r="G15" s="119" t="inlineStr">
        <is>
          <t>GHI RÕ PHẠM VI</t>
        </is>
      </c>
      <c r="H15" s="118" t="inlineStr">
        <is>
          <t>Đề xuất / chờ duyệt</t>
        </is>
      </c>
    </row>
    <row r="16" ht="83" customHeight="1" s="94">
      <c r="A16" s="116" t="n">
        <v>11</v>
      </c>
      <c r="B16" s="117" t="inlineStr">
        <is>
          <t>15_V4_DIEM_CAN_KIEM</t>
        </is>
      </c>
      <c r="C16" s="117" t="inlineStr">
        <is>
          <t>P1</t>
        </is>
      </c>
      <c r="D16" s="116" t="inlineStr">
        <is>
          <t>12 điểm rà soát V4 chưa được bạn điền kết luận.</t>
        </is>
      </c>
      <c r="E16" s="116" t="inlineStr">
        <is>
          <t>Một số quy tắc kỹ thuật quan trọng vẫn là đề xuất.</t>
        </is>
      </c>
      <c r="F16" s="116" t="inlineStr">
        <is>
          <t>Ưu tiên RV03 giá điện đổi giữa phiên, RV05 điện đang cắm nhưng thực tế rút, RV06 phí lưu chưa thu, RV09 tài khoản chung bốt.</t>
        </is>
      </c>
      <c r="G16" s="117" t="inlineStr">
        <is>
          <t>CHƯA ĐỦ UAT</t>
        </is>
      </c>
      <c r="H16" s="116" t="inlineStr">
        <is>
          <t>Mở trong giai đoạn thiết kế</t>
        </is>
      </c>
    </row>
    <row r="17" ht="83" customHeight="1" s="94">
      <c r="A17" s="118" t="n">
        <v>12</v>
      </c>
      <c r="B17" s="119" t="inlineStr">
        <is>
          <t>14_V4_KICH_BAN</t>
        </is>
      </c>
      <c r="C17" s="119" t="inlineStr">
        <is>
          <t>P1</t>
        </is>
      </c>
      <c r="D17" s="118" t="inlineStr">
        <is>
          <t>44 kịch bản UAT vẫn ghi Chưa kiểm thử, chưa có kết quả chạy thực tế.</t>
        </is>
      </c>
      <c r="E17" s="118" t="inlineStr">
        <is>
          <t>Chưa có chứng cứ kiểm thử PWA hoặc nghiệm thu thay AppSheet.</t>
        </is>
      </c>
      <c r="F17" s="118" t="inlineStr">
        <is>
          <t>Sau khi có bản demo, chạy các kịch bản P0 trước; hiện chỉ có bảng yêu cầu và phân quyền.</t>
        </is>
      </c>
      <c r="G17" s="119" t="inlineStr">
        <is>
          <t>CHƯA ĐỦ UAT</t>
        </is>
      </c>
      <c r="H17" s="118" t="inlineStr">
        <is>
          <t>Để lúc có phần mềm</t>
        </is>
      </c>
    </row>
  </sheetData>
  <autoFilter ref="A5:H17"/>
  <mergeCells count="3">
    <mergeCell ref="A3:H3"/>
    <mergeCell ref="A2:H2"/>
    <mergeCell ref="A1:H1"/>
  </mergeCells>
  <pageMargins left="0.75" right="0.75" top="1" bottom="1" header="0.5" footer="0.5"/>
  <pageSetup orientation="landscape" fitToWidth="1"/>
</worksheet>
</file>

<file path=xl/worksheets/sheet7.xml><?xml version="1.0" encoding="utf-8"?>
<worksheet xmlns="http://schemas.openxmlformats.org/spreadsheetml/2006/main">
  <sheetPr>
    <tabColor rgb="FF223873"/>
    <outlinePr summaryBelow="1" summaryRight="1"/>
    <pageSetUpPr fitToPage="1"/>
  </sheetPr>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9" customWidth="1" style="94" min="1" max="1"/>
    <col width="20" customWidth="1" style="94" min="2" max="2"/>
    <col width="69" customWidth="1" style="94" min="3" max="3"/>
    <col width="34" customWidth="1" style="94" min="4" max="4"/>
    <col width="19" customWidth="1" style="94" min="5" max="11"/>
    <col width="58" customWidth="1" style="94" min="12" max="12"/>
    <col width="19" customWidth="1" style="94" min="13" max="13"/>
  </cols>
  <sheetData>
    <row r="1" ht="36" customHeight="1" s="94">
      <c r="A1" s="95" t="inlineStr">
        <is>
          <t>MA TRẬN QUYỀN THEO 07 VAI TRÒ — CẦN XÁC NHẬN</t>
        </is>
      </c>
      <c r="N1" s="57" t="n"/>
      <c r="O1" s="57" t="n"/>
      <c r="P1" s="57" t="n"/>
      <c r="Q1" s="57" t="n"/>
      <c r="R1" s="57" t="n"/>
      <c r="S1" s="57" t="n"/>
      <c r="T1" s="57" t="n"/>
      <c r="U1" s="57" t="n"/>
      <c r="V1" s="57" t="n"/>
      <c r="W1" s="57" t="n"/>
      <c r="X1" s="57" t="n"/>
      <c r="Y1" s="57" t="n"/>
      <c r="Z1" s="57" t="n"/>
    </row>
    <row r="2" ht="33" customHeight="1" s="94">
      <c r="A2" s="96" t="inlineStr">
        <is>
          <t>Các cột quyền đang để trống vì đã chốt TRÁCH NHIỆM BỘ PHẬN nhưng chưa chốt từng quyền. Chọn Thực hiện / Xem / Phê duyệt / Không.</t>
        </is>
      </c>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Mã</t>
        </is>
      </c>
      <c r="B4" s="6" t="inlineStr">
        <is>
          <t>Nhóm</t>
        </is>
      </c>
      <c r="C4" s="6" t="inlineStr">
        <is>
          <t>Chức năng / thao tác</t>
        </is>
      </c>
      <c r="D4" s="6" t="inlineStr">
        <is>
          <t>Bộ phận trách nhiệm đã chốt</t>
        </is>
      </c>
      <c r="E4" s="6" t="inlineStr">
        <is>
          <t>NV An ninh</t>
        </is>
      </c>
      <c r="F4" s="6" t="inlineStr">
        <is>
          <t>TBP An ninh</t>
        </is>
      </c>
      <c r="G4" s="6" t="inlineStr">
        <is>
          <t>NV CCKB</t>
        </is>
      </c>
      <c r="H4" s="6" t="inlineStr">
        <is>
          <t>TBP CCKB</t>
        </is>
      </c>
      <c r="I4" s="6" t="inlineStr">
        <is>
          <t>NV Điều phối</t>
        </is>
      </c>
      <c r="J4" s="6" t="inlineStr">
        <is>
          <t>TBP Điều phối</t>
        </is>
      </c>
      <c r="K4" s="6" t="inlineStr">
        <is>
          <t>Quản trị</t>
        </is>
      </c>
      <c r="L4" s="6" t="inlineStr">
        <is>
          <t>Ghi chú cần xác nhận (điền)</t>
        </is>
      </c>
      <c r="M4" s="6" t="inlineStr">
        <is>
          <t>Trạng thái</t>
        </is>
      </c>
      <c r="N4" s="57" t="n"/>
      <c r="O4" s="57" t="n"/>
      <c r="P4" s="57" t="n"/>
      <c r="Q4" s="57" t="n"/>
      <c r="R4" s="57" t="n"/>
      <c r="S4" s="57" t="n"/>
      <c r="T4" s="57" t="n"/>
      <c r="U4" s="57" t="n"/>
      <c r="V4" s="57" t="n"/>
      <c r="W4" s="57" t="n"/>
      <c r="X4" s="57" t="n"/>
      <c r="Y4" s="57" t="n"/>
      <c r="Z4" s="57" t="n"/>
    </row>
    <row r="5" ht="39" customHeight="1" s="94">
      <c r="A5" s="10" t="inlineStr">
        <is>
          <t>Q01</t>
        </is>
      </c>
      <c r="B5" s="10" t="inlineStr">
        <is>
          <t>Cổng vào</t>
        </is>
      </c>
      <c r="C5" s="10" t="inlineStr">
        <is>
          <t>Tạo lượt xe vào và giờ vào</t>
        </is>
      </c>
      <c r="D5" s="10" t="inlineStr">
        <is>
          <t>An ninh</t>
        </is>
      </c>
      <c r="E5" s="55" t="inlineStr">
        <is>
          <t>Thực hiện</t>
        </is>
      </c>
      <c r="F5" s="55" t="inlineStr">
        <is>
          <t>Thực hiện</t>
        </is>
      </c>
      <c r="G5" s="55" t="inlineStr">
        <is>
          <t>Không</t>
        </is>
      </c>
      <c r="H5" s="55" t="inlineStr">
        <is>
          <t>Không</t>
        </is>
      </c>
      <c r="I5" s="55" t="inlineStr">
        <is>
          <t>Không</t>
        </is>
      </c>
      <c r="J5" s="55" t="inlineStr">
        <is>
          <t>Không</t>
        </is>
      </c>
      <c r="K5" s="55" t="inlineStr">
        <is>
          <t>Thực hiện</t>
        </is>
      </c>
      <c r="L5" s="23" t="n"/>
      <c r="M5" s="56" t="inlineStr">
        <is>
          <t>Đã chốt</t>
        </is>
      </c>
      <c r="N5" s="57" t="n"/>
      <c r="O5" s="57" t="n"/>
      <c r="P5" s="57" t="n"/>
      <c r="Q5" s="57" t="n"/>
      <c r="R5" s="57" t="n"/>
      <c r="S5" s="57" t="n"/>
      <c r="T5" s="57" t="n"/>
      <c r="U5" s="57" t="n"/>
      <c r="V5" s="57" t="n"/>
      <c r="W5" s="57" t="n"/>
      <c r="X5" s="57" t="n"/>
      <c r="Y5" s="57" t="n"/>
      <c r="Z5" s="57" t="n"/>
    </row>
    <row r="6" ht="39" customHeight="1" s="94">
      <c r="A6" s="16" t="inlineStr">
        <is>
          <t>Q02</t>
        </is>
      </c>
      <c r="B6" s="16" t="inlineStr">
        <is>
          <t>Cổng vào</t>
        </is>
      </c>
      <c r="C6" s="16" t="inlineStr">
        <is>
          <t>Thu tiền vé vào, đính kèm ảnh chuyển khoản</t>
        </is>
      </c>
      <c r="D6" s="16" t="inlineStr">
        <is>
          <t>An ninh</t>
        </is>
      </c>
      <c r="E6" s="55" t="inlineStr">
        <is>
          <t>Thực hiện</t>
        </is>
      </c>
      <c r="F6" s="55" t="inlineStr">
        <is>
          <t>Thực hiện</t>
        </is>
      </c>
      <c r="G6" s="55" t="inlineStr">
        <is>
          <t>Không</t>
        </is>
      </c>
      <c r="H6" s="55" t="inlineStr">
        <is>
          <t>Không</t>
        </is>
      </c>
      <c r="I6" s="55" t="inlineStr">
        <is>
          <t>Không</t>
        </is>
      </c>
      <c r="J6" s="55" t="inlineStr">
        <is>
          <t>Không</t>
        </is>
      </c>
      <c r="K6" s="55" t="inlineStr">
        <is>
          <t>Thực hiện</t>
        </is>
      </c>
      <c r="L6" s="23" t="n"/>
      <c r="M6" s="56" t="inlineStr">
        <is>
          <t>Đã chốt</t>
        </is>
      </c>
      <c r="N6" s="57" t="n"/>
      <c r="O6" s="57" t="n"/>
      <c r="P6" s="57" t="n"/>
      <c r="Q6" s="57" t="n"/>
      <c r="R6" s="57" t="n"/>
      <c r="S6" s="57" t="n"/>
      <c r="T6" s="57" t="n"/>
      <c r="U6" s="57" t="n"/>
      <c r="V6" s="57" t="n"/>
      <c r="W6" s="57" t="n"/>
      <c r="X6" s="57" t="n"/>
      <c r="Y6" s="57" t="n"/>
      <c r="Z6" s="57" t="n"/>
    </row>
    <row r="7" ht="39" customHeight="1" s="94">
      <c r="A7" s="10" t="inlineStr">
        <is>
          <t>Q03</t>
        </is>
      </c>
      <c r="B7" s="10" t="inlineStr">
        <is>
          <t>Cổng vào</t>
        </is>
      </c>
      <c r="C7" s="10" t="inlineStr">
        <is>
          <t>Sửa biển số / loại xe / GIO_VAO</t>
        </is>
      </c>
      <c r="D7" s="56" t="inlineStr">
        <is>
          <t>An ninh</t>
        </is>
      </c>
      <c r="E7" s="55" t="inlineStr">
        <is>
          <t>Thực hiện</t>
        </is>
      </c>
      <c r="F7" s="55" t="inlineStr">
        <is>
          <t>Thực hiện</t>
        </is>
      </c>
      <c r="G7" s="55" t="inlineStr">
        <is>
          <t>Xem</t>
        </is>
      </c>
      <c r="H7" s="55" t="inlineStr">
        <is>
          <t>Xem</t>
        </is>
      </c>
      <c r="I7" s="55" t="inlineStr">
        <is>
          <t>Xem</t>
        </is>
      </c>
      <c r="J7" s="55" t="inlineStr">
        <is>
          <t>Xem</t>
        </is>
      </c>
      <c r="K7" s="55" t="inlineStr">
        <is>
          <t>Thực hiện</t>
        </is>
      </c>
      <c r="L7" s="23" t="n"/>
      <c r="M7" s="56" t="inlineStr">
        <is>
          <t>Đã chốt</t>
        </is>
      </c>
      <c r="N7" s="57" t="n"/>
      <c r="O7" s="57" t="n"/>
      <c r="P7" s="57" t="n"/>
      <c r="Q7" s="57" t="n"/>
      <c r="R7" s="57" t="n"/>
      <c r="S7" s="57" t="n"/>
      <c r="T7" s="57" t="n"/>
      <c r="U7" s="57" t="n"/>
      <c r="V7" s="57" t="n"/>
      <c r="W7" s="57" t="n"/>
      <c r="X7" s="57" t="n"/>
      <c r="Y7" s="57" t="n"/>
      <c r="Z7" s="57" t="n"/>
    </row>
    <row r="8" ht="39" customHeight="1" s="94">
      <c r="A8" s="16" t="inlineStr">
        <is>
          <t>Q04</t>
        </is>
      </c>
      <c r="B8" s="16" t="inlineStr">
        <is>
          <t>Cổng vào</t>
        </is>
      </c>
      <c r="C8" s="16" t="inlineStr">
        <is>
          <t>Tạo/điều chỉnh số vé giấy</t>
        </is>
      </c>
      <c r="D8" s="16" t="inlineStr">
        <is>
          <t>An ninh</t>
        </is>
      </c>
      <c r="E8" s="23" t="n"/>
      <c r="F8" s="23" t="n"/>
      <c r="G8" s="23" t="n"/>
      <c r="H8" s="23" t="n"/>
      <c r="I8" s="23" t="n"/>
      <c r="J8" s="23" t="n"/>
      <c r="K8" s="23" t="n"/>
      <c r="L8" s="23" t="n"/>
      <c r="M8" s="56" t="inlineStr">
        <is>
          <t>Đã chốt</t>
        </is>
      </c>
      <c r="N8" s="57" t="inlineStr">
        <is>
          <t>k sử dụng điều chỉnh vé giấy mjes</t>
        </is>
      </c>
      <c r="O8" s="57" t="n"/>
      <c r="P8" s="57" t="n"/>
      <c r="Q8" s="57" t="n"/>
      <c r="R8" s="57" t="n"/>
      <c r="S8" s="57" t="n"/>
      <c r="T8" s="57" t="n"/>
      <c r="U8" s="57" t="n"/>
      <c r="V8" s="57" t="n"/>
      <c r="W8" s="57" t="n"/>
      <c r="X8" s="57" t="n"/>
      <c r="Y8" s="57" t="n"/>
      <c r="Z8" s="57" t="n"/>
    </row>
    <row r="9" ht="39" customHeight="1" s="94">
      <c r="A9" s="10" t="inlineStr">
        <is>
          <t>Q05</t>
        </is>
      </c>
      <c r="B9" s="10" t="inlineStr">
        <is>
          <t>Container</t>
        </is>
      </c>
      <c r="C9" s="10" t="inlineStr">
        <is>
          <t>Tạo lượt container vào, ghi GIO_CONT_VAO</t>
        </is>
      </c>
      <c r="D9" s="10" t="inlineStr">
        <is>
          <t>An ninh</t>
        </is>
      </c>
      <c r="E9" s="55" t="inlineStr">
        <is>
          <t>Thực hiện</t>
        </is>
      </c>
      <c r="F9" s="55" t="inlineStr">
        <is>
          <t>Thực hiện</t>
        </is>
      </c>
      <c r="G9" s="55" t="inlineStr">
        <is>
          <t>Không</t>
        </is>
      </c>
      <c r="H9" s="55" t="inlineStr">
        <is>
          <t>Không</t>
        </is>
      </c>
      <c r="I9" s="55" t="inlineStr">
        <is>
          <t>Không</t>
        </is>
      </c>
      <c r="J9" s="55" t="inlineStr">
        <is>
          <t>Không</t>
        </is>
      </c>
      <c r="K9" s="55" t="inlineStr">
        <is>
          <t>Thực hiện</t>
        </is>
      </c>
      <c r="L9" s="23" t="n"/>
      <c r="M9" s="56" t="inlineStr">
        <is>
          <t>Đã chốt</t>
        </is>
      </c>
      <c r="N9" s="57" t="n"/>
      <c r="O9" s="57" t="n"/>
      <c r="P9" s="57" t="n"/>
      <c r="Q9" s="57" t="n"/>
      <c r="R9" s="57" t="n"/>
      <c r="S9" s="57" t="n"/>
      <c r="T9" s="57" t="n"/>
      <c r="U9" s="57" t="n"/>
      <c r="V9" s="57" t="n"/>
      <c r="W9" s="57" t="n"/>
      <c r="X9" s="57" t="n"/>
      <c r="Y9" s="57" t="n"/>
      <c r="Z9" s="57" t="n"/>
    </row>
    <row r="10" ht="39" customHeight="1" s="94">
      <c r="A10" s="16" t="inlineStr">
        <is>
          <t>Q06</t>
        </is>
      </c>
      <c r="B10" s="16" t="inlineStr">
        <is>
          <t>Container</t>
        </is>
      </c>
      <c r="C10" s="16" t="inlineStr">
        <is>
          <t>Thay đổi số container sau khi lưu</t>
        </is>
      </c>
      <c r="D10" s="10" t="inlineStr">
        <is>
          <t>An ninh</t>
        </is>
      </c>
      <c r="E10" s="23" t="inlineStr">
        <is>
          <t>Thực hiện</t>
        </is>
      </c>
      <c r="F10" s="23" t="inlineStr">
        <is>
          <t>Thực hiện</t>
        </is>
      </c>
      <c r="G10" s="55" t="inlineStr">
        <is>
          <t>Xem</t>
        </is>
      </c>
      <c r="H10" s="55" t="inlineStr">
        <is>
          <t>Xem</t>
        </is>
      </c>
      <c r="I10" s="55" t="inlineStr">
        <is>
          <t>Xem</t>
        </is>
      </c>
      <c r="J10" s="55" t="inlineStr">
        <is>
          <t>Xem</t>
        </is>
      </c>
      <c r="K10" s="55" t="inlineStr">
        <is>
          <t>Thực hiện</t>
        </is>
      </c>
      <c r="L10" s="23" t="inlineStr">
        <is>
          <t>Đã xác nhận cấp quyền cho An ninh sửa số cont và báo CCKB. Các ngoại lệ đã thanh toán/đã xuất vẫn cần chốt.</t>
        </is>
      </c>
      <c r="M10" s="56" t="inlineStr">
        <is>
          <t>Đã chốt</t>
        </is>
      </c>
      <c r="N10" s="57" t="n"/>
      <c r="O10" s="57" t="n"/>
      <c r="P10" s="57" t="n"/>
      <c r="Q10" s="57" t="n"/>
      <c r="R10" s="57" t="n"/>
      <c r="S10" s="57" t="n"/>
      <c r="T10" s="57" t="n"/>
      <c r="U10" s="57" t="n"/>
      <c r="V10" s="57" t="n"/>
      <c r="W10" s="57" t="n"/>
      <c r="X10" s="57" t="n"/>
      <c r="Y10" s="57" t="n"/>
      <c r="Z10" s="57" t="n"/>
    </row>
    <row r="11" ht="39" customHeight="1" s="94">
      <c r="A11" s="10" t="inlineStr">
        <is>
          <t>Q07</t>
        </is>
      </c>
      <c r="B11" s="10" t="inlineStr">
        <is>
          <t>Container</t>
        </is>
      </c>
      <c r="C11" s="10" t="inlineStr">
        <is>
          <t>Xác nhận hạ/xếp container (quản lý vị trí)</t>
        </is>
      </c>
      <c r="D11" s="10" t="inlineStr">
        <is>
          <t>An ninh</t>
        </is>
      </c>
      <c r="E11" s="55" t="inlineStr">
        <is>
          <t>Thực hiện</t>
        </is>
      </c>
      <c r="F11" s="55" t="inlineStr">
        <is>
          <t>Thực hiện</t>
        </is>
      </c>
      <c r="G11" s="55" t="inlineStr">
        <is>
          <t>Xem</t>
        </is>
      </c>
      <c r="H11" s="55" t="inlineStr">
        <is>
          <t>Xem</t>
        </is>
      </c>
      <c r="I11" s="55" t="inlineStr">
        <is>
          <t>Thực hiện</t>
        </is>
      </c>
      <c r="J11" s="55" t="inlineStr">
        <is>
          <t>Thực hiện</t>
        </is>
      </c>
      <c r="K11" s="55" t="inlineStr">
        <is>
          <t>Thực hiện</t>
        </is>
      </c>
      <c r="L11" s="23" t="n"/>
      <c r="M11" s="56" t="inlineStr">
        <is>
          <t>Đã chốt</t>
        </is>
      </c>
      <c r="N11" s="57" t="n"/>
      <c r="O11" s="57" t="n"/>
      <c r="P11" s="57" t="n"/>
      <c r="Q11" s="57" t="n"/>
      <c r="R11" s="57" t="n"/>
      <c r="S11" s="57" t="n"/>
      <c r="T11" s="57" t="n"/>
      <c r="U11" s="57" t="n"/>
      <c r="V11" s="57" t="n"/>
      <c r="W11" s="57" t="n"/>
      <c r="X11" s="57" t="n"/>
      <c r="Y11" s="57" t="n"/>
      <c r="Z11" s="57" t="n"/>
    </row>
    <row r="12" ht="39" customHeight="1" s="94">
      <c r="A12" s="16" t="inlineStr">
        <is>
          <t>Q08</t>
        </is>
      </c>
      <c r="B12" s="16" t="inlineStr">
        <is>
          <t>Điều phối</t>
        </is>
      </c>
      <c r="C12" s="16" t="inlineStr">
        <is>
          <t>Cập nhật HÀNG/RỖNG</t>
        </is>
      </c>
      <c r="D12" s="16" t="inlineStr">
        <is>
          <t>Điều phối</t>
        </is>
      </c>
      <c r="E12" s="55" t="inlineStr">
        <is>
          <t>Thực hiện</t>
        </is>
      </c>
      <c r="F12" s="55" t="inlineStr">
        <is>
          <t>Thực hiện</t>
        </is>
      </c>
      <c r="G12" s="55" t="inlineStr">
        <is>
          <t>Xem</t>
        </is>
      </c>
      <c r="H12" s="55" t="inlineStr">
        <is>
          <t>Xem</t>
        </is>
      </c>
      <c r="I12" s="55" t="inlineStr">
        <is>
          <t>Thực hiện</t>
        </is>
      </c>
      <c r="J12" s="55" t="inlineStr">
        <is>
          <t>Thực hiện</t>
        </is>
      </c>
      <c r="K12" s="55" t="inlineStr">
        <is>
          <t>Thực hiện</t>
        </is>
      </c>
      <c r="L12" s="23" t="n"/>
      <c r="M12" s="56" t="inlineStr">
        <is>
          <t>Đã chốt</t>
        </is>
      </c>
      <c r="N12" s="57" t="n"/>
      <c r="O12" s="57" t="n"/>
      <c r="P12" s="57" t="n"/>
      <c r="Q12" s="57" t="n"/>
      <c r="R12" s="57" t="n"/>
      <c r="S12" s="57" t="n"/>
      <c r="T12" s="57" t="n"/>
      <c r="U12" s="57" t="n"/>
      <c r="V12" s="57" t="n"/>
      <c r="W12" s="57" t="n"/>
      <c r="X12" s="57" t="n"/>
      <c r="Y12" s="57" t="n"/>
      <c r="Z12" s="57" t="n"/>
    </row>
    <row r="13" ht="39" customHeight="1" s="94">
      <c r="A13" s="10" t="inlineStr">
        <is>
          <t>Q09</t>
        </is>
      </c>
      <c r="B13" s="10" t="inlineStr">
        <is>
          <t>Điều phối</t>
        </is>
      </c>
      <c r="C13" s="10" t="inlineStr">
        <is>
          <t>Sửa HÀNG/RỖNG sau khi đã ra</t>
        </is>
      </c>
      <c r="D13" s="16" t="inlineStr">
        <is>
          <t>Điều phối</t>
        </is>
      </c>
      <c r="E13" s="55" t="inlineStr">
        <is>
          <t>Thực hiện</t>
        </is>
      </c>
      <c r="F13" s="55" t="inlineStr">
        <is>
          <t>Thực hiện</t>
        </is>
      </c>
      <c r="G13" s="55" t="inlineStr">
        <is>
          <t>Xem</t>
        </is>
      </c>
      <c r="H13" s="55" t="inlineStr">
        <is>
          <t>Xem</t>
        </is>
      </c>
      <c r="I13" s="55" t="inlineStr">
        <is>
          <t>Thực hiện</t>
        </is>
      </c>
      <c r="J13" s="55" t="inlineStr">
        <is>
          <t>Thực hiện</t>
        </is>
      </c>
      <c r="K13" s="55" t="inlineStr">
        <is>
          <t>Thực hiện</t>
        </is>
      </c>
      <c r="L13" s="23" t="n"/>
      <c r="M13" s="56" t="inlineStr">
        <is>
          <t>Đã chốt</t>
        </is>
      </c>
      <c r="N13" s="57" t="n"/>
      <c r="O13" s="57" t="n"/>
      <c r="P13" s="57" t="n"/>
      <c r="Q13" s="57" t="n"/>
      <c r="R13" s="57" t="n"/>
      <c r="S13" s="57" t="n"/>
      <c r="T13" s="57" t="n"/>
      <c r="U13" s="57" t="n"/>
      <c r="V13" s="57" t="n"/>
      <c r="W13" s="57" t="n"/>
      <c r="X13" s="57" t="n"/>
      <c r="Y13" s="57" t="n"/>
      <c r="Z13" s="57" t="n"/>
    </row>
    <row r="14" ht="39" customHeight="1" s="94">
      <c r="A14" s="16" t="inlineStr">
        <is>
          <t>Q10</t>
        </is>
      </c>
      <c r="B14" s="16" t="inlineStr">
        <is>
          <t>Cắm điện</t>
        </is>
      </c>
      <c r="C14" s="16" t="inlineStr">
        <is>
          <t>Tạo yêu cầu cắm/rút từ khách hàng</t>
        </is>
      </c>
      <c r="D14" s="16" t="inlineStr">
        <is>
          <t>CCKB</t>
        </is>
      </c>
      <c r="E14" s="55" t="inlineStr">
        <is>
          <t>Xem</t>
        </is>
      </c>
      <c r="F14" s="55" t="inlineStr">
        <is>
          <t>Xem</t>
        </is>
      </c>
      <c r="G14" s="55" t="inlineStr">
        <is>
          <t>Thực hiện</t>
        </is>
      </c>
      <c r="H14" s="55" t="inlineStr">
        <is>
          <t>Thực hiện</t>
        </is>
      </c>
      <c r="I14" s="55" t="inlineStr">
        <is>
          <t>Xem</t>
        </is>
      </c>
      <c r="J14" s="55" t="inlineStr">
        <is>
          <t>Xem</t>
        </is>
      </c>
      <c r="K14" s="55" t="inlineStr">
        <is>
          <t>Thực hiện</t>
        </is>
      </c>
      <c r="L14" s="23" t="n"/>
      <c r="M14" s="56" t="inlineStr">
        <is>
          <t>Đã chốt</t>
        </is>
      </c>
      <c r="N14" s="57" t="n"/>
      <c r="O14" s="57" t="n"/>
      <c r="P14" s="57" t="n"/>
      <c r="Q14" s="57" t="n"/>
      <c r="R14" s="57" t="n"/>
      <c r="S14" s="57" t="n"/>
      <c r="T14" s="57" t="n"/>
      <c r="U14" s="57" t="n"/>
      <c r="V14" s="57" t="n"/>
      <c r="W14" s="57" t="n"/>
      <c r="X14" s="57" t="n"/>
      <c r="Y14" s="57" t="n"/>
      <c r="Z14" s="57" t="n"/>
    </row>
    <row r="15" ht="39" customHeight="1" s="94">
      <c r="A15" s="10" t="inlineStr">
        <is>
          <t>Q11</t>
        </is>
      </c>
      <c r="B15" s="10" t="inlineStr">
        <is>
          <t>Cắm điện</t>
        </is>
      </c>
      <c r="C15" s="10" t="inlineStr">
        <is>
          <t>Thực hiện cắm/rút điện tại hiện trường</t>
        </is>
      </c>
      <c r="D15" s="10" t="inlineStr">
        <is>
          <t>An ninh</t>
        </is>
      </c>
      <c r="E15" s="55" t="inlineStr">
        <is>
          <t>Thực hiện</t>
        </is>
      </c>
      <c r="F15" s="55" t="inlineStr">
        <is>
          <t>Thực hiện</t>
        </is>
      </c>
      <c r="G15" s="55" t="inlineStr">
        <is>
          <t>Thực hiện</t>
        </is>
      </c>
      <c r="H15" s="55" t="inlineStr">
        <is>
          <t>Thực hiện</t>
        </is>
      </c>
      <c r="I15" s="55" t="inlineStr">
        <is>
          <t>Xem</t>
        </is>
      </c>
      <c r="J15" s="55" t="inlineStr">
        <is>
          <t>Xem</t>
        </is>
      </c>
      <c r="K15" s="55" t="inlineStr">
        <is>
          <t>Thực hiện</t>
        </is>
      </c>
      <c r="L15" s="23" t="n"/>
      <c r="M15" s="56" t="inlineStr">
        <is>
          <t>Đã chốt</t>
        </is>
      </c>
      <c r="N15" s="57" t="n"/>
      <c r="O15" s="57" t="n"/>
      <c r="P15" s="57" t="n"/>
      <c r="Q15" s="57" t="n"/>
      <c r="R15" s="57" t="n"/>
      <c r="S15" s="57" t="n"/>
      <c r="T15" s="57" t="n"/>
      <c r="U15" s="57" t="n"/>
      <c r="V15" s="57" t="n"/>
      <c r="W15" s="57" t="n"/>
      <c r="X15" s="57" t="n"/>
      <c r="Y15" s="57" t="n"/>
      <c r="Z15" s="57" t="n"/>
    </row>
    <row r="16" ht="39" customHeight="1" s="94">
      <c r="A16" s="16" t="inlineStr">
        <is>
          <t>Q12</t>
        </is>
      </c>
      <c r="B16" s="16" t="inlineStr">
        <is>
          <t>Cắm điện</t>
        </is>
      </c>
      <c r="C16" s="16" t="inlineStr">
        <is>
          <t>Nhập GIO_CAM_THUC_TE</t>
        </is>
      </c>
      <c r="D16" s="16" t="inlineStr">
        <is>
          <t>CCKB</t>
        </is>
      </c>
      <c r="E16" s="55" t="inlineStr">
        <is>
          <t>Xem</t>
        </is>
      </c>
      <c r="F16" s="55" t="inlineStr">
        <is>
          <t>Xem</t>
        </is>
      </c>
      <c r="G16" s="55" t="inlineStr">
        <is>
          <t>Thực hiện</t>
        </is>
      </c>
      <c r="H16" s="55" t="inlineStr">
        <is>
          <t>Thực hiện</t>
        </is>
      </c>
      <c r="I16" s="55" t="inlineStr">
        <is>
          <t>Xem</t>
        </is>
      </c>
      <c r="J16" s="55" t="inlineStr">
        <is>
          <t>Xem</t>
        </is>
      </c>
      <c r="K16" s="55" t="inlineStr">
        <is>
          <t>Thực hiện</t>
        </is>
      </c>
      <c r="L16" s="23" t="n"/>
      <c r="M16" s="56" t="inlineStr">
        <is>
          <t>Đã chốt</t>
        </is>
      </c>
      <c r="N16" s="57" t="n"/>
      <c r="O16" s="57" t="n"/>
      <c r="P16" s="57" t="n"/>
      <c r="Q16" s="57" t="n"/>
      <c r="R16" s="57" t="n"/>
      <c r="S16" s="57" t="n"/>
      <c r="T16" s="57" t="n"/>
      <c r="U16" s="57" t="n"/>
      <c r="V16" s="57" t="n"/>
      <c r="W16" s="57" t="n"/>
      <c r="X16" s="57" t="n"/>
      <c r="Y16" s="57" t="n"/>
      <c r="Z16" s="57" t="n"/>
    </row>
    <row r="17" ht="39" customHeight="1" s="94">
      <c r="A17" s="10" t="inlineStr">
        <is>
          <t>Q13</t>
        </is>
      </c>
      <c r="B17" s="10" t="inlineStr">
        <is>
          <t>Cắm điện</t>
        </is>
      </c>
      <c r="C17" s="10" t="inlineStr">
        <is>
          <t>Nhập GIO_RUT_THUC_TE</t>
        </is>
      </c>
      <c r="D17" s="10" t="inlineStr">
        <is>
          <t>CCKB</t>
        </is>
      </c>
      <c r="E17" s="55" t="inlineStr">
        <is>
          <t>Xem</t>
        </is>
      </c>
      <c r="F17" s="55" t="inlineStr">
        <is>
          <t>Xem</t>
        </is>
      </c>
      <c r="G17" s="55" t="inlineStr">
        <is>
          <t>Thực hiện</t>
        </is>
      </c>
      <c r="H17" s="55" t="inlineStr">
        <is>
          <t>Thực hiện</t>
        </is>
      </c>
      <c r="I17" s="55" t="inlineStr">
        <is>
          <t>Xem</t>
        </is>
      </c>
      <c r="J17" s="55" t="inlineStr">
        <is>
          <t>Xem</t>
        </is>
      </c>
      <c r="K17" s="55" t="inlineStr">
        <is>
          <t>Thực hiện</t>
        </is>
      </c>
      <c r="L17" s="23" t="n"/>
      <c r="M17" s="56" t="inlineStr">
        <is>
          <t>Đã chốt</t>
        </is>
      </c>
      <c r="N17" s="57" t="n"/>
      <c r="O17" s="57" t="n"/>
      <c r="P17" s="57" t="n"/>
      <c r="Q17" s="57" t="n"/>
      <c r="R17" s="57" t="n"/>
      <c r="S17" s="57" t="n"/>
      <c r="T17" s="57" t="n"/>
      <c r="U17" s="57" t="n"/>
      <c r="V17" s="57" t="n"/>
      <c r="W17" s="57" t="n"/>
      <c r="X17" s="57" t="n"/>
      <c r="Y17" s="57" t="n"/>
      <c r="Z17" s="57" t="n"/>
    </row>
    <row r="18" ht="39" customHeight="1" s="94">
      <c r="A18" s="16" t="inlineStr">
        <is>
          <t>Q14</t>
        </is>
      </c>
      <c r="B18" s="16" t="inlineStr">
        <is>
          <t>Cắm điện</t>
        </is>
      </c>
      <c r="C18" s="16" t="inlineStr">
        <is>
          <t>Sửa giờ cắm/rút trước khi thu</t>
        </is>
      </c>
      <c r="D18" s="16" t="inlineStr">
        <is>
          <t>CCKB</t>
        </is>
      </c>
      <c r="E18" s="55" t="inlineStr">
        <is>
          <t>Xem</t>
        </is>
      </c>
      <c r="F18" s="55" t="inlineStr">
        <is>
          <t>Xem</t>
        </is>
      </c>
      <c r="G18" s="55" t="inlineStr">
        <is>
          <t>Thực hiện</t>
        </is>
      </c>
      <c r="H18" s="55" t="inlineStr">
        <is>
          <t>Thực hiện</t>
        </is>
      </c>
      <c r="I18" s="55" t="inlineStr">
        <is>
          <t>Xem</t>
        </is>
      </c>
      <c r="J18" s="55" t="inlineStr">
        <is>
          <t>Xem</t>
        </is>
      </c>
      <c r="K18" s="55" t="inlineStr">
        <is>
          <t>Thực hiện</t>
        </is>
      </c>
      <c r="L18" s="23" t="n"/>
      <c r="M18" s="56" t="inlineStr">
        <is>
          <t>Đã chốt</t>
        </is>
      </c>
      <c r="N18" s="57" t="n"/>
      <c r="O18" s="57" t="n"/>
      <c r="P18" s="57" t="n"/>
      <c r="Q18" s="57" t="n"/>
      <c r="R18" s="57" t="n"/>
      <c r="S18" s="57" t="n"/>
      <c r="T18" s="57" t="n"/>
      <c r="U18" s="57" t="n"/>
      <c r="V18" s="57" t="n"/>
      <c r="W18" s="57" t="n"/>
      <c r="X18" s="57" t="n"/>
      <c r="Y18" s="57" t="n"/>
      <c r="Z18" s="57" t="n"/>
    </row>
    <row r="19" ht="39" customHeight="1" s="94">
      <c r="A19" s="10" t="inlineStr">
        <is>
          <t>Q15</t>
        </is>
      </c>
      <c r="B19" s="10" t="inlineStr">
        <is>
          <t>Cắm điện</t>
        </is>
      </c>
      <c r="C19" s="10" t="inlineStr">
        <is>
          <t>Đề nghị sửa giờ sau khi đã thu</t>
        </is>
      </c>
      <c r="D19" s="10" t="inlineStr">
        <is>
          <t>CCKB</t>
        </is>
      </c>
      <c r="E19" s="55" t="inlineStr">
        <is>
          <t>Xem</t>
        </is>
      </c>
      <c r="F19" s="55" t="inlineStr">
        <is>
          <t>Xem</t>
        </is>
      </c>
      <c r="G19" s="55" t="inlineStr">
        <is>
          <t>Thực hiện</t>
        </is>
      </c>
      <c r="H19" s="55" t="inlineStr">
        <is>
          <t>Thực hiện</t>
        </is>
      </c>
      <c r="I19" s="55" t="inlineStr">
        <is>
          <t>Xem</t>
        </is>
      </c>
      <c r="J19" s="55" t="inlineStr">
        <is>
          <t>Xem</t>
        </is>
      </c>
      <c r="K19" s="55" t="inlineStr">
        <is>
          <t>Thực hiện</t>
        </is>
      </c>
      <c r="L19" s="23" t="n"/>
      <c r="M19" s="56" t="inlineStr">
        <is>
          <t>Đã chốt</t>
        </is>
      </c>
      <c r="N19" s="57" t="n"/>
      <c r="O19" s="57" t="n"/>
      <c r="P19" s="57" t="n"/>
      <c r="Q19" s="57" t="n"/>
      <c r="R19" s="57" t="n"/>
      <c r="S19" s="57" t="n"/>
      <c r="T19" s="57" t="n"/>
      <c r="U19" s="57" t="n"/>
      <c r="V19" s="57" t="n"/>
      <c r="W19" s="57" t="n"/>
      <c r="X19" s="57" t="n"/>
      <c r="Y19" s="57" t="n"/>
      <c r="Z19" s="57" t="n"/>
    </row>
    <row r="20" ht="39" customHeight="1" s="94">
      <c r="A20" s="16" t="inlineStr">
        <is>
          <t>Q16</t>
        </is>
      </c>
      <c r="B20" s="16" t="inlineStr">
        <is>
          <t>Cắm điện</t>
        </is>
      </c>
      <c r="C20" s="16" t="inlineStr">
        <is>
          <t>Phê duyệt chênh lệch sau khi thu</t>
        </is>
      </c>
      <c r="D20" s="58" t="inlineStr">
        <is>
          <t>Quản trị</t>
        </is>
      </c>
      <c r="E20" s="55" t="inlineStr">
        <is>
          <t>Xem</t>
        </is>
      </c>
      <c r="F20" s="55" t="inlineStr">
        <is>
          <t>Xem</t>
        </is>
      </c>
      <c r="G20" s="55" t="inlineStr">
        <is>
          <t>Thực hiện</t>
        </is>
      </c>
      <c r="H20" s="55" t="inlineStr">
        <is>
          <t>Thực hiện</t>
        </is>
      </c>
      <c r="I20" s="55" t="inlineStr">
        <is>
          <t>Xem</t>
        </is>
      </c>
      <c r="J20" s="55" t="inlineStr">
        <is>
          <t>Xem</t>
        </is>
      </c>
      <c r="K20" s="55" t="inlineStr">
        <is>
          <t>Thực hiện</t>
        </is>
      </c>
      <c r="L20" s="23" t="n"/>
      <c r="M20" s="56" t="inlineStr">
        <is>
          <t>Đã chốt</t>
        </is>
      </c>
      <c r="N20" s="57" t="n"/>
      <c r="O20" s="57" t="n"/>
      <c r="P20" s="57" t="n"/>
      <c r="Q20" s="57" t="n"/>
      <c r="R20" s="57" t="n"/>
      <c r="S20" s="57" t="n"/>
      <c r="T20" s="57" t="n"/>
      <c r="U20" s="57" t="n"/>
      <c r="V20" s="57" t="n"/>
      <c r="W20" s="57" t="n"/>
      <c r="X20" s="57" t="n"/>
      <c r="Y20" s="57" t="n"/>
      <c r="Z20" s="57" t="n"/>
    </row>
    <row r="21" ht="39" customHeight="1" s="94">
      <c r="A21" s="10" t="inlineStr">
        <is>
          <t>Q17</t>
        </is>
      </c>
      <c r="B21" s="10" t="inlineStr">
        <is>
          <t>Cắm điện</t>
        </is>
      </c>
      <c r="C21" s="10" t="inlineStr">
        <is>
          <t>Quản lý danh mục giá điện và ngày hiệu lực</t>
        </is>
      </c>
      <c r="D21" s="56" t="inlineStr">
        <is>
          <t>Quản trị</t>
        </is>
      </c>
      <c r="E21" s="55" t="inlineStr">
        <is>
          <t>Xem</t>
        </is>
      </c>
      <c r="F21" s="55" t="inlineStr">
        <is>
          <t>Xem</t>
        </is>
      </c>
      <c r="G21" s="55" t="inlineStr">
        <is>
          <t>Xem</t>
        </is>
      </c>
      <c r="H21" s="55" t="inlineStr">
        <is>
          <t>Xem</t>
        </is>
      </c>
      <c r="I21" s="55" t="inlineStr">
        <is>
          <t>Xem</t>
        </is>
      </c>
      <c r="J21" s="55" t="inlineStr">
        <is>
          <t>Xem</t>
        </is>
      </c>
      <c r="K21" s="55" t="inlineStr">
        <is>
          <t>Thực hiện</t>
        </is>
      </c>
      <c r="L21" s="23" t="n"/>
      <c r="M21" s="56" t="inlineStr">
        <is>
          <t>Đã chốt</t>
        </is>
      </c>
      <c r="N21" s="57" t="n"/>
      <c r="O21" s="57" t="n"/>
      <c r="P21" s="57" t="n"/>
      <c r="Q21" s="57" t="n"/>
      <c r="R21" s="57" t="n"/>
      <c r="S21" s="57" t="n"/>
      <c r="T21" s="57" t="n"/>
      <c r="U21" s="57" t="n"/>
      <c r="V21" s="57" t="n"/>
      <c r="W21" s="57" t="n"/>
      <c r="X21" s="57" t="n"/>
      <c r="Y21" s="57" t="n"/>
      <c r="Z21" s="57" t="n"/>
    </row>
    <row r="22" ht="39" customHeight="1" s="94">
      <c r="A22" s="16" t="inlineStr">
        <is>
          <t>Q18</t>
        </is>
      </c>
      <c r="B22" s="16" t="inlineStr">
        <is>
          <t>Thanh toán</t>
        </is>
      </c>
      <c r="C22" s="16" t="inlineStr">
        <is>
          <t>Tính/thu phí lưu container</t>
        </is>
      </c>
      <c r="D22" s="58" t="inlineStr">
        <is>
          <t>An ninh</t>
        </is>
      </c>
      <c r="E22" s="55" t="inlineStr">
        <is>
          <t>Thực hiện</t>
        </is>
      </c>
      <c r="F22" s="55" t="inlineStr">
        <is>
          <t>Thực hiện</t>
        </is>
      </c>
      <c r="G22" s="55" t="inlineStr">
        <is>
          <t>Xem</t>
        </is>
      </c>
      <c r="H22" s="55" t="inlineStr">
        <is>
          <t>Xem</t>
        </is>
      </c>
      <c r="I22" s="55" t="inlineStr">
        <is>
          <t>Xem</t>
        </is>
      </c>
      <c r="J22" s="55" t="inlineStr">
        <is>
          <t>Xem</t>
        </is>
      </c>
      <c r="K22" s="55" t="inlineStr">
        <is>
          <t>Thực hiện</t>
        </is>
      </c>
      <c r="L22" s="23" t="n"/>
      <c r="M22" s="56" t="inlineStr">
        <is>
          <t>Đã chốt</t>
        </is>
      </c>
      <c r="N22" s="57" t="n"/>
      <c r="O22" s="57" t="n"/>
      <c r="P22" s="57" t="n"/>
      <c r="Q22" s="57" t="n"/>
      <c r="R22" s="57" t="n"/>
      <c r="S22" s="57" t="n"/>
      <c r="T22" s="57" t="n"/>
      <c r="U22" s="57" t="n"/>
      <c r="V22" s="57" t="n"/>
      <c r="W22" s="57" t="n"/>
      <c r="X22" s="57" t="n"/>
      <c r="Y22" s="57" t="n"/>
      <c r="Z22" s="57" t="n"/>
    </row>
    <row r="23" ht="39" customHeight="1" s="94">
      <c r="A23" s="10" t="inlineStr">
        <is>
          <t>Q19</t>
        </is>
      </c>
      <c r="B23" s="10" t="inlineStr">
        <is>
          <t>Thanh toán</t>
        </is>
      </c>
      <c r="C23" s="10" t="inlineStr">
        <is>
          <t>Tính/thu phí điện</t>
        </is>
      </c>
      <c r="D23" s="10" t="inlineStr">
        <is>
          <t>CCKB</t>
        </is>
      </c>
      <c r="E23" s="55" t="inlineStr">
        <is>
          <t>Xem</t>
        </is>
      </c>
      <c r="F23" s="55" t="inlineStr">
        <is>
          <t>Xem</t>
        </is>
      </c>
      <c r="G23" s="55" t="inlineStr">
        <is>
          <t>Thực hiện</t>
        </is>
      </c>
      <c r="H23" s="55" t="inlineStr">
        <is>
          <t>Thực hiện</t>
        </is>
      </c>
      <c r="I23" s="55" t="inlineStr">
        <is>
          <t>Xem</t>
        </is>
      </c>
      <c r="J23" s="55" t="inlineStr">
        <is>
          <t>Xem</t>
        </is>
      </c>
      <c r="K23" s="55" t="inlineStr">
        <is>
          <t>Thực hiện</t>
        </is>
      </c>
      <c r="L23" s="23" t="n"/>
      <c r="M23" s="56" t="inlineStr">
        <is>
          <t>Đã chốt</t>
        </is>
      </c>
      <c r="N23" s="57" t="n"/>
      <c r="O23" s="57" t="n"/>
      <c r="P23" s="57" t="n"/>
      <c r="Q23" s="57" t="n"/>
      <c r="R23" s="57" t="n"/>
      <c r="S23" s="57" t="n"/>
      <c r="T23" s="57" t="n"/>
      <c r="U23" s="57" t="n"/>
      <c r="V23" s="57" t="n"/>
      <c r="W23" s="57" t="n"/>
      <c r="X23" s="57" t="n"/>
      <c r="Y23" s="57" t="n"/>
      <c r="Z23" s="57" t="n"/>
    </row>
    <row r="24" ht="39" customHeight="1" s="94">
      <c r="A24" s="16" t="inlineStr">
        <is>
          <t>Q20</t>
        </is>
      </c>
      <c r="B24" s="16" t="inlineStr">
        <is>
          <t>Thanh toán</t>
        </is>
      </c>
      <c r="C24" s="16" t="inlineStr">
        <is>
          <t>Thu phạt mất vé</t>
        </is>
      </c>
      <c r="D24" s="58" t="inlineStr">
        <is>
          <t>An ninh</t>
        </is>
      </c>
      <c r="E24" s="55" t="inlineStr">
        <is>
          <t>Thực hiện</t>
        </is>
      </c>
      <c r="F24" s="55" t="inlineStr">
        <is>
          <t>Thực hiện</t>
        </is>
      </c>
      <c r="G24" s="55" t="inlineStr">
        <is>
          <t>Xem</t>
        </is>
      </c>
      <c r="H24" s="55" t="inlineStr">
        <is>
          <t>Xem</t>
        </is>
      </c>
      <c r="I24" s="55" t="inlineStr">
        <is>
          <t>Xem</t>
        </is>
      </c>
      <c r="J24" s="55" t="inlineStr">
        <is>
          <t>Xem</t>
        </is>
      </c>
      <c r="K24" s="55" t="inlineStr">
        <is>
          <t>Thực hiện</t>
        </is>
      </c>
      <c r="L24" s="23" t="n"/>
      <c r="M24" s="56" t="inlineStr">
        <is>
          <t>Đã chốt</t>
        </is>
      </c>
      <c r="N24" s="57" t="n"/>
      <c r="O24" s="57" t="n"/>
      <c r="P24" s="57" t="n"/>
      <c r="Q24" s="57" t="n"/>
      <c r="R24" s="57" t="n"/>
      <c r="S24" s="57" t="n"/>
      <c r="T24" s="57" t="n"/>
      <c r="U24" s="57" t="n"/>
      <c r="V24" s="57" t="n"/>
      <c r="W24" s="57" t="n"/>
      <c r="X24" s="57" t="n"/>
      <c r="Y24" s="57" t="n"/>
      <c r="Z24" s="57" t="n"/>
    </row>
    <row r="25" ht="39" customHeight="1" s="94">
      <c r="A25" s="10" t="inlineStr">
        <is>
          <t>Q21</t>
        </is>
      </c>
      <c r="B25" s="10" t="inlineStr">
        <is>
          <t>Thanh toán</t>
        </is>
      </c>
      <c r="C25" s="10" t="inlineStr">
        <is>
          <t>Đối soát chuyển khoản/chứng từ</t>
        </is>
      </c>
      <c r="D25" s="56" t="inlineStr">
        <is>
          <t>Quản trị</t>
        </is>
      </c>
      <c r="E25" s="55" t="inlineStr">
        <is>
          <t>Xem</t>
        </is>
      </c>
      <c r="F25" s="55" t="inlineStr">
        <is>
          <t>Xem</t>
        </is>
      </c>
      <c r="G25" s="55" t="inlineStr">
        <is>
          <t>Xem</t>
        </is>
      </c>
      <c r="H25" s="55" t="inlineStr">
        <is>
          <t>Xem</t>
        </is>
      </c>
      <c r="I25" s="55" t="inlineStr">
        <is>
          <t>Xem</t>
        </is>
      </c>
      <c r="J25" s="55" t="inlineStr">
        <is>
          <t>Xem</t>
        </is>
      </c>
      <c r="K25" s="55" t="inlineStr">
        <is>
          <t>Thực hiện</t>
        </is>
      </c>
      <c r="L25" s="23" t="n"/>
      <c r="M25" s="56" t="inlineStr">
        <is>
          <t>Đã chốt</t>
        </is>
      </c>
      <c r="N25" s="57" t="n"/>
      <c r="O25" s="57" t="n"/>
      <c r="P25" s="57" t="n"/>
      <c r="Q25" s="57" t="n"/>
      <c r="R25" s="57" t="n"/>
      <c r="S25" s="57" t="n"/>
      <c r="T25" s="57" t="n"/>
      <c r="U25" s="57" t="n"/>
      <c r="V25" s="57" t="n"/>
      <c r="W25" s="57" t="n"/>
      <c r="X25" s="57" t="n"/>
      <c r="Y25" s="57" t="n"/>
      <c r="Z25" s="57" t="n"/>
    </row>
    <row r="26" ht="39" customHeight="1" s="94">
      <c r="A26" s="16" t="inlineStr">
        <is>
          <t>Q22</t>
        </is>
      </c>
      <c r="B26" s="16" t="inlineStr">
        <is>
          <t>Thanh toán</t>
        </is>
      </c>
      <c r="C26" s="16" t="inlineStr">
        <is>
          <t>Miễn/giảm/điều chỉnh tiền phải thu</t>
        </is>
      </c>
      <c r="D26" s="58" t="inlineStr">
        <is>
          <t>Quản trị</t>
        </is>
      </c>
      <c r="E26" s="55" t="inlineStr">
        <is>
          <t>Xem</t>
        </is>
      </c>
      <c r="F26" s="55" t="inlineStr">
        <is>
          <t>Xem</t>
        </is>
      </c>
      <c r="G26" s="55" t="inlineStr">
        <is>
          <t>Xem</t>
        </is>
      </c>
      <c r="H26" s="55" t="inlineStr">
        <is>
          <t>Xem</t>
        </is>
      </c>
      <c r="I26" s="55" t="inlineStr">
        <is>
          <t>Xem</t>
        </is>
      </c>
      <c r="J26" s="55" t="inlineStr">
        <is>
          <t>Xem</t>
        </is>
      </c>
      <c r="K26" s="55" t="inlineStr">
        <is>
          <t>Thực hiện</t>
        </is>
      </c>
      <c r="L26" s="23" t="n"/>
      <c r="M26" s="56" t="inlineStr">
        <is>
          <t>Đã chốt</t>
        </is>
      </c>
      <c r="N26" s="57" t="n"/>
      <c r="O26" s="57" t="n"/>
      <c r="P26" s="57" t="n"/>
      <c r="Q26" s="57" t="n"/>
      <c r="R26" s="57" t="n"/>
      <c r="S26" s="57" t="n"/>
      <c r="T26" s="57" t="n"/>
      <c r="U26" s="57" t="n"/>
      <c r="V26" s="57" t="n"/>
      <c r="W26" s="57" t="n"/>
      <c r="X26" s="57" t="n"/>
      <c r="Y26" s="57" t="n"/>
      <c r="Z26" s="57" t="n"/>
    </row>
    <row r="27" ht="39" customHeight="1" s="94">
      <c r="A27" s="10" t="inlineStr">
        <is>
          <t>Q23</t>
        </is>
      </c>
      <c r="B27" s="10" t="inlineStr">
        <is>
          <t>Thanh toán</t>
        </is>
      </c>
      <c r="C27" s="10" t="inlineStr">
        <is>
          <t>Hoàn tiền/hủy giao dịch đã thu</t>
        </is>
      </c>
      <c r="D27" s="56" t="inlineStr">
        <is>
          <t>Quản trị</t>
        </is>
      </c>
      <c r="E27" s="55" t="inlineStr">
        <is>
          <t>Xem</t>
        </is>
      </c>
      <c r="F27" s="55" t="inlineStr">
        <is>
          <t>Xem</t>
        </is>
      </c>
      <c r="G27" s="55" t="inlineStr">
        <is>
          <t>Xem</t>
        </is>
      </c>
      <c r="H27" s="55" t="inlineStr">
        <is>
          <t>Xem</t>
        </is>
      </c>
      <c r="I27" s="55" t="inlineStr">
        <is>
          <t>Xem</t>
        </is>
      </c>
      <c r="J27" s="55" t="inlineStr">
        <is>
          <t>Xem</t>
        </is>
      </c>
      <c r="K27" s="55" t="inlineStr">
        <is>
          <t>Thực hiện</t>
        </is>
      </c>
      <c r="L27" s="23" t="n"/>
      <c r="M27" s="56" t="inlineStr">
        <is>
          <t>Đã chốt</t>
        </is>
      </c>
      <c r="N27" s="57" t="n"/>
      <c r="O27" s="57" t="n"/>
      <c r="P27" s="57" t="n"/>
      <c r="Q27" s="57" t="n"/>
      <c r="R27" s="57" t="n"/>
      <c r="S27" s="57" t="n"/>
      <c r="T27" s="57" t="n"/>
      <c r="U27" s="57" t="n"/>
      <c r="V27" s="57" t="n"/>
      <c r="W27" s="57" t="n"/>
      <c r="X27" s="57" t="n"/>
      <c r="Y27" s="57" t="n"/>
      <c r="Z27" s="57" t="n"/>
    </row>
    <row r="28" ht="39" customHeight="1" s="94">
      <c r="A28" s="16" t="inlineStr">
        <is>
          <t>Q24</t>
        </is>
      </c>
      <c r="B28" s="16" t="inlineStr">
        <is>
          <t>Cổng ra</t>
        </is>
      </c>
      <c r="C28" s="16" t="inlineStr">
        <is>
          <t>Xác nhận đủ điều kiện tài chính</t>
        </is>
      </c>
      <c r="D28" s="16" t="inlineStr">
        <is>
          <t>CCKB</t>
        </is>
      </c>
      <c r="E28" s="55" t="inlineStr">
        <is>
          <t>Xem</t>
        </is>
      </c>
      <c r="F28" s="55" t="inlineStr">
        <is>
          <t>Xem</t>
        </is>
      </c>
      <c r="G28" s="55" t="inlineStr">
        <is>
          <t>Thực hiện</t>
        </is>
      </c>
      <c r="H28" s="55" t="inlineStr">
        <is>
          <t>Thực hiện</t>
        </is>
      </c>
      <c r="I28" s="55" t="inlineStr">
        <is>
          <t>Xem</t>
        </is>
      </c>
      <c r="J28" s="55" t="inlineStr">
        <is>
          <t>Xem</t>
        </is>
      </c>
      <c r="K28" s="55" t="inlineStr">
        <is>
          <t>Thực hiện</t>
        </is>
      </c>
      <c r="L28" s="23" t="n"/>
      <c r="M28" s="56" t="inlineStr">
        <is>
          <t>Đã chốt</t>
        </is>
      </c>
      <c r="N28" s="57" t="n"/>
      <c r="O28" s="57" t="n"/>
      <c r="P28" s="57" t="n"/>
      <c r="Q28" s="57" t="n"/>
      <c r="R28" s="57" t="n"/>
      <c r="S28" s="57" t="n"/>
      <c r="T28" s="57" t="n"/>
      <c r="U28" s="57" t="n"/>
      <c r="V28" s="57" t="n"/>
      <c r="W28" s="57" t="n"/>
      <c r="X28" s="57" t="n"/>
      <c r="Y28" s="57" t="n"/>
      <c r="Z28" s="57" t="n"/>
    </row>
    <row r="29" ht="39" customHeight="1" s="94">
      <c r="A29" s="10" t="inlineStr">
        <is>
          <t>Q25</t>
        </is>
      </c>
      <c r="B29" s="10" t="inlineStr">
        <is>
          <t>Cổng ra</t>
        </is>
      </c>
      <c r="C29" s="10" t="inlineStr">
        <is>
          <t>Xác nhận xe/container thực tế ra</t>
        </is>
      </c>
      <c r="D29" s="10" t="inlineStr">
        <is>
          <t>An ninh</t>
        </is>
      </c>
      <c r="E29" s="55" t="inlineStr">
        <is>
          <t>Thực hiện</t>
        </is>
      </c>
      <c r="F29" s="55" t="inlineStr">
        <is>
          <t>Thực hiện</t>
        </is>
      </c>
      <c r="G29" s="55" t="inlineStr">
        <is>
          <t>Xem</t>
        </is>
      </c>
      <c r="H29" s="55" t="inlineStr">
        <is>
          <t>Xem</t>
        </is>
      </c>
      <c r="I29" s="55" t="inlineStr">
        <is>
          <t>Xem</t>
        </is>
      </c>
      <c r="J29" s="55" t="inlineStr">
        <is>
          <t>Xem</t>
        </is>
      </c>
      <c r="K29" s="55" t="inlineStr">
        <is>
          <t>Thực hiện</t>
        </is>
      </c>
      <c r="L29" s="23" t="n"/>
      <c r="M29" s="56" t="inlineStr">
        <is>
          <t>Đã chốt</t>
        </is>
      </c>
      <c r="N29" s="57" t="n"/>
      <c r="O29" s="57" t="n"/>
      <c r="P29" s="57" t="n"/>
      <c r="Q29" s="57" t="n"/>
      <c r="R29" s="57" t="n"/>
      <c r="S29" s="57" t="n"/>
      <c r="T29" s="57" t="n"/>
      <c r="U29" s="57" t="n"/>
      <c r="V29" s="57" t="n"/>
      <c r="W29" s="57" t="n"/>
      <c r="X29" s="57" t="n"/>
      <c r="Y29" s="57" t="n"/>
      <c r="Z29" s="57" t="n"/>
    </row>
    <row r="30" ht="39" customHeight="1" s="94">
      <c r="A30" s="16" t="inlineStr">
        <is>
          <t>Q26</t>
        </is>
      </c>
      <c r="B30" s="16" t="inlineStr">
        <is>
          <t>Cổng ra</t>
        </is>
      </c>
      <c r="C30" s="16" t="inlineStr">
        <is>
          <t>Hủy trạng thái duyệt ra/khóa xuất ngoại lệ</t>
        </is>
      </c>
      <c r="D30" s="58" t="inlineStr">
        <is>
          <t>CCKB</t>
        </is>
      </c>
      <c r="E30" s="55" t="inlineStr">
        <is>
          <t>Xem</t>
        </is>
      </c>
      <c r="F30" s="55" t="inlineStr">
        <is>
          <t>Xem</t>
        </is>
      </c>
      <c r="G30" s="55" t="inlineStr">
        <is>
          <t>Thực hiện</t>
        </is>
      </c>
      <c r="H30" s="55" t="inlineStr">
        <is>
          <t>Thực hiện</t>
        </is>
      </c>
      <c r="I30" s="55" t="inlineStr">
        <is>
          <t>Xem</t>
        </is>
      </c>
      <c r="J30" s="55" t="inlineStr">
        <is>
          <t>Xem</t>
        </is>
      </c>
      <c r="K30" s="55" t="inlineStr">
        <is>
          <t>Thực hiện</t>
        </is>
      </c>
      <c r="L30" s="23" t="n"/>
      <c r="M30" s="56" t="inlineStr">
        <is>
          <t>Đã chốt</t>
        </is>
      </c>
      <c r="N30" s="57" t="n"/>
      <c r="O30" s="57" t="n"/>
      <c r="P30" s="57" t="n"/>
      <c r="Q30" s="57" t="n"/>
      <c r="R30" s="57" t="n"/>
      <c r="S30" s="57" t="n"/>
      <c r="T30" s="57" t="n"/>
      <c r="U30" s="57" t="n"/>
      <c r="V30" s="57" t="n"/>
      <c r="W30" s="57" t="n"/>
      <c r="X30" s="57" t="n"/>
      <c r="Y30" s="57" t="n"/>
      <c r="Z30" s="57" t="n"/>
    </row>
    <row r="31" ht="39" customHeight="1" s="94">
      <c r="A31" s="10" t="inlineStr">
        <is>
          <t>Q27</t>
        </is>
      </c>
      <c r="B31" s="10" t="inlineStr">
        <is>
          <t>Quản trị</t>
        </is>
      </c>
      <c r="C31" s="10" t="inlineStr">
        <is>
          <t>Tạo/khóa tài khoản và cấp vai trò</t>
        </is>
      </c>
      <c r="D31" s="10" t="inlineStr">
        <is>
          <t>Quản trị</t>
        </is>
      </c>
      <c r="E31" s="55" t="inlineStr">
        <is>
          <t>Không</t>
        </is>
      </c>
      <c r="F31" s="55" t="inlineStr">
        <is>
          <t>Không</t>
        </is>
      </c>
      <c r="G31" s="55" t="inlineStr">
        <is>
          <t>Không</t>
        </is>
      </c>
      <c r="H31" s="55" t="inlineStr">
        <is>
          <t>Không</t>
        </is>
      </c>
      <c r="I31" s="55" t="inlineStr">
        <is>
          <t>Không</t>
        </is>
      </c>
      <c r="J31" s="55" t="inlineStr">
        <is>
          <t>Không</t>
        </is>
      </c>
      <c r="K31" s="55" t="inlineStr">
        <is>
          <t>Thực hiện</t>
        </is>
      </c>
      <c r="L31" s="23" t="n"/>
      <c r="M31" s="56" t="inlineStr">
        <is>
          <t>Đã chốt</t>
        </is>
      </c>
      <c r="N31" s="57" t="n"/>
      <c r="O31" s="57" t="n"/>
      <c r="P31" s="57" t="n"/>
      <c r="Q31" s="57" t="n"/>
      <c r="R31" s="57" t="n"/>
      <c r="S31" s="57" t="n"/>
      <c r="T31" s="57" t="n"/>
      <c r="U31" s="57" t="n"/>
      <c r="V31" s="57" t="n"/>
      <c r="W31" s="57" t="n"/>
      <c r="X31" s="57" t="n"/>
      <c r="Y31" s="57" t="n"/>
      <c r="Z31" s="57" t="n"/>
    </row>
    <row r="32" ht="39" customHeight="1" s="94">
      <c r="A32" s="16" t="inlineStr">
        <is>
          <t>Q28</t>
        </is>
      </c>
      <c r="B32" s="16" t="inlineStr">
        <is>
          <t>Quản trị</t>
        </is>
      </c>
      <c r="C32" s="16" t="inlineStr">
        <is>
          <t>Xem nhật ký chỉnh sửa/audit</t>
        </is>
      </c>
      <c r="D32" s="16" t="inlineStr">
        <is>
          <t>Quản trị</t>
        </is>
      </c>
      <c r="E32" s="55" t="inlineStr">
        <is>
          <t>Không</t>
        </is>
      </c>
      <c r="F32" s="55" t="inlineStr">
        <is>
          <t>Không</t>
        </is>
      </c>
      <c r="G32" s="55" t="inlineStr">
        <is>
          <t>Không</t>
        </is>
      </c>
      <c r="H32" s="55" t="inlineStr">
        <is>
          <t>Không</t>
        </is>
      </c>
      <c r="I32" s="55" t="inlineStr">
        <is>
          <t>Không</t>
        </is>
      </c>
      <c r="J32" s="55" t="inlineStr">
        <is>
          <t>Không</t>
        </is>
      </c>
      <c r="K32" s="55" t="inlineStr">
        <is>
          <t>Thực hiện</t>
        </is>
      </c>
      <c r="L32" s="23" t="n"/>
      <c r="M32" s="56" t="inlineStr">
        <is>
          <t>Đã chốt</t>
        </is>
      </c>
      <c r="N32" s="57" t="n"/>
      <c r="O32" s="57" t="n"/>
      <c r="P32" s="57" t="n"/>
      <c r="Q32" s="57" t="n"/>
      <c r="R32" s="57" t="n"/>
      <c r="S32" s="57" t="n"/>
      <c r="T32" s="57" t="n"/>
      <c r="U32" s="57" t="n"/>
      <c r="V32" s="57" t="n"/>
      <c r="W32" s="57" t="n"/>
      <c r="X32" s="57" t="n"/>
      <c r="Y32" s="57" t="n"/>
      <c r="Z32" s="57" t="n"/>
    </row>
    <row r="33" ht="39" customHeight="1" s="94">
      <c r="A33" s="10" t="inlineStr">
        <is>
          <t>Q29</t>
        </is>
      </c>
      <c r="B33" s="10" t="inlineStr">
        <is>
          <t>Báo cáo</t>
        </is>
      </c>
      <c r="C33" s="10" t="inlineStr">
        <is>
          <t>Xem doanh thu theo ca/bộ phận/người thu</t>
        </is>
      </c>
      <c r="D33" s="10" t="inlineStr">
        <is>
          <t>Quản trị</t>
        </is>
      </c>
      <c r="E33" s="55" t="inlineStr">
        <is>
          <t>Không</t>
        </is>
      </c>
      <c r="F33" s="55" t="inlineStr">
        <is>
          <t>Không</t>
        </is>
      </c>
      <c r="G33" s="55" t="inlineStr">
        <is>
          <t>Không</t>
        </is>
      </c>
      <c r="H33" s="55" t="inlineStr">
        <is>
          <t>Không</t>
        </is>
      </c>
      <c r="I33" s="55" t="inlineStr">
        <is>
          <t>Không</t>
        </is>
      </c>
      <c r="J33" s="55" t="inlineStr">
        <is>
          <t>Không</t>
        </is>
      </c>
      <c r="K33" s="55" t="inlineStr">
        <is>
          <t>Thực hiện</t>
        </is>
      </c>
      <c r="L33" s="23" t="n"/>
      <c r="M33" s="56" t="inlineStr">
        <is>
          <t>Đã chốt</t>
        </is>
      </c>
      <c r="N33" s="57" t="n"/>
      <c r="O33" s="57" t="n"/>
      <c r="P33" s="57" t="n"/>
      <c r="Q33" s="57" t="n"/>
      <c r="R33" s="57" t="n"/>
      <c r="S33" s="57" t="n"/>
      <c r="T33" s="57" t="n"/>
      <c r="U33" s="57" t="n"/>
      <c r="V33" s="57" t="n"/>
      <c r="W33" s="57" t="n"/>
      <c r="X33" s="57" t="n"/>
      <c r="Y33" s="57" t="n"/>
      <c r="Z33" s="57" t="n"/>
    </row>
    <row r="34" ht="39" customHeight="1" s="94">
      <c r="A34" s="16" t="inlineStr">
        <is>
          <t>Q30</t>
        </is>
      </c>
      <c r="B34" s="16" t="inlineStr">
        <is>
          <t>Báo cáo</t>
        </is>
      </c>
      <c r="C34" s="16" t="inlineStr">
        <is>
          <t>Xuất Excel/báo cáo phục vụ kiểm toán</t>
        </is>
      </c>
      <c r="D34" s="16" t="inlineStr">
        <is>
          <t>Chờ phân quyền</t>
        </is>
      </c>
      <c r="E34" s="55" t="inlineStr">
        <is>
          <t>Không</t>
        </is>
      </c>
      <c r="F34" s="55" t="inlineStr">
        <is>
          <t>Không</t>
        </is>
      </c>
      <c r="G34" s="55" t="inlineStr">
        <is>
          <t>Không</t>
        </is>
      </c>
      <c r="H34" s="55" t="inlineStr">
        <is>
          <t>Không</t>
        </is>
      </c>
      <c r="I34" s="55" t="inlineStr">
        <is>
          <t>Không</t>
        </is>
      </c>
      <c r="J34" s="55" t="inlineStr">
        <is>
          <t>Không</t>
        </is>
      </c>
      <c r="K34" s="55" t="inlineStr">
        <is>
          <t>Thực hiện</t>
        </is>
      </c>
      <c r="L34" s="23" t="n"/>
      <c r="M34" s="56" t="inlineStr">
        <is>
          <t>Đã chốt</t>
        </is>
      </c>
      <c r="N34" s="57" t="n"/>
      <c r="O34" s="57" t="n"/>
      <c r="P34" s="57" t="n"/>
      <c r="Q34" s="57" t="n"/>
      <c r="R34" s="57" t="n"/>
      <c r="S34" s="57" t="n"/>
      <c r="T34" s="57" t="n"/>
      <c r="U34" s="57" t="n"/>
      <c r="V34" s="57" t="n"/>
      <c r="W34" s="57" t="n"/>
      <c r="X34" s="57" t="n"/>
      <c r="Y34" s="57" t="n"/>
      <c r="Z34" s="57" t="n"/>
    </row>
    <row r="35" ht="61.5" customHeight="1" s="94">
      <c r="A35" s="10" t="inlineStr">
        <is>
          <t>Q31</t>
        </is>
      </c>
      <c r="B35" s="10" t="inlineStr">
        <is>
          <t>Cắm điện dự kiến</t>
        </is>
      </c>
      <c r="C35" s="10" t="inlineStr">
        <is>
          <t>Tạo yêu cầu cắm điện cho cont chưa vào (một hoặc nhiều số)</t>
        </is>
      </c>
      <c r="D35" s="10" t="inlineStr">
        <is>
          <t>CCKB</t>
        </is>
      </c>
      <c r="E35" s="23" t="n"/>
      <c r="F35" s="23" t="n"/>
      <c r="G35" s="23" t="n"/>
      <c r="H35" s="23" t="n"/>
      <c r="I35" s="23" t="n"/>
      <c r="J35" s="23" t="n"/>
      <c r="K35" s="55" t="inlineStr">
        <is>
          <t>Thực hiện</t>
        </is>
      </c>
      <c r="L35" s="23" t="inlineStr">
        <is>
          <t>Đề xuất NV/TBP CCKB thực hiện; chưa chốt chi tiết vai trò.</t>
        </is>
      </c>
      <c r="M35" s="56" t="inlineStr">
        <is>
          <t>Đã chốt</t>
        </is>
      </c>
      <c r="N35" s="57" t="n"/>
      <c r="O35" s="57" t="n"/>
      <c r="P35" s="57" t="n"/>
      <c r="Q35" s="57" t="n"/>
      <c r="R35" s="57" t="n"/>
      <c r="S35" s="57" t="n"/>
      <c r="T35" s="57" t="n"/>
      <c r="U35" s="57" t="n"/>
      <c r="V35" s="57" t="n"/>
      <c r="W35" s="57" t="n"/>
      <c r="X35" s="57" t="n"/>
      <c r="Y35" s="57" t="n"/>
      <c r="Z35" s="57" t="n"/>
    </row>
    <row r="36" ht="61.5" customHeight="1" s="94">
      <c r="A36" s="10" t="inlineStr">
        <is>
          <t>Q32</t>
        </is>
      </c>
      <c r="B36" s="10" t="inlineStr">
        <is>
          <t>Cắm điện dự kiến</t>
        </is>
      </c>
      <c r="C36" s="10" t="inlineStr">
        <is>
          <t>Sửa hoặc hủy yêu cầu điện dự kiến khi khách đổi số cont</t>
        </is>
      </c>
      <c r="D36" s="10" t="inlineStr">
        <is>
          <t>CCKB</t>
        </is>
      </c>
      <c r="E36" s="23" t="n"/>
      <c r="F36" s="23" t="n"/>
      <c r="G36" s="23" t="n"/>
      <c r="H36" s="23" t="n"/>
      <c r="I36" s="23" t="n"/>
      <c r="J36" s="23" t="n"/>
      <c r="K36" s="55" t="inlineStr">
        <is>
          <t>Thực hiện</t>
        </is>
      </c>
      <c r="L36" s="23" t="inlineStr">
        <is>
          <t>Cần chốt quyền, lưu lịch sử và thông báo An ninh.</t>
        </is>
      </c>
      <c r="M36" s="56" t="inlineStr">
        <is>
          <t>Đã chốt</t>
        </is>
      </c>
      <c r="N36" s="57" t="n"/>
      <c r="O36" s="57" t="n"/>
      <c r="P36" s="57" t="n"/>
      <c r="Q36" s="57" t="n"/>
      <c r="R36" s="57" t="n"/>
      <c r="S36" s="57" t="n"/>
      <c r="T36" s="57" t="n"/>
      <c r="U36" s="57" t="n"/>
      <c r="V36" s="57" t="n"/>
      <c r="W36" s="57" t="n"/>
      <c r="X36" s="57" t="n"/>
      <c r="Y36" s="57" t="n"/>
      <c r="Z36" s="57" t="n"/>
    </row>
    <row r="37" ht="61.5" customHeight="1" s="94">
      <c r="A37" s="10" t="inlineStr">
        <is>
          <t>Q33</t>
        </is>
      </c>
      <c r="B37" s="10" t="inlineStr">
        <is>
          <t>Cổng vào</t>
        </is>
      </c>
      <c r="C37" s="10" t="inlineStr">
        <is>
          <t>Xem cảnh báo danh sách cont có yêu cầu cắm điện dự kiến</t>
        </is>
      </c>
      <c r="D37" s="10" t="inlineStr">
        <is>
          <t>An ninh</t>
        </is>
      </c>
      <c r="E37" s="23" t="n"/>
      <c r="F37" s="23" t="n"/>
      <c r="G37" s="23" t="n"/>
      <c r="H37" s="23" t="n"/>
      <c r="I37" s="23" t="n"/>
      <c r="J37" s="23" t="n"/>
      <c r="K37" s="55" t="inlineStr">
        <is>
          <t>Thực hiện</t>
        </is>
      </c>
      <c r="L37" s="23" t="inlineStr">
        <is>
          <t>Đã chốt An ninh cần nhìn thấy khi nhập container.</t>
        </is>
      </c>
      <c r="M37" s="56" t="inlineStr">
        <is>
          <t>Đã chốt</t>
        </is>
      </c>
      <c r="N37" s="57" t="n"/>
      <c r="O37" s="57" t="n"/>
      <c r="P37" s="57" t="n"/>
      <c r="Q37" s="57" t="n"/>
      <c r="R37" s="57" t="n"/>
      <c r="S37" s="57" t="n"/>
      <c r="T37" s="57" t="n"/>
      <c r="U37" s="57" t="n"/>
      <c r="V37" s="57" t="n"/>
      <c r="W37" s="57" t="n"/>
      <c r="X37" s="57" t="n"/>
      <c r="Y37" s="57" t="n"/>
      <c r="Z37" s="57" t="n"/>
    </row>
    <row r="38" ht="61.5" customHeight="1" s="94">
      <c r="A38" s="10" t="inlineStr">
        <is>
          <t>Q34</t>
        </is>
      </c>
      <c r="B38" s="10" t="inlineStr">
        <is>
          <t>Cổng vào</t>
        </is>
      </c>
      <c r="C38" s="10" t="inlineStr">
        <is>
          <t>Xác nhận ghép số cont dự kiến với lượt cont vào thực tế</t>
        </is>
      </c>
      <c r="D38" s="10" t="inlineStr">
        <is>
          <t>An ninh + CCKB</t>
        </is>
      </c>
      <c r="E38" s="23" t="n"/>
      <c r="F38" s="23" t="n"/>
      <c r="G38" s="23" t="n"/>
      <c r="H38" s="23" t="n"/>
      <c r="I38" s="23" t="n"/>
      <c r="J38" s="23" t="n"/>
      <c r="K38" s="55" t="inlineStr">
        <is>
          <t>Thực hiện</t>
        </is>
      </c>
      <c r="L38" s="23" t="inlineStr">
        <is>
          <t>Quy tắc ghép tự động/thủ công chưa chốt.</t>
        </is>
      </c>
      <c r="M38" s="56" t="inlineStr">
        <is>
          <t>Đã chốt</t>
        </is>
      </c>
      <c r="N38" s="57" t="n"/>
      <c r="O38" s="57" t="n"/>
      <c r="P38" s="57" t="n"/>
      <c r="Q38" s="57" t="n"/>
      <c r="R38" s="57" t="n"/>
      <c r="S38" s="57" t="n"/>
      <c r="T38" s="57" t="n"/>
      <c r="U38" s="57" t="n"/>
      <c r="V38" s="57" t="n"/>
      <c r="W38" s="57" t="n"/>
      <c r="X38" s="57" t="n"/>
      <c r="Y38" s="57" t="n"/>
      <c r="Z38" s="57" t="n"/>
    </row>
    <row r="39" ht="61.5" customHeight="1" s="94">
      <c r="A39" s="10" t="inlineStr">
        <is>
          <t>Q35</t>
        </is>
      </c>
      <c r="B39" s="10" t="inlineStr">
        <is>
          <t>Container</t>
        </is>
      </c>
      <c r="C39" s="10" t="inlineStr">
        <is>
          <t>Sửa số cont đã nhập sai và ghi nhận đã báo CCKB</t>
        </is>
      </c>
      <c r="D39" s="10" t="inlineStr">
        <is>
          <t>An ninh</t>
        </is>
      </c>
      <c r="E39" s="23" t="n"/>
      <c r="F39" s="23" t="n"/>
      <c r="G39" s="23" t="n"/>
      <c r="H39" s="23" t="n"/>
      <c r="I39" s="23" t="n"/>
      <c r="J39" s="23" t="n"/>
      <c r="K39" s="55" t="inlineStr">
        <is>
          <t>Thực hiện</t>
        </is>
      </c>
      <c r="L39" s="23" t="inlineStr">
        <is>
          <t>Đã chốt bộ phận; cần quy định khi đã thu tiền.</t>
        </is>
      </c>
      <c r="M39" s="56" t="inlineStr">
        <is>
          <t>Đã chốt</t>
        </is>
      </c>
      <c r="N39" s="57" t="n"/>
      <c r="O39" s="57" t="n"/>
      <c r="P39" s="57" t="n"/>
      <c r="Q39" s="57" t="n"/>
      <c r="R39" s="57" t="n"/>
      <c r="S39" s="57" t="n"/>
      <c r="T39" s="57" t="n"/>
      <c r="U39" s="57" t="n"/>
      <c r="V39" s="57" t="n"/>
      <c r="W39" s="57" t="n"/>
      <c r="X39" s="57" t="n"/>
      <c r="Y39" s="57" t="n"/>
      <c r="Z39" s="57" t="n"/>
    </row>
    <row r="40" ht="61.5" customHeight="1" s="94">
      <c r="A40" s="10" t="inlineStr">
        <is>
          <t>Q36</t>
        </is>
      </c>
      <c r="B40" s="10" t="inlineStr">
        <is>
          <t>Container</t>
        </is>
      </c>
      <c r="C40" s="10" t="inlineStr">
        <is>
          <t>Tiếp nhận cảnh báo sửa số cont, kiểm tra và cập nhật yêu cầu dự kiến</t>
        </is>
      </c>
      <c r="D40" s="10" t="inlineStr">
        <is>
          <t>CCKB</t>
        </is>
      </c>
      <c r="E40" s="23" t="n"/>
      <c r="F40" s="23" t="n"/>
      <c r="G40" s="23" t="n"/>
      <c r="H40" s="23" t="n"/>
      <c r="I40" s="23" t="n"/>
      <c r="J40" s="23" t="n"/>
      <c r="K40" s="55" t="inlineStr">
        <is>
          <t>Thực hiện</t>
        </is>
      </c>
      <c r="L40" s="23" t="inlineStr">
        <is>
          <t>Quy trình xác nhận và phương thức báo lại cần chốt.</t>
        </is>
      </c>
      <c r="M40" s="56" t="inlineStr">
        <is>
          <t>Đã chốt</t>
        </is>
      </c>
      <c r="N40" s="57" t="n"/>
      <c r="O40" s="57" t="n"/>
      <c r="P40" s="57" t="n"/>
      <c r="Q40" s="57" t="n"/>
      <c r="R40" s="57" t="n"/>
      <c r="S40" s="57" t="n"/>
      <c r="T40" s="57" t="n"/>
      <c r="U40" s="57" t="n"/>
      <c r="V40" s="57" t="n"/>
      <c r="W40" s="57" t="n"/>
      <c r="X40" s="57" t="n"/>
      <c r="Y40" s="57" t="n"/>
      <c r="Z40" s="57" t="n"/>
    </row>
    <row r="41" ht="61.5" customHeight="1" s="94">
      <c r="A41" s="10" t="inlineStr">
        <is>
          <t>Q37</t>
        </is>
      </c>
      <c r="B41" s="10" t="inlineStr">
        <is>
          <t>Chứng cứ</t>
        </is>
      </c>
      <c r="C41" s="10" t="inlineStr">
        <is>
          <t>Đính kèm ảnh/video nhận diện sai số container</t>
        </is>
      </c>
      <c r="D41" s="10" t="inlineStr">
        <is>
          <t>An ninh / CCKB</t>
        </is>
      </c>
      <c r="E41" s="23" t="n"/>
      <c r="F41" s="23" t="n"/>
      <c r="G41" s="23" t="n"/>
      <c r="H41" s="23" t="n"/>
      <c r="I41" s="23" t="n"/>
      <c r="J41" s="23" t="n"/>
      <c r="K41" s="55" t="inlineStr">
        <is>
          <t>Thực hiện</t>
        </is>
      </c>
      <c r="L41" s="23" t="inlineStr">
        <is>
          <t>Cần chốt bắt buộc hay không, kích thước và lưu trữ.</t>
        </is>
      </c>
      <c r="M41" s="56" t="inlineStr">
        <is>
          <t>Đã chốt</t>
        </is>
      </c>
      <c r="N41" s="57" t="n"/>
      <c r="O41" s="57" t="n"/>
      <c r="P41" s="57" t="n"/>
      <c r="Q41" s="57" t="n"/>
      <c r="R41" s="57" t="n"/>
      <c r="S41" s="57" t="n"/>
      <c r="T41" s="57" t="n"/>
      <c r="U41" s="57" t="n"/>
      <c r="V41" s="57" t="n"/>
      <c r="W41" s="57" t="n"/>
      <c r="X41" s="57" t="n"/>
      <c r="Y41" s="57" t="n"/>
      <c r="Z41" s="57" t="n"/>
    </row>
    <row r="42" ht="61.5" customHeight="1" s="94">
      <c r="A42" s="10" t="inlineStr">
        <is>
          <t>Q38</t>
        </is>
      </c>
      <c r="B42" s="10" t="inlineStr">
        <is>
          <t>Ngoại lệ</t>
        </is>
      </c>
      <c r="C42" s="10" t="inlineStr">
        <is>
          <t>Duyệt sửa số cont sau thanh toán/đã ra và đối soát phí</t>
        </is>
      </c>
      <c r="D42" s="10" t="inlineStr">
        <is>
          <t>Chờ phân quyền</t>
        </is>
      </c>
      <c r="E42" s="23" t="n"/>
      <c r="F42" s="23" t="n"/>
      <c r="G42" s="23" t="n"/>
      <c r="H42" s="23" t="n"/>
      <c r="I42" s="23" t="n"/>
      <c r="J42" s="23" t="n"/>
      <c r="K42" s="55" t="inlineStr">
        <is>
          <t>Thực hiện</t>
        </is>
      </c>
      <c r="L42" s="23" t="inlineStr">
        <is>
          <t>Không được tự động đổi lịch sử khoản thu đã chốt.</t>
        </is>
      </c>
      <c r="M42" s="56" t="inlineStr">
        <is>
          <t>Đã chốt</t>
        </is>
      </c>
      <c r="N42" s="57" t="n"/>
      <c r="O42" s="57" t="n"/>
      <c r="P42" s="57" t="n"/>
      <c r="Q42" s="57" t="n"/>
      <c r="R42" s="57" t="n"/>
      <c r="S42" s="57" t="n"/>
      <c r="T42" s="57" t="n"/>
      <c r="U42" s="57" t="n"/>
      <c r="V42" s="57" t="n"/>
      <c r="W42" s="57" t="n"/>
      <c r="X42" s="57" t="n"/>
      <c r="Y42" s="57" t="n"/>
      <c r="Z42" s="57" t="n"/>
    </row>
    <row r="43" ht="61.5" customHeight="1" s="94">
      <c r="A43" s="10" t="inlineStr">
        <is>
          <t>Q39</t>
        </is>
      </c>
      <c r="B43" s="10" t="inlineStr">
        <is>
          <t>Đối soát</t>
        </is>
      </c>
      <c r="C43" s="10" t="inlineStr">
        <is>
          <t>Xem và xác nhận đã xử lý cảnh báo sai số cont/không ghép được yêu cầu dự kiến</t>
        </is>
      </c>
      <c r="D43" s="10" t="inlineStr">
        <is>
          <t>CCKB + An ninh</t>
        </is>
      </c>
      <c r="E43" s="23" t="n"/>
      <c r="F43" s="23" t="n"/>
      <c r="G43" s="23" t="n"/>
      <c r="H43" s="23" t="n"/>
      <c r="I43" s="23" t="n"/>
      <c r="J43" s="23" t="n"/>
      <c r="K43" s="55" t="inlineStr">
        <is>
          <t>Thực hiện</t>
        </is>
      </c>
      <c r="L43" s="23" t="inlineStr">
        <is>
          <t>Cần trạng thái giao việc và phản hồi đóng thông báo.</t>
        </is>
      </c>
      <c r="M43" s="56" t="inlineStr">
        <is>
          <t>Đã chốt</t>
        </is>
      </c>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M$43"/>
  <mergeCells count="2">
    <mergeCell ref="A2:M2"/>
    <mergeCell ref="A1:M1"/>
  </mergeCells>
  <dataValidations count="2">
    <dataValidation sqref="E5:K43" showDropDown="0" showInputMessage="1" showErrorMessage="0" allowBlank="1" prompt="Chọn từ danh sách - Có thể chọn từ danh sách hoặc điền nội dung chi tiết ở cột bên cạnh." type="list">
      <formula1>"Thực hiện,Xem,Phê duyệt,Không,Theo quy trình"</formula1>
    </dataValidation>
    <dataValidation sqref="M5:M43" showDropDown="0" showInputMessage="1" showErrorMessage="0" allowBlank="1" prompt="Chọn từ danh sách - Có thể chọn từ danh sách hoặc điền nội dung chi tiết ở cột bên cạnh." type="list">
      <formula1>"Chờ xác nhận,Đã chốt,Không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8.xml><?xml version="1.0" encoding="utf-8"?>
<worksheet xmlns="http://schemas.openxmlformats.org/spreadsheetml/2006/main">
  <sheetPr>
    <tabColor rgb="FF223873"/>
    <outlinePr summaryBelow="1" summaryRight="1"/>
    <pageSetUpPr fitToPage="1"/>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94" min="1" max="1"/>
    <col width="25" customWidth="1" style="94" min="2" max="2"/>
    <col width="80" customWidth="1" style="94" min="3" max="3"/>
    <col width="65" customWidth="1" style="94" min="4" max="4"/>
    <col width="81" customWidth="1" style="94" min="5" max="5"/>
    <col width="12" customWidth="1" style="94" min="6" max="6"/>
    <col width="71" customWidth="1" style="94" min="7" max="7"/>
    <col width="20" customWidth="1" style="94" min="8" max="8"/>
    <col width="65" customWidth="1" style="94" min="9" max="9"/>
  </cols>
  <sheetData>
    <row r="1" ht="36" customHeight="1" s="94">
      <c r="A1" s="95" t="inlineStr">
        <is>
          <t>BỘ TÌNH HUỐNG ĐỂ XÁC NHẬN QUY TẮC VÀ NGHIỆM THU</t>
        </is>
      </c>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Kịch bản chưa được chốt được ghi rõ là “Cần xác nhận”; ô màu vàng để bộ phận điền kết quả chuẩn trước khi kiểm thử.</t>
        </is>
      </c>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Mã</t>
        </is>
      </c>
      <c r="B4" s="6" t="inlineStr">
        <is>
          <t>Phân hệ</t>
        </is>
      </c>
      <c r="C4" s="6" t="inlineStr">
        <is>
          <t>Tình huống nghiệp vụ</t>
        </is>
      </c>
      <c r="D4" s="6" t="inlineStr">
        <is>
          <t>Dữ liệu đầu vào minh họa</t>
        </is>
      </c>
      <c r="E4" s="6" t="inlineStr">
        <is>
          <t>Kỳ vọng hiện có / cần xác nhận</t>
        </is>
      </c>
      <c r="F4" s="6" t="inlineStr">
        <is>
          <t>Mức độ</t>
        </is>
      </c>
      <c r="G4" s="6" t="inlineStr">
        <is>
          <t>Kết quả chuẩn Sơn Cảng (điền)</t>
        </is>
      </c>
      <c r="H4" s="6" t="inlineStr">
        <is>
          <t>Tình trạng</t>
        </is>
      </c>
      <c r="I4" s="6" t="inlineStr">
        <is>
          <t>Ghi chú kiểm thử (điền)</t>
        </is>
      </c>
      <c r="J4" s="57" t="n"/>
      <c r="K4" s="57" t="n"/>
      <c r="L4" s="57" t="n"/>
      <c r="M4" s="57" t="n"/>
      <c r="N4" s="57" t="n"/>
      <c r="O4" s="57" t="n"/>
      <c r="P4" s="57" t="n"/>
      <c r="Q4" s="57" t="n"/>
      <c r="R4" s="57" t="n"/>
      <c r="S4" s="57" t="n"/>
      <c r="T4" s="57" t="n"/>
      <c r="U4" s="57" t="n"/>
      <c r="V4" s="57" t="n"/>
      <c r="W4" s="57" t="n"/>
      <c r="X4" s="57" t="n"/>
      <c r="Y4" s="57" t="n"/>
      <c r="Z4" s="57" t="n"/>
    </row>
    <row r="5" ht="46.5" customHeight="1" s="94">
      <c r="A5" s="10" t="inlineStr">
        <is>
          <t>TC01</t>
        </is>
      </c>
      <c r="B5" s="10" t="inlineStr">
        <is>
          <t>Vé</t>
        </is>
      </c>
      <c r="C5" s="10" t="inlineStr">
        <is>
          <t>Xe container lạnh có cont vào bãi</t>
        </is>
      </c>
      <c r="D5" s="10" t="inlineStr">
        <is>
          <t>Loại CONT_LANH, có SO_CONTAINER</t>
        </is>
      </c>
      <c r="E5" s="10" t="inlineStr">
        <is>
          <t>Vé vào 250.000đ; An ninh thu</t>
        </is>
      </c>
      <c r="F5" s="10" t="inlineStr">
        <is>
          <t>P1</t>
        </is>
      </c>
      <c r="G5" s="23" t="n"/>
      <c r="H5" s="23" t="inlineStr">
        <is>
          <t>Có quy tắc</t>
        </is>
      </c>
      <c r="I5" s="23" t="n"/>
      <c r="J5" s="57" t="n"/>
      <c r="K5" s="57" t="n"/>
      <c r="L5" s="57" t="n"/>
      <c r="M5" s="57" t="n"/>
      <c r="N5" s="57" t="n"/>
      <c r="O5" s="57" t="n"/>
      <c r="P5" s="57" t="n"/>
      <c r="Q5" s="57" t="n"/>
      <c r="R5" s="57" t="n"/>
      <c r="S5" s="57" t="n"/>
      <c r="T5" s="57" t="n"/>
      <c r="U5" s="57" t="n"/>
      <c r="V5" s="57" t="n"/>
      <c r="W5" s="57" t="n"/>
      <c r="X5" s="57" t="n"/>
      <c r="Y5" s="57" t="n"/>
      <c r="Z5" s="57" t="n"/>
    </row>
    <row r="6" ht="46.5" customHeight="1" s="94">
      <c r="A6" s="16" t="inlineStr">
        <is>
          <t>TC02</t>
        </is>
      </c>
      <c r="B6" s="16" t="inlineStr">
        <is>
          <t>Vé</t>
        </is>
      </c>
      <c r="C6" s="16" t="inlineStr">
        <is>
          <t>Đầu kéo vào không cont, ra không cont</t>
        </is>
      </c>
      <c r="D6" s="16" t="inlineStr">
        <is>
          <t>DAU_KEO</t>
        </is>
      </c>
      <c r="E6" s="16" t="inlineStr">
        <is>
          <t>Vé vào 0đ; không phí lưu cont</t>
        </is>
      </c>
      <c r="F6" s="16" t="inlineStr">
        <is>
          <t>P1</t>
        </is>
      </c>
      <c r="G6" s="23" t="n"/>
      <c r="H6" s="23" t="inlineStr">
        <is>
          <t>Có quy tắc</t>
        </is>
      </c>
      <c r="I6" s="23" t="n"/>
      <c r="J6" s="57" t="n"/>
      <c r="K6" s="57" t="n"/>
      <c r="L6" s="57" t="n"/>
      <c r="M6" s="57" t="n"/>
      <c r="N6" s="57" t="n"/>
      <c r="O6" s="57" t="n"/>
      <c r="P6" s="57" t="n"/>
      <c r="Q6" s="57" t="n"/>
      <c r="R6" s="57" t="n"/>
      <c r="S6" s="57" t="n"/>
      <c r="T6" s="57" t="n"/>
      <c r="U6" s="57" t="n"/>
      <c r="V6" s="57" t="n"/>
      <c r="W6" s="57" t="n"/>
      <c r="X6" s="57" t="n"/>
      <c r="Y6" s="57" t="n"/>
      <c r="Z6" s="57" t="n"/>
    </row>
    <row r="7" ht="46.5" customHeight="1" s="94">
      <c r="A7" s="10" t="inlineStr">
        <is>
          <t>TC03</t>
        </is>
      </c>
      <c r="B7" s="10" t="inlineStr">
        <is>
          <t>Vé</t>
        </is>
      </c>
      <c r="C7" s="10" t="inlineStr">
        <is>
          <t>Đầu kéo vào không cont, ra kéo cont lưu trong bãi</t>
        </is>
      </c>
      <c r="D7" s="10" t="inlineStr">
        <is>
          <t>DAU_KEO + SO_CONTAINER_RA</t>
        </is>
      </c>
      <c r="E7" s="10" t="inlineStr">
        <is>
          <t>ĐÃ CHỐT V01: không thu thêm 250.000đ ở lượt ra; container vẫn được tính phí lưu theo lượt.</t>
        </is>
      </c>
      <c r="F7" s="10" t="inlineStr">
        <is>
          <t>P0</t>
        </is>
      </c>
      <c r="G7" s="23" t="n"/>
      <c r="H7" s="23" t="inlineStr">
        <is>
          <t>Có quy tắc</t>
        </is>
      </c>
      <c r="I7" s="23" t="n"/>
      <c r="J7" s="57" t="n"/>
      <c r="K7" s="57" t="n"/>
      <c r="L7" s="57" t="n"/>
      <c r="M7" s="57" t="n"/>
      <c r="N7" s="57" t="n"/>
      <c r="O7" s="57" t="n"/>
      <c r="P7" s="57" t="n"/>
      <c r="Q7" s="57" t="n"/>
      <c r="R7" s="57" t="n"/>
      <c r="S7" s="57" t="n"/>
      <c r="T7" s="57" t="n"/>
      <c r="U7" s="57" t="n"/>
      <c r="V7" s="57" t="n"/>
      <c r="W7" s="57" t="n"/>
      <c r="X7" s="57" t="n"/>
      <c r="Y7" s="57" t="n"/>
      <c r="Z7" s="57" t="n"/>
    </row>
    <row r="8" ht="46.5" customHeight="1" s="94">
      <c r="A8" s="16" t="inlineStr">
        <is>
          <t>TC04</t>
        </is>
      </c>
      <c r="B8" s="16" t="inlineStr">
        <is>
          <t>Vé</t>
        </is>
      </c>
      <c r="C8" s="16" t="inlineStr">
        <is>
          <t>Xe bo ba bánh không có biển số</t>
        </is>
      </c>
      <c r="D8" s="16" t="inlineStr">
        <is>
          <t>XE_BO_3_BANH, BIEN_SO_XE rỗng</t>
        </is>
      </c>
      <c r="E8" s="16" t="inlineStr">
        <is>
          <t>Tạo mã lượt; tiền vé 40.000đ</t>
        </is>
      </c>
      <c r="F8" s="16" t="inlineStr">
        <is>
          <t>P1</t>
        </is>
      </c>
      <c r="G8" s="23" t="n"/>
      <c r="H8" s="23" t="inlineStr">
        <is>
          <t>Có quy tắc</t>
        </is>
      </c>
      <c r="I8" s="23" t="n"/>
      <c r="J8" s="57" t="n"/>
      <c r="K8" s="57" t="n"/>
      <c r="L8" s="57" t="n"/>
      <c r="M8" s="57" t="n"/>
      <c r="N8" s="57" t="n"/>
      <c r="O8" s="57" t="n"/>
      <c r="P8" s="57" t="n"/>
      <c r="Q8" s="57" t="n"/>
      <c r="R8" s="57" t="n"/>
      <c r="S8" s="57" t="n"/>
      <c r="T8" s="57" t="n"/>
      <c r="U8" s="57" t="n"/>
      <c r="V8" s="57" t="n"/>
      <c r="W8" s="57" t="n"/>
      <c r="X8" s="57" t="n"/>
      <c r="Y8" s="57" t="n"/>
      <c r="Z8" s="57" t="n"/>
    </row>
    <row r="9" ht="46.5" customHeight="1" s="94">
      <c r="A9" s="10" t="inlineStr">
        <is>
          <t>TC05</t>
        </is>
      </c>
      <c r="B9" s="10" t="inlineStr">
        <is>
          <t>Vé</t>
        </is>
      </c>
      <c r="C9" s="10" t="inlineStr">
        <is>
          <t>Xe bo 3 chân vào không cont</t>
        </is>
      </c>
      <c r="D9" s="10" t="inlineStr">
        <is>
          <t>XE_BO_3_CHAN</t>
        </is>
      </c>
      <c r="E9" s="10" t="inlineStr">
        <is>
          <t>Vé vào 200.000đ; không phí lưu cont</t>
        </is>
      </c>
      <c r="F9" s="10" t="inlineStr">
        <is>
          <t>P1</t>
        </is>
      </c>
      <c r="G9" s="23" t="n"/>
      <c r="H9" s="23" t="inlineStr">
        <is>
          <t>Có quy tắc</t>
        </is>
      </c>
      <c r="I9" s="23" t="n"/>
      <c r="J9" s="57" t="n"/>
      <c r="K9" s="57" t="n"/>
      <c r="L9" s="57" t="n"/>
      <c r="M9" s="57" t="n"/>
      <c r="N9" s="57" t="n"/>
      <c r="O9" s="57" t="n"/>
      <c r="P9" s="57" t="n"/>
      <c r="Q9" s="57" t="n"/>
      <c r="R9" s="57" t="n"/>
      <c r="S9" s="57" t="n"/>
      <c r="T9" s="57" t="n"/>
      <c r="U9" s="57" t="n"/>
      <c r="V9" s="57" t="n"/>
      <c r="W9" s="57" t="n"/>
      <c r="X9" s="57" t="n"/>
      <c r="Y9" s="57" t="n"/>
      <c r="Z9" s="57" t="n"/>
    </row>
    <row r="10" ht="46.5" customHeight="1" s="94">
      <c r="A10" s="16" t="inlineStr">
        <is>
          <t>TC06</t>
        </is>
      </c>
      <c r="B10" s="16" t="inlineStr">
        <is>
          <t>Vé</t>
        </is>
      </c>
      <c r="C10" s="16" t="inlineStr">
        <is>
          <t>Lái xe không xuất trình được liên 02</t>
        </is>
      </c>
      <c r="D10" s="16" t="inlineStr">
        <is>
          <t>Vé đã phát, liên 02 mất</t>
        </is>
      </c>
      <c r="E10" s="16" t="inlineStr">
        <is>
          <t>Mức phạt 250.000đ; người xác nhận/thu CHƯA CHỐT</t>
        </is>
      </c>
      <c r="F10" s="16" t="inlineStr">
        <is>
          <t>P0</t>
        </is>
      </c>
      <c r="G10" s="23" t="n"/>
      <c r="H10" s="23" t="inlineStr">
        <is>
          <t>Chờ duyệt</t>
        </is>
      </c>
      <c r="I10" s="23" t="n"/>
      <c r="J10" s="57" t="n"/>
      <c r="K10" s="57" t="n"/>
      <c r="L10" s="57" t="n"/>
      <c r="M10" s="57" t="n"/>
      <c r="N10" s="57" t="n"/>
      <c r="O10" s="57" t="n"/>
      <c r="P10" s="57" t="n"/>
      <c r="Q10" s="57" t="n"/>
      <c r="R10" s="57" t="n"/>
      <c r="S10" s="57" t="n"/>
      <c r="T10" s="57" t="n"/>
      <c r="U10" s="57" t="n"/>
      <c r="V10" s="57" t="n"/>
      <c r="W10" s="57" t="n"/>
      <c r="X10" s="57" t="n"/>
      <c r="Y10" s="57" t="n"/>
      <c r="Z10" s="57" t="n"/>
    </row>
    <row r="11" ht="46.5" customHeight="1" s="94">
      <c r="A11" s="10" t="inlineStr">
        <is>
          <t>TC07</t>
        </is>
      </c>
      <c r="B11" s="10" t="inlineStr">
        <is>
          <t>Lưu cont</t>
        </is>
      </c>
      <c r="C11" s="10" t="inlineStr">
        <is>
          <t>Cont ở trên xe, không hạ, ở qua 3 kỳ đêm</t>
        </is>
      </c>
      <c r="D11" s="10" t="inlineStr">
        <is>
          <t>10/10 20:00 → 13/10 08:00</t>
        </is>
      </c>
      <c r="E11" s="10" t="inlineStr">
        <is>
          <t>3 đêm; miễn 1; thu 200.000đ</t>
        </is>
      </c>
      <c r="F11" s="10" t="inlineStr">
        <is>
          <t>P1</t>
        </is>
      </c>
      <c r="G11" s="23" t="n"/>
      <c r="H11" s="23" t="inlineStr">
        <is>
          <t>Có quy tắc</t>
        </is>
      </c>
      <c r="I11" s="23" t="n"/>
      <c r="J11" s="57" t="n"/>
      <c r="K11" s="57" t="n"/>
      <c r="L11" s="57" t="n"/>
      <c r="M11" s="57" t="n"/>
      <c r="N11" s="57" t="n"/>
      <c r="O11" s="57" t="n"/>
      <c r="P11" s="57" t="n"/>
      <c r="Q11" s="57" t="n"/>
      <c r="R11" s="57" t="n"/>
      <c r="S11" s="57" t="n"/>
      <c r="T11" s="57" t="n"/>
      <c r="U11" s="57" t="n"/>
      <c r="V11" s="57" t="n"/>
      <c r="W11" s="57" t="n"/>
      <c r="X11" s="57" t="n"/>
      <c r="Y11" s="57" t="n"/>
      <c r="Z11" s="57" t="n"/>
    </row>
    <row r="12" ht="46.5" customHeight="1" s="94">
      <c r="A12" s="16" t="inlineStr">
        <is>
          <t>TC08</t>
        </is>
      </c>
      <c r="B12" s="16" t="inlineStr">
        <is>
          <t>Lưu cont</t>
        </is>
      </c>
      <c r="C12" s="16" t="inlineStr">
        <is>
          <t>Cont đã hạ, xe đầu vào ra một mình</t>
        </is>
      </c>
      <c r="D12" s="16" t="inlineStr">
        <is>
          <t>Xe A ra; cont còn trong bãi</t>
        </is>
      </c>
      <c r="E12" s="16" t="inlineStr">
        <is>
          <t>Cont vẫn tiếp tục tính phí đến GIO_CONT_RA</t>
        </is>
      </c>
      <c r="F12" s="16" t="inlineStr">
        <is>
          <t>P1</t>
        </is>
      </c>
      <c r="G12" s="23" t="n"/>
      <c r="H12" s="23" t="inlineStr">
        <is>
          <t>Có quy tắc</t>
        </is>
      </c>
      <c r="I12" s="23" t="n"/>
      <c r="J12" s="57" t="n"/>
      <c r="K12" s="57" t="n"/>
      <c r="L12" s="57" t="n"/>
      <c r="M12" s="57" t="n"/>
      <c r="N12" s="57" t="n"/>
      <c r="O12" s="57" t="n"/>
      <c r="P12" s="57" t="n"/>
      <c r="Q12" s="57" t="n"/>
      <c r="R12" s="57" t="n"/>
      <c r="S12" s="57" t="n"/>
      <c r="T12" s="57" t="n"/>
      <c r="U12" s="57" t="n"/>
      <c r="V12" s="57" t="n"/>
      <c r="W12" s="57" t="n"/>
      <c r="X12" s="57" t="n"/>
      <c r="Y12" s="57" t="n"/>
      <c r="Z12" s="57" t="n"/>
    </row>
    <row r="13" ht="46.5" customHeight="1" s="94">
      <c r="A13" s="10" t="inlineStr">
        <is>
          <t>TC09</t>
        </is>
      </c>
      <c r="B13" s="10" t="inlineStr">
        <is>
          <t>Lưu cont</t>
        </is>
      </c>
      <c r="C13" s="10" t="inlineStr">
        <is>
          <t>Xe B đến kéo cont đã do xe A đưa vào</t>
        </is>
      </c>
      <c r="D13" s="10" t="inlineStr">
        <is>
          <t>ID_VEHICLE_VAO khác ID_VEHICLE_RA</t>
        </is>
      </c>
      <c r="E13" s="10" t="inlineStr">
        <is>
          <t>Phí tính cho cùng lượt cont, không khởi tạo lại GIO_CONT_VAO</t>
        </is>
      </c>
      <c r="F13" s="10" t="inlineStr">
        <is>
          <t>P1</t>
        </is>
      </c>
      <c r="G13" s="23" t="n"/>
      <c r="H13" s="23" t="inlineStr">
        <is>
          <t>Có quy tắc</t>
        </is>
      </c>
      <c r="I13" s="23" t="n"/>
      <c r="J13" s="57" t="n"/>
      <c r="K13" s="57" t="n"/>
      <c r="L13" s="57" t="n"/>
      <c r="M13" s="57" t="n"/>
      <c r="N13" s="57" t="n"/>
      <c r="O13" s="57" t="n"/>
      <c r="P13" s="57" t="n"/>
      <c r="Q13" s="57" t="n"/>
      <c r="R13" s="57" t="n"/>
      <c r="S13" s="57" t="n"/>
      <c r="T13" s="57" t="n"/>
      <c r="U13" s="57" t="n"/>
      <c r="V13" s="57" t="n"/>
      <c r="W13" s="57" t="n"/>
      <c r="X13" s="57" t="n"/>
      <c r="Y13" s="57" t="n"/>
      <c r="Z13" s="57" t="n"/>
    </row>
    <row r="14" ht="46.5" customHeight="1" s="94">
      <c r="A14" s="16" t="inlineStr">
        <is>
          <t>TC10</t>
        </is>
      </c>
      <c r="B14" s="16" t="inlineStr">
        <is>
          <t>Lưu cont</t>
        </is>
      </c>
      <c r="C14" s="16" t="inlineStr">
        <is>
          <t>Cont vào và ra trong ngày, trước 22:00</t>
        </is>
      </c>
      <c r="D14" s="16" t="inlineStr">
        <is>
          <t>10/10 08:00 → 10/10 20:00</t>
        </is>
      </c>
      <c r="E14" s="16" t="inlineStr">
        <is>
          <t>ĐÃ CHỐT L05=B: SO_DEM_LUU hiển thị tối thiểu 1 (miễn phí); tiền lưu 0đ.</t>
        </is>
      </c>
      <c r="F14" s="16" t="inlineStr">
        <is>
          <t>P0</t>
        </is>
      </c>
      <c r="G14" s="23" t="n"/>
      <c r="H14" s="23" t="inlineStr">
        <is>
          <t>Có quy tắc</t>
        </is>
      </c>
      <c r="I14" s="23" t="n"/>
      <c r="J14" s="57" t="n"/>
      <c r="K14" s="57" t="n"/>
      <c r="L14" s="57" t="n"/>
      <c r="M14" s="57" t="n"/>
      <c r="N14" s="57" t="n"/>
      <c r="O14" s="57" t="n"/>
      <c r="P14" s="57" t="n"/>
      <c r="Q14" s="57" t="n"/>
      <c r="R14" s="57" t="n"/>
      <c r="S14" s="57" t="n"/>
      <c r="T14" s="57" t="n"/>
      <c r="U14" s="57" t="n"/>
      <c r="V14" s="57" t="n"/>
      <c r="W14" s="57" t="n"/>
      <c r="X14" s="57" t="n"/>
      <c r="Y14" s="57" t="n"/>
      <c r="Z14" s="57" t="n"/>
    </row>
    <row r="15" ht="46.5" customHeight="1" s="94">
      <c r="A15" s="10" t="inlineStr">
        <is>
          <t>TC11</t>
        </is>
      </c>
      <c r="B15" s="10" t="inlineStr">
        <is>
          <t>Lưu cont</t>
        </is>
      </c>
      <c r="C15" s="10" t="inlineStr">
        <is>
          <t>Ra đúng mốc 22:00</t>
        </is>
      </c>
      <c r="D15" s="10" t="inlineStr">
        <is>
          <t>10/10 20:00 → 10/10 22:00</t>
        </is>
      </c>
      <c r="E15" s="10" t="inlineStr">
        <is>
          <t>ĐÃ CHỐT L01=A: ra đúng 22:00 ghi nhận một kỳ đêm (miễn đêm đầu).</t>
        </is>
      </c>
      <c r="F15" s="10" t="inlineStr">
        <is>
          <t>P0</t>
        </is>
      </c>
      <c r="G15" s="23" t="n"/>
      <c r="H15" s="23" t="inlineStr">
        <is>
          <t>Có quy tắc</t>
        </is>
      </c>
      <c r="I15" s="23" t="n"/>
      <c r="J15" s="57" t="n"/>
      <c r="K15" s="57" t="n"/>
      <c r="L15" s="57" t="n"/>
      <c r="M15" s="57" t="n"/>
      <c r="N15" s="57" t="n"/>
      <c r="O15" s="57" t="n"/>
      <c r="P15" s="57" t="n"/>
      <c r="Q15" s="57" t="n"/>
      <c r="R15" s="57" t="n"/>
      <c r="S15" s="57" t="n"/>
      <c r="T15" s="57" t="n"/>
      <c r="U15" s="57" t="n"/>
      <c r="V15" s="57" t="n"/>
      <c r="W15" s="57" t="n"/>
      <c r="X15" s="57" t="n"/>
      <c r="Y15" s="57" t="n"/>
      <c r="Z15" s="57" t="n"/>
    </row>
    <row r="16" ht="46.5" customHeight="1" s="94">
      <c r="A16" s="16" t="inlineStr">
        <is>
          <t>TC12</t>
        </is>
      </c>
      <c r="B16" s="16" t="inlineStr">
        <is>
          <t>Lưu cont</t>
        </is>
      </c>
      <c r="C16" s="16" t="inlineStr">
        <is>
          <t>Ra đúng mốc 06:00</t>
        </is>
      </c>
      <c r="D16" s="16" t="inlineStr">
        <is>
          <t>10/10 23:00 → 11/10 06:00</t>
        </is>
      </c>
      <c r="E16" s="16" t="inlineStr">
        <is>
          <t>ĐÃ CHỐT L02=A: ra đúng 06:00 vẫn tính thuộc kỳ đêm vừa kết thúc.</t>
        </is>
      </c>
      <c r="F16" s="16" t="inlineStr">
        <is>
          <t>P0</t>
        </is>
      </c>
      <c r="G16" s="23" t="n"/>
      <c r="H16" s="23" t="inlineStr">
        <is>
          <t>Có quy tắc</t>
        </is>
      </c>
      <c r="I16" s="23" t="n"/>
      <c r="J16" s="57" t="n"/>
      <c r="K16" s="57" t="n"/>
      <c r="L16" s="57" t="n"/>
      <c r="M16" s="57" t="n"/>
      <c r="N16" s="57" t="n"/>
      <c r="O16" s="57" t="n"/>
      <c r="P16" s="57" t="n"/>
      <c r="Q16" s="57" t="n"/>
      <c r="R16" s="57" t="n"/>
      <c r="S16" s="57" t="n"/>
      <c r="T16" s="57" t="n"/>
      <c r="U16" s="57" t="n"/>
      <c r="V16" s="57" t="n"/>
      <c r="W16" s="57" t="n"/>
      <c r="X16" s="57" t="n"/>
      <c r="Y16" s="57" t="n"/>
      <c r="Z16" s="57" t="n"/>
    </row>
    <row r="17" ht="46.5" customHeight="1" s="94">
      <c r="A17" s="10" t="inlineStr">
        <is>
          <t>TC13</t>
        </is>
      </c>
      <c r="B17" s="10" t="inlineStr">
        <is>
          <t>Lưu cont</t>
        </is>
      </c>
      <c r="C17" s="10" t="inlineStr">
        <is>
          <t>CCKB duyệt thanh toán 21:55, cont ra 22:05</t>
        </is>
      </c>
      <c r="D17" s="10" t="inlineStr">
        <is>
          <t>Mốc 22:00 vừa bị vượt qua</t>
        </is>
      </c>
      <c r="E17" s="10" t="inlineStr">
        <is>
          <t>CẦN LÀM RÕ: L04=B khóa phí ở lúc CCKB duyệt, nhưng T09=A tính lại khi cont thực ra.</t>
        </is>
      </c>
      <c r="F17" s="10" t="inlineStr">
        <is>
          <t>P0</t>
        </is>
      </c>
      <c r="G17" s="23" t="n"/>
      <c r="H17" s="23" t="inlineStr">
        <is>
          <t>Chờ duyệt</t>
        </is>
      </c>
      <c r="I17" s="23" t="n"/>
      <c r="J17" s="57" t="n"/>
      <c r="K17" s="57" t="n"/>
      <c r="L17" s="57" t="n"/>
      <c r="M17" s="57" t="n"/>
      <c r="N17" s="57" t="n"/>
      <c r="O17" s="57" t="n"/>
      <c r="P17" s="57" t="n"/>
      <c r="Q17" s="57" t="n"/>
      <c r="R17" s="57" t="n"/>
      <c r="S17" s="57" t="n"/>
      <c r="T17" s="57" t="n"/>
      <c r="U17" s="57" t="n"/>
      <c r="V17" s="57" t="n"/>
      <c r="W17" s="57" t="n"/>
      <c r="X17" s="57" t="n"/>
      <c r="Y17" s="57" t="n"/>
      <c r="Z17" s="57" t="n"/>
    </row>
    <row r="18" ht="46.5" customHeight="1" s="94">
      <c r="A18" s="16" t="inlineStr">
        <is>
          <t>TC14</t>
        </is>
      </c>
      <c r="B18" s="16" t="inlineStr">
        <is>
          <t>Điện</t>
        </is>
      </c>
      <c r="C18" s="16" t="inlineStr">
        <is>
          <t>Cắm điện 4 giờ 53 phút</t>
        </is>
      </c>
      <c r="D18" s="16" t="inlineStr">
        <is>
          <t>08:30 → 13:23, đơn giá 100.000đ/h</t>
        </is>
      </c>
      <c r="E18" s="16" t="inlineStr">
        <is>
          <t>Làm tròn 5 giờ; phí 500.000đ</t>
        </is>
      </c>
      <c r="F18" s="16" t="inlineStr">
        <is>
          <t>P1</t>
        </is>
      </c>
      <c r="G18" s="23" t="n"/>
      <c r="H18" s="23" t="inlineStr">
        <is>
          <t>Có quy tắc</t>
        </is>
      </c>
      <c r="I18" s="23" t="n"/>
      <c r="J18" s="57" t="n"/>
      <c r="K18" s="57" t="n"/>
      <c r="L18" s="57" t="n"/>
      <c r="M18" s="57" t="n"/>
      <c r="N18" s="57" t="n"/>
      <c r="O18" s="57" t="n"/>
      <c r="P18" s="57" t="n"/>
      <c r="Q18" s="57" t="n"/>
      <c r="R18" s="57" t="n"/>
      <c r="S18" s="57" t="n"/>
      <c r="T18" s="57" t="n"/>
      <c r="U18" s="57" t="n"/>
      <c r="V18" s="57" t="n"/>
      <c r="W18" s="57" t="n"/>
      <c r="X18" s="57" t="n"/>
      <c r="Y18" s="57" t="n"/>
      <c r="Z18" s="57" t="n"/>
    </row>
    <row r="19" ht="46.5" customHeight="1" s="94">
      <c r="A19" s="10" t="inlineStr">
        <is>
          <t>TC15</t>
        </is>
      </c>
      <c r="B19" s="10" t="inlineStr">
        <is>
          <t>Điện</t>
        </is>
      </c>
      <c r="C19" s="10" t="inlineStr">
        <is>
          <t>Cắm điện 4 giờ 01 phút</t>
        </is>
      </c>
      <c r="D19" s="10" t="inlineStr">
        <is>
          <t>08:30 → 12:31</t>
        </is>
      </c>
      <c r="E19" s="10" t="inlineStr">
        <is>
          <t>Làm tròn 4 giờ 15 phút; 425.000đ</t>
        </is>
      </c>
      <c r="F19" s="10" t="inlineStr">
        <is>
          <t>P1</t>
        </is>
      </c>
      <c r="G19" s="23" t="n"/>
      <c r="H19" s="23" t="inlineStr">
        <is>
          <t>Có quy tắc</t>
        </is>
      </c>
      <c r="I19" s="23" t="n"/>
      <c r="J19" s="57" t="n"/>
      <c r="K19" s="57" t="n"/>
      <c r="L19" s="57" t="n"/>
      <c r="M19" s="57" t="n"/>
      <c r="N19" s="57" t="n"/>
      <c r="O19" s="57" t="n"/>
      <c r="P19" s="57" t="n"/>
      <c r="Q19" s="57" t="n"/>
      <c r="R19" s="57" t="n"/>
      <c r="S19" s="57" t="n"/>
      <c r="T19" s="57" t="n"/>
      <c r="U19" s="57" t="n"/>
      <c r="V19" s="57" t="n"/>
      <c r="W19" s="57" t="n"/>
      <c r="X19" s="57" t="n"/>
      <c r="Y19" s="57" t="n"/>
      <c r="Z19" s="57" t="n"/>
    </row>
    <row r="20" ht="46.5" customHeight="1" s="94">
      <c r="A20" s="16" t="inlineStr">
        <is>
          <t>TC16</t>
        </is>
      </c>
      <c r="B20" s="16" t="inlineStr">
        <is>
          <t>Điện</t>
        </is>
      </c>
      <c r="C20" s="16" t="inlineStr">
        <is>
          <t>Cắm 2 phiên riêng trong cùng lượt container</t>
        </is>
      </c>
      <c r="D20" s="16" t="inlineStr">
        <is>
          <t>Phiên 1 đã thu; phiên 2 chưa thu</t>
        </is>
      </c>
      <c r="E20" s="16" t="inlineStr">
        <is>
          <t>Không thu trùng phiên 1; chính sách làm tròn từng phiên cần chốt E11</t>
        </is>
      </c>
      <c r="F20" s="16" t="inlineStr">
        <is>
          <t>P0</t>
        </is>
      </c>
      <c r="G20" s="23" t="n"/>
      <c r="H20" s="23" t="inlineStr">
        <is>
          <t>Chờ duyệt</t>
        </is>
      </c>
      <c r="I20" s="23" t="n"/>
      <c r="J20" s="57" t="n"/>
      <c r="K20" s="57" t="n"/>
      <c r="L20" s="57" t="n"/>
      <c r="M20" s="57" t="n"/>
      <c r="N20" s="57" t="n"/>
      <c r="O20" s="57" t="n"/>
      <c r="P20" s="57" t="n"/>
      <c r="Q20" s="57" t="n"/>
      <c r="R20" s="57" t="n"/>
      <c r="S20" s="57" t="n"/>
      <c r="T20" s="57" t="n"/>
      <c r="U20" s="57" t="n"/>
      <c r="V20" s="57" t="n"/>
      <c r="W20" s="57" t="n"/>
      <c r="X20" s="57" t="n"/>
      <c r="Y20" s="57" t="n"/>
      <c r="Z20" s="57" t="n"/>
    </row>
    <row r="21" ht="46.5" customHeight="1" s="94">
      <c r="A21" s="10" t="inlineStr">
        <is>
          <t>TC17</t>
        </is>
      </c>
      <c r="B21" s="10" t="inlineStr">
        <is>
          <t>Điện</t>
        </is>
      </c>
      <c r="C21" s="10" t="inlineStr">
        <is>
          <t>An ninh báo giờ qua Zalo sau khi đã thực hiện</t>
        </is>
      </c>
      <c r="D21" s="10" t="inlineStr">
        <is>
          <t>CCKB nhập muộn GIO_CAM_THUC_TE</t>
        </is>
      </c>
      <c r="E21" s="10" t="inlineStr">
        <is>
          <t>Tiền tính theo giờ thực tế, không theo giờ nhập</t>
        </is>
      </c>
      <c r="F21" s="10" t="inlineStr">
        <is>
          <t>P1</t>
        </is>
      </c>
      <c r="G21" s="23" t="n"/>
      <c r="H21" s="23" t="inlineStr">
        <is>
          <t>Có quy tắc</t>
        </is>
      </c>
      <c r="I21" s="23" t="n"/>
      <c r="J21" s="57" t="n"/>
      <c r="K21" s="57" t="n"/>
      <c r="L21" s="57" t="n"/>
      <c r="M21" s="57" t="n"/>
      <c r="N21" s="57" t="n"/>
      <c r="O21" s="57" t="n"/>
      <c r="P21" s="57" t="n"/>
      <c r="Q21" s="57" t="n"/>
      <c r="R21" s="57" t="n"/>
      <c r="S21" s="57" t="n"/>
      <c r="T21" s="57" t="n"/>
      <c r="U21" s="57" t="n"/>
      <c r="V21" s="57" t="n"/>
      <c r="W21" s="57" t="n"/>
      <c r="X21" s="57" t="n"/>
      <c r="Y21" s="57" t="n"/>
      <c r="Z21" s="57" t="n"/>
    </row>
    <row r="22" ht="46.5" customHeight="1" s="94">
      <c r="A22" s="16" t="inlineStr">
        <is>
          <t>TC18</t>
        </is>
      </c>
      <c r="B22" s="16" t="inlineStr">
        <is>
          <t>Điện</t>
        </is>
      </c>
      <c r="C22" s="16" t="inlineStr">
        <is>
          <t>CCKB sửa giờ trước khi thu</t>
        </is>
      </c>
      <c r="D22" s="16" t="inlineStr">
        <is>
          <t>Sửa 08:30 thành 08:45</t>
        </is>
      </c>
      <c r="E22" s="16" t="inlineStr">
        <is>
          <t>Hệ thống tính lại phí; ghi nhật ký người/lý do</t>
        </is>
      </c>
      <c r="F22" s="16" t="inlineStr">
        <is>
          <t>P1</t>
        </is>
      </c>
      <c r="G22" s="23" t="n"/>
      <c r="H22" s="23" t="inlineStr">
        <is>
          <t>Có quy tắc</t>
        </is>
      </c>
      <c r="I22" s="23" t="n"/>
      <c r="J22" s="57" t="n"/>
      <c r="K22" s="57" t="n"/>
      <c r="L22" s="57" t="n"/>
      <c r="M22" s="57" t="n"/>
      <c r="N22" s="57" t="n"/>
      <c r="O22" s="57" t="n"/>
      <c r="P22" s="57" t="n"/>
      <c r="Q22" s="57" t="n"/>
      <c r="R22" s="57" t="n"/>
      <c r="S22" s="57" t="n"/>
      <c r="T22" s="57" t="n"/>
      <c r="U22" s="57" t="n"/>
      <c r="V22" s="57" t="n"/>
      <c r="W22" s="57" t="n"/>
      <c r="X22" s="57" t="n"/>
      <c r="Y22" s="57" t="n"/>
      <c r="Z22" s="57" t="n"/>
    </row>
    <row r="23" ht="46.5" customHeight="1" s="94">
      <c r="A23" s="10" t="inlineStr">
        <is>
          <t>TC19</t>
        </is>
      </c>
      <c r="B23" s="10" t="inlineStr">
        <is>
          <t>Điện</t>
        </is>
      </c>
      <c r="C23" s="10" t="inlineStr">
        <is>
          <t>CCKB sửa giờ sau khi đã thu</t>
        </is>
      </c>
      <c r="D23" s="10" t="inlineStr">
        <is>
          <t>Giờ mới gây chênh lệch phí</t>
        </is>
      </c>
      <c r="E23" s="10" t="inlineStr">
        <is>
          <t>E06 muốn cả NV đề nghị/TBP duyệt và TBP được sửa trực tiếp với audit; cần chốt quyền tình huống.</t>
        </is>
      </c>
      <c r="F23" s="10" t="inlineStr">
        <is>
          <t>P0</t>
        </is>
      </c>
      <c r="G23" s="23" t="n"/>
      <c r="H23" s="23" t="inlineStr">
        <is>
          <t>Chờ duyệt</t>
        </is>
      </c>
      <c r="I23" s="23" t="n"/>
      <c r="J23" s="57" t="n"/>
      <c r="K23" s="57" t="n"/>
      <c r="L23" s="57" t="n"/>
      <c r="M23" s="57" t="n"/>
      <c r="N23" s="57" t="n"/>
      <c r="O23" s="57" t="n"/>
      <c r="P23" s="57" t="n"/>
      <c r="Q23" s="57" t="n"/>
      <c r="R23" s="57" t="n"/>
      <c r="S23" s="57" t="n"/>
      <c r="T23" s="57" t="n"/>
      <c r="U23" s="57" t="n"/>
      <c r="V23" s="57" t="n"/>
      <c r="W23" s="57" t="n"/>
      <c r="X23" s="57" t="n"/>
      <c r="Y23" s="57" t="n"/>
      <c r="Z23" s="57" t="n"/>
    </row>
    <row r="24" ht="46.5" customHeight="1" s="94">
      <c r="A24" s="16" t="inlineStr">
        <is>
          <t>TC20</t>
        </is>
      </c>
      <c r="B24" s="16" t="inlineStr">
        <is>
          <t>Điện</t>
        </is>
      </c>
      <c r="C24" s="16" t="inlineStr">
        <is>
          <t>Phiên vẫn Đang cắm trên app nhưng cont yêu cầu xuất</t>
        </is>
      </c>
      <c r="D24" s="16" t="inlineStr">
        <is>
          <t>Thực tế rút rồi, CCKB chưa nhập</t>
        </is>
      </c>
      <c r="E24" s="16" t="inlineStr">
        <is>
          <t>E07: CCKB ưu tiên quyền xác nhận cho ra linh hoạt; khi PWA ghi Đang cắm phải có cảnh báo và báo nhóm.</t>
        </is>
      </c>
      <c r="F24" s="16" t="inlineStr">
        <is>
          <t>P0</t>
        </is>
      </c>
      <c r="G24" s="23" t="n"/>
      <c r="H24" s="23" t="inlineStr">
        <is>
          <t>Chờ duyệt</t>
        </is>
      </c>
      <c r="I24" s="23" t="n"/>
      <c r="J24" s="57" t="n"/>
      <c r="K24" s="57" t="n"/>
      <c r="L24" s="57" t="n"/>
      <c r="M24" s="57" t="n"/>
      <c r="N24" s="57" t="n"/>
      <c r="O24" s="57" t="n"/>
      <c r="P24" s="57" t="n"/>
      <c r="Q24" s="57" t="n"/>
      <c r="R24" s="57" t="n"/>
      <c r="S24" s="57" t="n"/>
      <c r="T24" s="57" t="n"/>
      <c r="U24" s="57" t="n"/>
      <c r="V24" s="57" t="n"/>
      <c r="W24" s="57" t="n"/>
      <c r="X24" s="57" t="n"/>
      <c r="Y24" s="57" t="n"/>
      <c r="Z24" s="57" t="n"/>
    </row>
    <row r="25" ht="46.5" customHeight="1" s="94">
      <c r="A25" s="10" t="inlineStr">
        <is>
          <t>TC21</t>
        </is>
      </c>
      <c r="B25" s="10" t="inlineStr">
        <is>
          <t>Thu tiền</t>
        </is>
      </c>
      <c r="C25" s="10" t="inlineStr">
        <is>
          <t>Điện đã thu khi rút, ra bãi thu lưu cont</t>
        </is>
      </c>
      <c r="D25" s="10" t="inlineStr">
        <is>
          <t>Phiên 1 Đã thu, lưu cont Chưa thu</t>
        </is>
      </c>
      <c r="E25" s="10" t="inlineStr">
        <is>
          <t>Chỉ thu phần chưa thanh toán</t>
        </is>
      </c>
      <c r="F25" s="10" t="inlineStr">
        <is>
          <t>P1</t>
        </is>
      </c>
      <c r="G25" s="23" t="n"/>
      <c r="H25" s="23" t="inlineStr">
        <is>
          <t>Có quy tắc</t>
        </is>
      </c>
      <c r="I25" s="23" t="n"/>
      <c r="J25" s="57" t="n"/>
      <c r="K25" s="57" t="n"/>
      <c r="L25" s="57" t="n"/>
      <c r="M25" s="57" t="n"/>
      <c r="N25" s="57" t="n"/>
      <c r="O25" s="57" t="n"/>
      <c r="P25" s="57" t="n"/>
      <c r="Q25" s="57" t="n"/>
      <c r="R25" s="57" t="n"/>
      <c r="S25" s="57" t="n"/>
      <c r="T25" s="57" t="n"/>
      <c r="U25" s="57" t="n"/>
      <c r="V25" s="57" t="n"/>
      <c r="W25" s="57" t="n"/>
      <c r="X25" s="57" t="n"/>
      <c r="Y25" s="57" t="n"/>
      <c r="Z25" s="57" t="n"/>
    </row>
    <row r="26" ht="46.5" customHeight="1" s="94">
      <c r="A26" s="16" t="inlineStr">
        <is>
          <t>TC22</t>
        </is>
      </c>
      <c r="B26" s="16" t="inlineStr">
        <is>
          <t>Thu tiền</t>
        </is>
      </c>
      <c r="C26" s="16" t="inlineStr">
        <is>
          <t>Khách chuyển khoản, chỉ có ảnh giao dịch</t>
        </is>
      </c>
      <c r="D26" s="16" t="inlineStr">
        <is>
          <t>Tiền chưa đối chiếu tài khoản</t>
        </is>
      </c>
      <c r="E26" s="16" t="inlineStr">
        <is>
          <t>T03 chọn kiểm tra tiền về, nhưng T08 cho CCKB duyệt thủ công dù chưa thu đủ; phải rõ nhãn Chưa thu/cảnh báo.</t>
        </is>
      </c>
      <c r="F26" s="16" t="inlineStr">
        <is>
          <t>P0</t>
        </is>
      </c>
      <c r="G26" s="23" t="n"/>
      <c r="H26" s="23" t="inlineStr">
        <is>
          <t>Chờ duyệt</t>
        </is>
      </c>
      <c r="I26" s="23" t="n"/>
      <c r="J26" s="57" t="n"/>
      <c r="K26" s="57" t="n"/>
      <c r="L26" s="57" t="n"/>
      <c r="M26" s="57" t="n"/>
      <c r="N26" s="57" t="n"/>
      <c r="O26" s="57" t="n"/>
      <c r="P26" s="57" t="n"/>
      <c r="Q26" s="57" t="n"/>
      <c r="R26" s="57" t="n"/>
      <c r="S26" s="57" t="n"/>
      <c r="T26" s="57" t="n"/>
      <c r="U26" s="57" t="n"/>
      <c r="V26" s="57" t="n"/>
      <c r="W26" s="57" t="n"/>
      <c r="X26" s="57" t="n"/>
      <c r="Y26" s="57" t="n"/>
      <c r="Z26" s="57" t="n"/>
    </row>
    <row r="27" ht="46.5" customHeight="1" s="94">
      <c r="A27" s="10" t="inlineStr">
        <is>
          <t>TC23</t>
        </is>
      </c>
      <c r="B27" s="10" t="inlineStr">
        <is>
          <t>Cổng ra</t>
        </is>
      </c>
      <c r="C27" s="10" t="inlineStr">
        <is>
          <t>CCKB duyệt tài chính nhưng An ninh chưa cho ra</t>
        </is>
      </c>
      <c r="D27" s="10" t="inlineStr">
        <is>
          <t>Thanh toán hợp lệ, chưa có GIO_RA</t>
        </is>
      </c>
      <c r="E27" s="10" t="inlineStr">
        <is>
          <t>Không tự đóng lượt xe/cont trước khi An ninh xác nhận</t>
        </is>
      </c>
      <c r="F27" s="10" t="inlineStr">
        <is>
          <t>P1</t>
        </is>
      </c>
      <c r="G27" s="23" t="n"/>
      <c r="H27" s="23" t="inlineStr">
        <is>
          <t>Có quy tắc</t>
        </is>
      </c>
      <c r="I27" s="23" t="n"/>
      <c r="J27" s="57" t="n"/>
      <c r="K27" s="57" t="n"/>
      <c r="L27" s="57" t="n"/>
      <c r="M27" s="57" t="n"/>
      <c r="N27" s="57" t="n"/>
      <c r="O27" s="57" t="n"/>
      <c r="P27" s="57" t="n"/>
      <c r="Q27" s="57" t="n"/>
      <c r="R27" s="57" t="n"/>
      <c r="S27" s="57" t="n"/>
      <c r="T27" s="57" t="n"/>
      <c r="U27" s="57" t="n"/>
      <c r="V27" s="57" t="n"/>
      <c r="W27" s="57" t="n"/>
      <c r="X27" s="57" t="n"/>
      <c r="Y27" s="57" t="n"/>
      <c r="Z27" s="57" t="n"/>
    </row>
    <row r="28" ht="46.5" customHeight="1" s="94">
      <c r="A28" s="16" t="inlineStr">
        <is>
          <t>TC24</t>
        </is>
      </c>
      <c r="B28" s="16" t="inlineStr">
        <is>
          <t>Dữ liệu</t>
        </is>
      </c>
      <c r="C28" s="16" t="inlineStr">
        <is>
          <t>Nhập lặp thao tác xác nhận xuất do mạng chập chờn</t>
        </is>
      </c>
      <c r="D28" s="16" t="inlineStr">
        <is>
          <t>Nhấn xác nhận 2 lần</t>
        </is>
      </c>
      <c r="E28" s="16" t="inlineStr">
        <is>
          <t>Một lượt chỉ ra một lần; không thu/đóng trùng</t>
        </is>
      </c>
      <c r="F28" s="16" t="inlineStr">
        <is>
          <t>P1</t>
        </is>
      </c>
      <c r="G28" s="23" t="n"/>
      <c r="H28" s="23" t="inlineStr">
        <is>
          <t>Có quy tắc</t>
        </is>
      </c>
      <c r="I28" s="23" t="n"/>
      <c r="J28" s="57" t="n"/>
      <c r="K28" s="57" t="n"/>
      <c r="L28" s="57" t="n"/>
      <c r="M28" s="57" t="n"/>
      <c r="N28" s="57" t="n"/>
      <c r="O28" s="57" t="n"/>
      <c r="P28" s="57" t="n"/>
      <c r="Q28" s="57" t="n"/>
      <c r="R28" s="57" t="n"/>
      <c r="S28" s="57" t="n"/>
      <c r="T28" s="57" t="n"/>
      <c r="U28" s="57" t="n"/>
      <c r="V28" s="57" t="n"/>
      <c r="W28" s="57" t="n"/>
      <c r="X28" s="57" t="n"/>
      <c r="Y28" s="57" t="n"/>
      <c r="Z28" s="57" t="n"/>
    </row>
    <row r="29" ht="46.5" customHeight="1" s="94">
      <c r="A29" s="10" t="inlineStr">
        <is>
          <t>TC25</t>
        </is>
      </c>
      <c r="B29" s="10" t="inlineStr">
        <is>
          <t>Dữ liệu</t>
        </is>
      </c>
      <c r="C29" s="10" t="inlineStr">
        <is>
          <t>Cont xuất nhưng xe chưa được chốt do đồng bộ</t>
        </is>
      </c>
      <c r="D29" s="10" t="inlineStr">
        <is>
          <t>Từng xuất hiện trong AppSheet V1</t>
        </is>
      </c>
      <c r="E29" s="10" t="inlineStr">
        <is>
          <t>PWA phải chốt dữ liệu xe/cont nhất quán</t>
        </is>
      </c>
      <c r="F29" s="10" t="inlineStr">
        <is>
          <t>P1</t>
        </is>
      </c>
      <c r="G29" s="23" t="n"/>
      <c r="H29" s="23" t="inlineStr">
        <is>
          <t>Có quy tắc</t>
        </is>
      </c>
      <c r="I29" s="23" t="n"/>
      <c r="J29" s="57" t="n"/>
      <c r="K29" s="57" t="n"/>
      <c r="L29" s="57" t="n"/>
      <c r="M29" s="57" t="n"/>
      <c r="N29" s="57" t="n"/>
      <c r="O29" s="57" t="n"/>
      <c r="P29" s="57" t="n"/>
      <c r="Q29" s="57" t="n"/>
      <c r="R29" s="57" t="n"/>
      <c r="S29" s="57" t="n"/>
      <c r="T29" s="57" t="n"/>
      <c r="U29" s="57" t="n"/>
      <c r="V29" s="57" t="n"/>
      <c r="W29" s="57" t="n"/>
      <c r="X29" s="57" t="n"/>
      <c r="Y29" s="57" t="n"/>
      <c r="Z29" s="57" t="n"/>
    </row>
    <row r="30" ht="46.5" customHeight="1" s="94">
      <c r="A30" s="16" t="inlineStr">
        <is>
          <t>TC26</t>
        </is>
      </c>
      <c r="B30" s="16" t="inlineStr">
        <is>
          <t>Đối soát</t>
        </is>
      </c>
      <c r="C30" s="16" t="inlineStr">
        <is>
          <t>Số tiền trong ghi chú cũ khác số phải thu</t>
        </is>
      </c>
      <c r="D30" s="16" t="inlineStr">
        <is>
          <t>CCLU8578039: 1.000.000đ vs 900k ghi chú</t>
        </is>
      </c>
      <c r="E30" s="16" t="inlineStr">
        <is>
          <t>M03: dữ liệu cũ tạm KHÔNG dùng để chốt công nợ/doanh thu nếu chưa đối soát; giữ dấu chưa xác minh.</t>
        </is>
      </c>
      <c r="F30" s="16" t="inlineStr">
        <is>
          <t>P0</t>
        </is>
      </c>
      <c r="G30" s="23" t="n"/>
      <c r="H30" s="23" t="inlineStr">
        <is>
          <t>Chờ duyệt</t>
        </is>
      </c>
      <c r="I30" s="23" t="n"/>
      <c r="J30" s="57" t="n"/>
      <c r="K30" s="57" t="n"/>
      <c r="L30" s="57" t="n"/>
      <c r="M30" s="57" t="n"/>
      <c r="N30" s="57" t="n"/>
      <c r="O30" s="57" t="n"/>
      <c r="P30" s="57" t="n"/>
      <c r="Q30" s="57" t="n"/>
      <c r="R30" s="57" t="n"/>
      <c r="S30" s="57" t="n"/>
      <c r="T30" s="57" t="n"/>
      <c r="U30" s="57" t="n"/>
      <c r="V30" s="57" t="n"/>
      <c r="W30" s="57" t="n"/>
      <c r="X30" s="57" t="n"/>
      <c r="Y30" s="57" t="n"/>
      <c r="Z30" s="57" t="n"/>
    </row>
    <row r="31" ht="46.5" customHeight="1" s="94">
      <c r="A31" s="10" t="inlineStr">
        <is>
          <t>TC27</t>
        </is>
      </c>
      <c r="B31" s="10" t="inlineStr">
        <is>
          <t>Mất mạng</t>
        </is>
      </c>
      <c r="C31" s="10" t="inlineStr">
        <is>
          <t>An ninh cho xe ra khi PWA offline</t>
        </is>
      </c>
      <c r="D31" s="10" t="inlineStr">
        <is>
          <t>Điện thoại không có internet</t>
        </is>
      </c>
      <c r="E31" s="10" t="inlineStr">
        <is>
          <t>ĐÃ CHỐT K03=A: offline cho phép ghi nhận chờ đồng bộ; không tự xác nhận ra cổng offline.</t>
        </is>
      </c>
      <c r="F31" s="10" t="inlineStr">
        <is>
          <t>P0</t>
        </is>
      </c>
      <c r="G31" s="23" t="n"/>
      <c r="H31" s="23" t="inlineStr">
        <is>
          <t>Có quy tắc</t>
        </is>
      </c>
      <c r="I31" s="23" t="n"/>
      <c r="J31" s="57" t="n"/>
      <c r="K31" s="57" t="n"/>
      <c r="L31" s="57" t="n"/>
      <c r="M31" s="57" t="n"/>
      <c r="N31" s="57" t="n"/>
      <c r="O31" s="57" t="n"/>
      <c r="P31" s="57" t="n"/>
      <c r="Q31" s="57" t="n"/>
      <c r="R31" s="57" t="n"/>
      <c r="S31" s="57" t="n"/>
      <c r="T31" s="57" t="n"/>
      <c r="U31" s="57" t="n"/>
      <c r="V31" s="57" t="n"/>
      <c r="W31" s="57" t="n"/>
      <c r="X31" s="57" t="n"/>
      <c r="Y31" s="57" t="n"/>
      <c r="Z31" s="57" t="n"/>
    </row>
    <row r="32" ht="70.5" customHeight="1" s="94">
      <c r="A32" s="10" t="inlineStr">
        <is>
          <t>TC28</t>
        </is>
      </c>
      <c r="B32" s="10" t="inlineStr">
        <is>
          <t>Yêu cầu điện dự kiến</t>
        </is>
      </c>
      <c r="C32" s="10" t="inlineStr">
        <is>
          <t>CCKB tiếp nhận trước yêu cầu cắm A, B, C; chưa xe nào vào</t>
        </is>
      </c>
      <c r="D32" s="10" t="inlineStr">
        <is>
          <t>CCKB tạo yêu cầu cho A/B/C</t>
        </is>
      </c>
      <c r="E32" s="10" t="inlineStr">
        <is>
          <t>Đã chốt: ghi danh sách dự kiến; không tạo lượt cont vào và không tính tiền điện/lưu trước khi có sự kiện thực tế.</t>
        </is>
      </c>
      <c r="F32" s="10" t="inlineStr">
        <is>
          <t>P0</t>
        </is>
      </c>
      <c r="G32" s="23" t="n"/>
      <c r="H32" s="23" t="inlineStr">
        <is>
          <t>Có quy tắc</t>
        </is>
      </c>
      <c r="I32" s="23" t="inlineStr">
        <is>
          <t>Bổ sung nghiệp vụ mới ngày 11/10/2026</t>
        </is>
      </c>
      <c r="J32" s="57" t="n"/>
      <c r="K32" s="57" t="n"/>
      <c r="L32" s="57" t="n"/>
      <c r="M32" s="57" t="n"/>
      <c r="N32" s="57" t="n"/>
      <c r="O32" s="57" t="n"/>
      <c r="P32" s="57" t="n"/>
      <c r="Q32" s="57" t="n"/>
      <c r="R32" s="57" t="n"/>
      <c r="S32" s="57" t="n"/>
      <c r="T32" s="57" t="n"/>
      <c r="U32" s="57" t="n"/>
      <c r="V32" s="57" t="n"/>
      <c r="W32" s="57" t="n"/>
      <c r="X32" s="57" t="n"/>
      <c r="Y32" s="57" t="n"/>
      <c r="Z32" s="57" t="n"/>
    </row>
    <row r="33" ht="70.5" customHeight="1" s="94">
      <c r="A33" s="10" t="inlineStr">
        <is>
          <t>TC29</t>
        </is>
      </c>
      <c r="B33" s="10" t="inlineStr">
        <is>
          <t>Yêu cầu điện dự kiến</t>
        </is>
      </c>
      <c r="C33" s="10" t="inlineStr">
        <is>
          <t>Chỉ container A trong danh sách A,B,C đi vào cổng</t>
        </is>
      </c>
      <c r="D33" s="10" t="inlineStr">
        <is>
          <t>A vào trước, B/C chưa tới</t>
        </is>
      </c>
      <c r="E33" s="10" t="inlineStr">
        <is>
          <t>Đã chốt: An ninh thấy cảnh báo yêu cầu dự kiến. Đề xuất: chỉ A ghép lượt thực tế, B/C vẫn chờ.</t>
        </is>
      </c>
      <c r="F33" s="10" t="inlineStr">
        <is>
          <t>P0</t>
        </is>
      </c>
      <c r="G33" s="23" t="n"/>
      <c r="H33" s="23" t="inlineStr">
        <is>
          <t>Chờ duyệt</t>
        </is>
      </c>
      <c r="I33" s="23" t="inlineStr">
        <is>
          <t>Bổ sung nghiệp vụ mới ngày 11/10/2026</t>
        </is>
      </c>
      <c r="J33" s="57" t="n"/>
      <c r="K33" s="57" t="n"/>
      <c r="L33" s="57" t="n"/>
      <c r="M33" s="57" t="n"/>
      <c r="N33" s="57" t="n"/>
      <c r="O33" s="57" t="n"/>
      <c r="P33" s="57" t="n"/>
      <c r="Q33" s="57" t="n"/>
      <c r="R33" s="57" t="n"/>
      <c r="S33" s="57" t="n"/>
      <c r="T33" s="57" t="n"/>
      <c r="U33" s="57" t="n"/>
      <c r="V33" s="57" t="n"/>
      <c r="W33" s="57" t="n"/>
      <c r="X33" s="57" t="n"/>
      <c r="Y33" s="57" t="n"/>
      <c r="Z33" s="57" t="n"/>
    </row>
    <row r="34" ht="70.5" customHeight="1" s="94">
      <c r="A34" s="10" t="inlineStr">
        <is>
          <t>TC30</t>
        </is>
      </c>
      <c r="B34" s="10" t="inlineStr">
        <is>
          <t>Yêu cầu điện dự kiến</t>
        </is>
      </c>
      <c r="C34" s="10" t="inlineStr">
        <is>
          <t>An ninh gõ trùng số container trong yêu cầu dự kiến</t>
        </is>
      </c>
      <c r="D34" s="10" t="inlineStr">
        <is>
          <t>CCKB dự kiến ABCU1234567, thực tế ABCU1234567</t>
        </is>
      </c>
      <c r="E34" s="10" t="inlineStr">
        <is>
          <t>Đã chốt: hiển thị yêu cầu dự kiến để đối chiếu. Cơ chế ghép tự động/chọn tay cần xác nhận PR04.</t>
        </is>
      </c>
      <c r="F34" s="10" t="inlineStr">
        <is>
          <t>P0</t>
        </is>
      </c>
      <c r="G34" s="23" t="n"/>
      <c r="H34" s="23" t="inlineStr">
        <is>
          <t>Chờ duyệt</t>
        </is>
      </c>
      <c r="I34" s="23" t="inlineStr">
        <is>
          <t>Bổ sung nghiệp vụ mới ngày 11/10/2026</t>
        </is>
      </c>
      <c r="J34" s="57" t="n"/>
      <c r="K34" s="57" t="n"/>
      <c r="L34" s="57" t="n"/>
      <c r="M34" s="57" t="n"/>
      <c r="N34" s="57" t="n"/>
      <c r="O34" s="57" t="n"/>
      <c r="P34" s="57" t="n"/>
      <c r="Q34" s="57" t="n"/>
      <c r="R34" s="57" t="n"/>
      <c r="S34" s="57" t="n"/>
      <c r="T34" s="57" t="n"/>
      <c r="U34" s="57" t="n"/>
      <c r="V34" s="57" t="n"/>
      <c r="W34" s="57" t="n"/>
      <c r="X34" s="57" t="n"/>
      <c r="Y34" s="57" t="n"/>
      <c r="Z34" s="57" t="n"/>
    </row>
    <row r="35" ht="70.5" customHeight="1" s="94">
      <c r="A35" s="10" t="inlineStr">
        <is>
          <t>TC31</t>
        </is>
      </c>
      <c r="B35" s="10" t="inlineStr">
        <is>
          <t>Đối chiếu số cont</t>
        </is>
      </c>
      <c r="C35" s="10" t="inlineStr">
        <is>
          <t>Số container khách báo trước sai 1 ký tự so với số thực tế</t>
        </is>
      </c>
      <c r="D35" s="10" t="inlineStr">
        <is>
          <t>ABCU1234567 vs ACBU1234567</t>
        </is>
      </c>
      <c r="E35" s="10" t="inlineStr">
        <is>
          <t>Đề xuất: cảnh báo mã gần giống, không tự ghép/đổi số khi khác; An ninh xác minh thực tế.</t>
        </is>
      </c>
      <c r="F35" s="10" t="inlineStr">
        <is>
          <t>P0</t>
        </is>
      </c>
      <c r="G35" s="23" t="n"/>
      <c r="H35" s="23" t="inlineStr">
        <is>
          <t>Chờ duyệt</t>
        </is>
      </c>
      <c r="I35" s="23" t="inlineStr">
        <is>
          <t>Bổ sung nghiệp vụ mới ngày 11/10/2026</t>
        </is>
      </c>
      <c r="J35" s="57" t="n"/>
      <c r="K35" s="57" t="n"/>
      <c r="L35" s="57" t="n"/>
      <c r="M35" s="57" t="n"/>
      <c r="N35" s="57" t="n"/>
      <c r="O35" s="57" t="n"/>
      <c r="P35" s="57" t="n"/>
      <c r="Q35" s="57" t="n"/>
      <c r="R35" s="57" t="n"/>
      <c r="S35" s="57" t="n"/>
      <c r="T35" s="57" t="n"/>
      <c r="U35" s="57" t="n"/>
      <c r="V35" s="57" t="n"/>
      <c r="W35" s="57" t="n"/>
      <c r="X35" s="57" t="n"/>
      <c r="Y35" s="57" t="n"/>
      <c r="Z35" s="57" t="n"/>
    </row>
    <row r="36" ht="70.5" customHeight="1" s="94">
      <c r="A36" s="10" t="inlineStr">
        <is>
          <t>TC32</t>
        </is>
      </c>
      <c r="B36" s="10" t="inlineStr">
        <is>
          <t>Sửa số cont</t>
        </is>
      </c>
      <c r="C36" s="10" t="inlineStr">
        <is>
          <t>An ninh thấy số đã nhập nhầm sau khi chụp ảnh hiện trường</t>
        </is>
      </c>
      <c r="D36" s="10" t="inlineStr">
        <is>
          <t>Số dự kiến/nhập khác ảnh cont thực tế</t>
        </is>
      </c>
      <c r="E36" s="10" t="inlineStr">
        <is>
          <t>Đã chốt: An ninh có thể sửa và báo lại CCKB; đề xuất giữ giá trị cũ/mới, người sửa, lý do và chứng cứ.</t>
        </is>
      </c>
      <c r="F36" s="10" t="inlineStr">
        <is>
          <t>P0</t>
        </is>
      </c>
      <c r="G36" s="23" t="n"/>
      <c r="H36" s="23" t="inlineStr">
        <is>
          <t>Có quy tắc</t>
        </is>
      </c>
      <c r="I36" s="23" t="inlineStr">
        <is>
          <t>Bổ sung nghiệp vụ mới ngày 11/10/2026</t>
        </is>
      </c>
      <c r="J36" s="57" t="n"/>
      <c r="K36" s="57" t="n"/>
      <c r="L36" s="57" t="n"/>
      <c r="M36" s="57" t="n"/>
      <c r="N36" s="57" t="n"/>
      <c r="O36" s="57" t="n"/>
      <c r="P36" s="57" t="n"/>
      <c r="Q36" s="57" t="n"/>
      <c r="R36" s="57" t="n"/>
      <c r="S36" s="57" t="n"/>
      <c r="T36" s="57" t="n"/>
      <c r="U36" s="57" t="n"/>
      <c r="V36" s="57" t="n"/>
      <c r="W36" s="57" t="n"/>
      <c r="X36" s="57" t="n"/>
      <c r="Y36" s="57" t="n"/>
      <c r="Z36" s="57" t="n"/>
    </row>
    <row r="37" ht="70.5" customHeight="1" s="94">
      <c r="A37" s="10" t="inlineStr">
        <is>
          <t>TC33</t>
        </is>
      </c>
      <c r="B37" s="10" t="inlineStr">
        <is>
          <t>Sửa số cont</t>
        </is>
      </c>
      <c r="C37" s="10" t="inlineStr">
        <is>
          <t>Khách ban đầu báo sai số cont, CCKB nhập sai yêu cầu dự kiến</t>
        </is>
      </c>
      <c r="D37" s="10" t="inlineStr">
        <is>
          <t>Khách nhắn A, thực tế B</t>
        </is>
      </c>
      <c r="E37" s="10" t="inlineStr">
        <is>
          <t>Đề xuất: CCKB cập nhật yêu cầu dự kiến theo số thực tế; không tạo trùng lượt cont.</t>
        </is>
      </c>
      <c r="F37" s="10" t="inlineStr">
        <is>
          <t>P0</t>
        </is>
      </c>
      <c r="G37" s="23" t="n"/>
      <c r="H37" s="23" t="inlineStr">
        <is>
          <t>Chờ duyệt</t>
        </is>
      </c>
      <c r="I37" s="23" t="inlineStr">
        <is>
          <t>Bổ sung nghiệp vụ mới ngày 11/10/2026</t>
        </is>
      </c>
      <c r="J37" s="57" t="n"/>
      <c r="K37" s="57" t="n"/>
      <c r="L37" s="57" t="n"/>
      <c r="M37" s="57" t="n"/>
      <c r="N37" s="57" t="n"/>
      <c r="O37" s="57" t="n"/>
      <c r="P37" s="57" t="n"/>
      <c r="Q37" s="57" t="n"/>
      <c r="R37" s="57" t="n"/>
      <c r="S37" s="57" t="n"/>
      <c r="T37" s="57" t="n"/>
      <c r="U37" s="57" t="n"/>
      <c r="V37" s="57" t="n"/>
      <c r="W37" s="57" t="n"/>
      <c r="X37" s="57" t="n"/>
      <c r="Y37" s="57" t="n"/>
      <c r="Z37" s="57" t="n"/>
    </row>
    <row r="38" ht="70.5" customHeight="1" s="94">
      <c r="A38" s="10" t="inlineStr">
        <is>
          <t>TC34</t>
        </is>
      </c>
      <c r="B38" s="10" t="inlineStr">
        <is>
          <t>Liên kết điện</t>
        </is>
      </c>
      <c r="C38" s="10" t="inlineStr">
        <is>
          <t>Sau khi đã nhập giờ cắm, An ninh phát hiện video chụp cont khác số đã liên kết</t>
        </is>
      </c>
      <c r="D38" s="10" t="inlineStr">
        <is>
          <t>Phiên điện nối nhầm cont A thay vì B</t>
        </is>
      </c>
      <c r="E38" s="10" t="inlineStr">
        <is>
          <t>Đề xuất: quy trình sửa liên kết phiên điện có kiểm soát; audit, thông báo CCKB và tính lại liên quan.</t>
        </is>
      </c>
      <c r="F38" s="10" t="inlineStr">
        <is>
          <t>P0</t>
        </is>
      </c>
      <c r="G38" s="23" t="n"/>
      <c r="H38" s="23" t="inlineStr">
        <is>
          <t>Chờ duyệt</t>
        </is>
      </c>
      <c r="I38" s="23" t="inlineStr">
        <is>
          <t>Bổ sung nghiệp vụ mới ngày 11/10/2026</t>
        </is>
      </c>
      <c r="J38" s="57" t="n"/>
      <c r="K38" s="57" t="n"/>
      <c r="L38" s="57" t="n"/>
      <c r="M38" s="57" t="n"/>
      <c r="N38" s="57" t="n"/>
      <c r="O38" s="57" t="n"/>
      <c r="P38" s="57" t="n"/>
      <c r="Q38" s="57" t="n"/>
      <c r="R38" s="57" t="n"/>
      <c r="S38" s="57" t="n"/>
      <c r="T38" s="57" t="n"/>
      <c r="U38" s="57" t="n"/>
      <c r="V38" s="57" t="n"/>
      <c r="W38" s="57" t="n"/>
      <c r="X38" s="57" t="n"/>
      <c r="Y38" s="57" t="n"/>
      <c r="Z38" s="57" t="n"/>
    </row>
    <row r="39" ht="70.5" customHeight="1" s="94">
      <c r="A39" s="10" t="inlineStr">
        <is>
          <t>TC35</t>
        </is>
      </c>
      <c r="B39" s="10" t="inlineStr">
        <is>
          <t>Sau khi thu tiền</t>
        </is>
      </c>
      <c r="C39" s="10" t="inlineStr">
        <is>
          <t>Sửa số cont sau khi phí điện/lưu đã thu hoặc CCKB đã duyệt cho ra</t>
        </is>
      </c>
      <c r="D39" s="10" t="inlineStr">
        <is>
          <t>Trạng thái tiền đã thu/đã duyệt</t>
        </is>
      </c>
      <c r="E39" s="10" t="inlineStr">
        <is>
          <t>Đề xuất: không thay ngầm giao dịch tài chính; cần tái kiểm tra và xác nhận ngoại lệ.</t>
        </is>
      </c>
      <c r="F39" s="10" t="inlineStr">
        <is>
          <t>P0</t>
        </is>
      </c>
      <c r="G39" s="23" t="n"/>
      <c r="H39" s="23" t="inlineStr">
        <is>
          <t>Chờ duyệt</t>
        </is>
      </c>
      <c r="I39" s="23" t="inlineStr">
        <is>
          <t>Bổ sung nghiệp vụ mới ngày 11/10/2026</t>
        </is>
      </c>
      <c r="J39" s="57" t="n"/>
      <c r="K39" s="57" t="n"/>
      <c r="L39" s="57" t="n"/>
      <c r="M39" s="57" t="n"/>
      <c r="N39" s="57" t="n"/>
      <c r="O39" s="57" t="n"/>
      <c r="P39" s="57" t="n"/>
      <c r="Q39" s="57" t="n"/>
      <c r="R39" s="57" t="n"/>
      <c r="S39" s="57" t="n"/>
      <c r="T39" s="57" t="n"/>
      <c r="U39" s="57" t="n"/>
      <c r="V39" s="57" t="n"/>
      <c r="W39" s="57" t="n"/>
      <c r="X39" s="57" t="n"/>
      <c r="Y39" s="57" t="n"/>
      <c r="Z39" s="57" t="n"/>
    </row>
    <row r="40" ht="70.5" customHeight="1" s="94">
      <c r="A40" s="10" t="inlineStr">
        <is>
          <t>TC36</t>
        </is>
      </c>
      <c r="B40" s="10" t="inlineStr">
        <is>
          <t>Dữ liệu trùng</t>
        </is>
      </c>
      <c r="C40" s="10" t="inlineStr">
        <is>
          <t>Có hai yêu cầu dự kiến cùng số cont nhưng khác khách hàng hoặc 2 cont cùng mã đang trong bãi</t>
        </is>
      </c>
      <c r="D40" s="10" t="inlineStr">
        <is>
          <t>ABCU1234567 lặp trong hai yêu cầu</t>
        </is>
      </c>
      <c r="E40" s="10" t="inlineStr">
        <is>
          <t>Đề xuất: cảnh báo trùng và yêu cầu phân định đúng lượt thực tế; không tự nhập/thu trùng.</t>
        </is>
      </c>
      <c r="F40" s="10" t="inlineStr">
        <is>
          <t>P0</t>
        </is>
      </c>
      <c r="G40" s="23" t="n"/>
      <c r="H40" s="23" t="inlineStr">
        <is>
          <t>Chờ duyệt</t>
        </is>
      </c>
      <c r="I40" s="23" t="inlineStr">
        <is>
          <t>Bổ sung nghiệp vụ mới ngày 11/10/2026</t>
        </is>
      </c>
      <c r="J40" s="57" t="n"/>
      <c r="K40" s="57" t="n"/>
      <c r="L40" s="57" t="n"/>
      <c r="M40" s="57" t="n"/>
      <c r="N40" s="57" t="n"/>
      <c r="O40" s="57" t="n"/>
      <c r="P40" s="57" t="n"/>
      <c r="Q40" s="57" t="n"/>
      <c r="R40" s="57" t="n"/>
      <c r="S40" s="57" t="n"/>
      <c r="T40" s="57" t="n"/>
      <c r="U40" s="57" t="n"/>
      <c r="V40" s="57" t="n"/>
      <c r="W40" s="57" t="n"/>
      <c r="X40" s="57" t="n"/>
      <c r="Y40" s="57" t="n"/>
      <c r="Z40" s="57" t="n"/>
    </row>
    <row r="41" ht="70.5" customHeight="1" s="94">
      <c r="A41" s="10" t="inlineStr">
        <is>
          <t>TC37</t>
        </is>
      </c>
      <c r="B41" s="10" t="inlineStr">
        <is>
          <t>Yêu cầu điện dự kiến</t>
        </is>
      </c>
      <c r="C41" s="10" t="inlineStr">
        <is>
          <t>Container đã được đăng ký dự kiến nhưng khách hủy/không đến</t>
        </is>
      </c>
      <c r="D41" s="10" t="inlineStr">
        <is>
          <t>Dự kiến A/B/C, hủy C</t>
        </is>
      </c>
      <c r="E41" s="10" t="inlineStr">
        <is>
          <t>Đề xuất: cho hủy dòng C, giữ lịch sử; không thay dữ liệu A/B và không tạo phí.</t>
        </is>
      </c>
      <c r="F41" s="10" t="inlineStr">
        <is>
          <t>P1</t>
        </is>
      </c>
      <c r="G41" s="23" t="n"/>
      <c r="H41" s="23" t="inlineStr">
        <is>
          <t>Chờ duyệt</t>
        </is>
      </c>
      <c r="I41" s="23" t="inlineStr">
        <is>
          <t>Bổ sung nghiệp vụ mới ngày 11/10/2026</t>
        </is>
      </c>
      <c r="J41" s="57" t="n"/>
      <c r="K41" s="57" t="n"/>
      <c r="L41" s="57" t="n"/>
      <c r="M41" s="57" t="n"/>
      <c r="N41" s="57" t="n"/>
      <c r="O41" s="57" t="n"/>
      <c r="P41" s="57" t="n"/>
      <c r="Q41" s="57" t="n"/>
      <c r="R41" s="57" t="n"/>
      <c r="S41" s="57" t="n"/>
      <c r="T41" s="57" t="n"/>
      <c r="U41" s="57" t="n"/>
      <c r="V41" s="57" t="n"/>
      <c r="W41" s="57" t="n"/>
      <c r="X41" s="57" t="n"/>
      <c r="Y41" s="57" t="n"/>
      <c r="Z41" s="57" t="n"/>
    </row>
    <row r="42" ht="70.5" customHeight="1" s="94">
      <c r="A42" s="10" t="inlineStr">
        <is>
          <t>TC38</t>
        </is>
      </c>
      <c r="B42" s="10" t="inlineStr">
        <is>
          <t>Tình huống mạng</t>
        </is>
      </c>
      <c r="C42" s="10" t="inlineStr">
        <is>
          <t>An ninh tra cứu yêu cầu dự kiến nhưng mất Internet tại cổng</t>
        </is>
      </c>
      <c r="D42" s="10" t="inlineStr">
        <is>
          <t>PWA offline, cần xác nhận cont</t>
        </is>
      </c>
      <c r="E42" s="10" t="inlineStr">
        <is>
          <t>Cần chốt: thông báo dữ liệu có thể chưa cập nhật; không tự ghép hay xác nhận tài chính/cho ra khi offline.</t>
        </is>
      </c>
      <c r="F42" s="10" t="inlineStr">
        <is>
          <t>P0</t>
        </is>
      </c>
      <c r="G42" s="23" t="n"/>
      <c r="H42" s="23" t="inlineStr">
        <is>
          <t>Chờ duyệt</t>
        </is>
      </c>
      <c r="I42" s="23" t="inlineStr">
        <is>
          <t>Bổ sung nghiệp vụ mới ngày 11/10/2026</t>
        </is>
      </c>
      <c r="J42" s="57" t="n"/>
      <c r="K42" s="57" t="n"/>
      <c r="L42" s="57" t="n"/>
      <c r="M42" s="57" t="n"/>
      <c r="N42" s="57" t="n"/>
      <c r="O42" s="57" t="n"/>
      <c r="P42" s="57" t="n"/>
      <c r="Q42" s="57" t="n"/>
      <c r="R42" s="57" t="n"/>
      <c r="S42" s="57" t="n"/>
      <c r="T42" s="57" t="n"/>
      <c r="U42" s="57" t="n"/>
      <c r="V42" s="57" t="n"/>
      <c r="W42" s="57" t="n"/>
      <c r="X42" s="57" t="n"/>
      <c r="Y42" s="57" t="n"/>
      <c r="Z42" s="57" t="n"/>
    </row>
    <row r="43" ht="72" customHeight="1" s="94">
      <c r="A43" s="10" t="inlineStr">
        <is>
          <t>TC39</t>
        </is>
      </c>
      <c r="B43" s="10" t="inlineStr">
        <is>
          <t>Thanh toán</t>
        </is>
      </c>
      <c r="C43" s="10" t="inlineStr">
        <is>
          <t>CCKB duyệt cho container ra dù chưa ghi nhận đủ tiền</t>
        </is>
      </c>
      <c r="D43" s="10" t="inlineStr">
        <is>
          <t>Container còn 200.000đ tiền điện; CCKB cho phép ra</t>
        </is>
      </c>
      <c r="E43" s="10" t="inlineStr">
        <is>
          <t>Cho thao tác duyệt thủ công với cảnh báo Chưa thu; quyền/lý do/nhật ký còn cần chốt OUT01</t>
        </is>
      </c>
      <c r="F43" s="10" t="inlineStr">
        <is>
          <t>P0</t>
        </is>
      </c>
      <c r="G43" s="23" t="n"/>
      <c r="H43" s="23" t="inlineStr">
        <is>
          <t>Chờ duyệt</t>
        </is>
      </c>
      <c r="I43" s="23" t="inlineStr">
        <is>
          <t>V1 T08, OUT01</t>
        </is>
      </c>
      <c r="J43" s="57" t="n"/>
      <c r="K43" s="57" t="n"/>
      <c r="L43" s="57" t="n"/>
      <c r="M43" s="57" t="n"/>
      <c r="N43" s="57" t="n"/>
      <c r="O43" s="57" t="n"/>
      <c r="P43" s="57" t="n"/>
      <c r="Q43" s="57" t="n"/>
      <c r="R43" s="57" t="n"/>
      <c r="S43" s="57" t="n"/>
      <c r="T43" s="57" t="n"/>
      <c r="U43" s="57" t="n"/>
      <c r="V43" s="57" t="n"/>
      <c r="W43" s="57" t="n"/>
      <c r="X43" s="57" t="n"/>
      <c r="Y43" s="57" t="n"/>
      <c r="Z43" s="57" t="n"/>
    </row>
    <row r="44" ht="72" customHeight="1" s="94">
      <c r="A44" s="10" t="inlineStr">
        <is>
          <t>TC40</t>
        </is>
      </c>
      <c r="B44" s="10" t="inlineStr">
        <is>
          <t>Vé</t>
        </is>
      </c>
      <c r="C44" s="10" t="inlineStr">
        <is>
          <t>Đầu kéo vào không cont rồi kéo cont khác ra</t>
        </is>
      </c>
      <c r="D44" s="10" t="inlineStr">
        <is>
          <t>DAU_KEO khi vào, có SO_CONTAINER_RA khi ra</t>
        </is>
      </c>
      <c r="E44" s="10" t="inlineStr">
        <is>
          <t>Theo V1 V01 không thu thêm 250.000đ tiền vé; thu phí container theo lượt riêng</t>
        </is>
      </c>
      <c r="F44" s="10" t="inlineStr">
        <is>
          <t>P0</t>
        </is>
      </c>
      <c r="G44" s="23" t="n"/>
      <c r="H44" s="23" t="inlineStr">
        <is>
          <t>Có quy tắc</t>
        </is>
      </c>
      <c r="I44" s="23" t="inlineStr">
        <is>
          <t>V1 V01</t>
        </is>
      </c>
      <c r="J44" s="57" t="n"/>
      <c r="K44" s="57" t="n"/>
      <c r="L44" s="57" t="n"/>
      <c r="M44" s="57" t="n"/>
      <c r="N44" s="57" t="n"/>
      <c r="O44" s="57" t="n"/>
      <c r="P44" s="57" t="n"/>
      <c r="Q44" s="57" t="n"/>
      <c r="R44" s="57" t="n"/>
      <c r="S44" s="57" t="n"/>
      <c r="T44" s="57" t="n"/>
      <c r="U44" s="57" t="n"/>
      <c r="V44" s="57" t="n"/>
      <c r="W44" s="57" t="n"/>
      <c r="X44" s="57" t="n"/>
      <c r="Y44" s="57" t="n"/>
      <c r="Z44" s="57" t="n"/>
    </row>
    <row r="45" ht="72" customHeight="1" s="94">
      <c r="A45" s="10" t="inlineStr">
        <is>
          <t>TC41</t>
        </is>
      </c>
      <c r="B45" s="10" t="inlineStr">
        <is>
          <t>Bảng giá</t>
        </is>
      </c>
      <c r="C45" s="10" t="inlineStr">
        <is>
          <t>Theo giờ có mốc dự kiến, cắm liên tục chưa có</t>
        </is>
      </c>
      <c r="D45" s="10" t="inlineStr">
        <is>
          <t>Loại yêu cầu A/B, chưa có giờ thực tế</t>
        </is>
      </c>
      <c r="E45" s="10" t="inlineStr">
        <is>
          <t>Cho CCKB lưu dự kiến nhưng tiền điện chỉ tính theo giờ cắm/rút thực tế; thời gian dự kiến có thể để trống</t>
        </is>
      </c>
      <c r="F45" s="10" t="inlineStr">
        <is>
          <t>P1</t>
        </is>
      </c>
      <c r="G45" s="23" t="n"/>
      <c r="H45" s="23" t="inlineStr">
        <is>
          <t>Có quy tắc</t>
        </is>
      </c>
      <c r="I45" s="23" t="inlineStr">
        <is>
          <t>V1 E03 + chính sách cắm điện</t>
        </is>
      </c>
      <c r="J45" s="57" t="n"/>
      <c r="K45" s="57" t="n"/>
      <c r="L45" s="57" t="n"/>
      <c r="M45" s="57" t="n"/>
      <c r="N45" s="57" t="n"/>
      <c r="O45" s="57" t="n"/>
      <c r="P45" s="57" t="n"/>
      <c r="Q45" s="57" t="n"/>
      <c r="R45" s="57" t="n"/>
      <c r="S45" s="57" t="n"/>
      <c r="T45" s="57" t="n"/>
      <c r="U45" s="57" t="n"/>
      <c r="V45" s="57" t="n"/>
      <c r="W45" s="57" t="n"/>
      <c r="X45" s="57" t="n"/>
      <c r="Y45" s="57" t="n"/>
      <c r="Z45" s="57" t="n"/>
    </row>
    <row r="46" ht="72" customHeight="1" s="94">
      <c r="A46" s="10" t="inlineStr">
        <is>
          <t>TC42</t>
        </is>
      </c>
      <c r="B46" s="10" t="inlineStr">
        <is>
          <t>Thu theo ca</t>
        </is>
      </c>
      <c r="C46" s="10" t="inlineStr">
        <is>
          <t>Ca An ninh 06:00–18:00, chốt doanh thu lúc 16:00</t>
        </is>
      </c>
      <c r="D46" s="10" t="inlineStr">
        <is>
          <t>Khác khung thời gian của ca</t>
        </is>
      </c>
      <c r="E46" s="10" t="inlineStr">
        <is>
          <t>Không được mặc định ca và kỳ chốt tiền trùng nhau; giờ chốt cần cấu hình/xác nhận T14</t>
        </is>
      </c>
      <c r="F46" s="10" t="inlineStr">
        <is>
          <t>P1</t>
        </is>
      </c>
      <c r="G46" s="23" t="n"/>
      <c r="H46" s="23" t="inlineStr">
        <is>
          <t>Chờ duyệt</t>
        </is>
      </c>
      <c r="I46" s="23" t="inlineStr">
        <is>
          <t>V1 T14</t>
        </is>
      </c>
      <c r="J46" s="57" t="n"/>
      <c r="K46" s="57" t="n"/>
      <c r="L46" s="57" t="n"/>
      <c r="M46" s="57" t="n"/>
      <c r="N46" s="57" t="n"/>
      <c r="O46" s="57" t="n"/>
      <c r="P46" s="57" t="n"/>
      <c r="Q46" s="57" t="n"/>
      <c r="R46" s="57" t="n"/>
      <c r="S46" s="57" t="n"/>
      <c r="T46" s="57" t="n"/>
      <c r="U46" s="57" t="n"/>
      <c r="V46" s="57" t="n"/>
      <c r="W46" s="57" t="n"/>
      <c r="X46" s="57" t="n"/>
      <c r="Y46" s="57" t="n"/>
      <c r="Z46" s="57" t="n"/>
    </row>
    <row r="47" ht="72" customHeight="1" s="94">
      <c r="A47" s="10" t="inlineStr">
        <is>
          <t>TC43</t>
        </is>
      </c>
      <c r="B47" s="10" t="inlineStr">
        <is>
          <t>Hóa đơn</t>
        </is>
      </c>
      <c r="C47" s="10" t="inlineStr">
        <is>
          <t>Khách có nhu cầu xuất hóa đơn tại thời điểm mua vé</t>
        </is>
      </c>
      <c r="D47" s="10" t="inlineStr">
        <is>
          <t>Họ tên/tên công ty, MST/CCCD, thường trú, điện thoại, email</t>
        </is>
      </c>
      <c r="E47" s="10" t="inlineStr">
        <is>
          <t>Có cờ Cần xuất hóa đơn và thông tin khách theo loại; trường bắt buộc &amp; giao Kế toán cần chốt INV01/INV02</t>
        </is>
      </c>
      <c r="F47" s="10" t="inlineStr">
        <is>
          <t>P0</t>
        </is>
      </c>
      <c r="G47" s="23" t="n"/>
      <c r="H47" s="23" t="inlineStr">
        <is>
          <t>Chờ duyệt</t>
        </is>
      </c>
      <c r="I47" s="23" t="inlineStr">
        <is>
          <t>V1 T12</t>
        </is>
      </c>
      <c r="J47" s="57" t="n"/>
      <c r="K47" s="57" t="n"/>
      <c r="L47" s="57" t="n"/>
      <c r="M47" s="57" t="n"/>
      <c r="N47" s="57" t="n"/>
      <c r="O47" s="57" t="n"/>
      <c r="P47" s="57" t="n"/>
      <c r="Q47" s="57" t="n"/>
      <c r="R47" s="57" t="n"/>
      <c r="S47" s="57" t="n"/>
      <c r="T47" s="57" t="n"/>
      <c r="U47" s="57" t="n"/>
      <c r="V47" s="57" t="n"/>
      <c r="W47" s="57" t="n"/>
      <c r="X47" s="57" t="n"/>
      <c r="Y47" s="57" t="n"/>
      <c r="Z47" s="57" t="n"/>
    </row>
    <row r="48" ht="72" customHeight="1" s="94">
      <c r="A48" s="10" t="inlineStr">
        <is>
          <t>TC44</t>
        </is>
      </c>
      <c r="B48" s="10" t="inlineStr">
        <is>
          <t>Sai số cont</t>
        </is>
      </c>
      <c r="C48" s="10" t="inlineStr">
        <is>
          <t>An ninh phát hiện số cont sai sau khi CCKB đã duyệt ra tay</t>
        </is>
      </c>
      <c r="D48" s="10" t="inlineStr">
        <is>
          <t>Sai một số; trước đó CCKB duyệt chưa thu đủ</t>
        </is>
      </c>
      <c r="E48" s="10" t="inlineStr">
        <is>
          <t>Giữ cảnh báo, thông báo CCKB đối chiếu khoản thu/trạng thái ra; phương thức chặn hoặc cho ra cần chốt SC08</t>
        </is>
      </c>
      <c r="F48" s="10" t="inlineStr">
        <is>
          <t>P0</t>
        </is>
      </c>
      <c r="G48" s="23" t="n"/>
      <c r="H48" s="23" t="inlineStr">
        <is>
          <t>Chờ duyệt</t>
        </is>
      </c>
      <c r="I48" s="23" t="inlineStr">
        <is>
          <t>V1 T08/D06 + SC08</t>
        </is>
      </c>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I$48"/>
  <mergeCells count="2">
    <mergeCell ref="A1:I1"/>
    <mergeCell ref="A2:I2"/>
  </mergeCells>
  <dataValidations count="1">
    <dataValidation sqref="H5:H48" showDropDown="0" showInputMessage="1" showErrorMessage="0" allowBlank="1" prompt="Chọn từ danh sách - Có thể chọn từ danh sách hoặc điền nội dung chi tiết ở cột bên cạnh." type="list">
      <formula1>"Chờ duyệt,Có quy tắc,Đã duyệt,Đạt,Không đạt,Không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9.xml><?xml version="1.0" encoding="utf-8"?>
<worksheet xmlns="http://schemas.openxmlformats.org/spreadsheetml/2006/main">
  <sheetPr>
    <tabColor rgb="FF8091A2"/>
    <outlinePr summaryBelow="1" summaryRight="1"/>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8" customWidth="1" style="94" min="1" max="1"/>
    <col width="21" customWidth="1" style="94" min="2" max="2"/>
    <col width="34" customWidth="1" style="94" min="3" max="3"/>
    <col width="44" customWidth="1" style="94" min="4" max="4"/>
    <col width="75" customWidth="1" style="94" min="5" max="5"/>
    <col width="16" customWidth="1" style="94" min="6" max="6"/>
    <col width="56" customWidth="1" style="94" min="7" max="7"/>
    <col width="67" customWidth="1" style="94" min="8" max="8"/>
  </cols>
  <sheetData>
    <row r="1" ht="36" customHeight="1" s="94">
      <c r="A1" s="95" t="inlineStr">
        <is>
          <t>DANH MỤC CỘT DỮ LIỆU APPSHEET V1 — ĐỐI CHIẾU PWA</t>
        </is>
      </c>
      <c r="I1" s="57" t="n"/>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32 cột VEHICLE + 25 cột CONTAINER từ tệp gốc. Ánh xạ PWA là đề xuất kỹ thuật, không tự coi là đã phê duyệt.</t>
        </is>
      </c>
      <c r="I2" s="57" t="n"/>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STT</t>
        </is>
      </c>
      <c r="B4" s="6" t="inlineStr">
        <is>
          <t>Bảng V1</t>
        </is>
      </c>
      <c r="C4" s="6" t="inlineStr">
        <is>
          <t>Cột gốc V1</t>
        </is>
      </c>
      <c r="D4" s="6" t="inlineStr">
        <is>
          <t>Hướng lưu trên PWA (đề xuất)</t>
        </is>
      </c>
      <c r="E4" s="6" t="inlineStr">
        <is>
          <t>Cách chuyển dữ liệu</t>
        </is>
      </c>
      <c r="F4" s="6" t="inlineStr">
        <is>
          <t>Mức ưu tiên</t>
        </is>
      </c>
      <c r="G4" s="6" t="inlineStr">
        <is>
          <t>Quyết định ánh xạ (điền)</t>
        </is>
      </c>
      <c r="H4" s="6" t="inlineStr">
        <is>
          <t>Ghi chú chuyển đổi (điền)</t>
        </is>
      </c>
      <c r="I4" s="57" t="n"/>
      <c r="J4" s="57" t="n"/>
      <c r="K4" s="57" t="n"/>
      <c r="L4" s="57" t="n"/>
      <c r="M4" s="57" t="n"/>
      <c r="N4" s="57" t="n"/>
      <c r="O4" s="57" t="n"/>
      <c r="P4" s="57" t="n"/>
      <c r="Q4" s="57" t="n"/>
      <c r="R4" s="57" t="n"/>
      <c r="S4" s="57" t="n"/>
      <c r="T4" s="57" t="n"/>
      <c r="U4" s="57" t="n"/>
      <c r="V4" s="57" t="n"/>
      <c r="W4" s="57" t="n"/>
      <c r="X4" s="57" t="n"/>
      <c r="Y4" s="57" t="n"/>
      <c r="Z4" s="57" t="n"/>
    </row>
    <row r="5" ht="42" customHeight="1" s="94">
      <c r="A5" s="10" t="n">
        <v>1</v>
      </c>
      <c r="B5" s="10" t="inlineStr">
        <is>
          <t>VEHICLE</t>
        </is>
      </c>
      <c r="C5" s="10" t="inlineStr">
        <is>
          <t>ID</t>
        </is>
      </c>
      <c r="D5" s="10" t="inlineStr">
        <is>
          <t>VEHICLE</t>
        </is>
      </c>
      <c r="E5" s="10" t="inlineStr">
        <is>
          <t>Giữ khóa nguồn/legacy ID; kiểm tra trùng.</t>
        </is>
      </c>
      <c r="F5" s="10" t="inlineStr">
        <is>
          <t>P0</t>
        </is>
      </c>
      <c r="G5" s="23" t="n"/>
      <c r="H5" s="23" t="n"/>
      <c r="I5" s="57" t="n"/>
      <c r="J5" s="57" t="n"/>
      <c r="K5" s="57" t="n"/>
      <c r="L5" s="57" t="n"/>
      <c r="M5" s="57" t="n"/>
      <c r="N5" s="57" t="n"/>
      <c r="O5" s="57" t="n"/>
      <c r="P5" s="57" t="n"/>
      <c r="Q5" s="57" t="n"/>
      <c r="R5" s="57" t="n"/>
      <c r="S5" s="57" t="n"/>
      <c r="T5" s="57" t="n"/>
      <c r="U5" s="57" t="n"/>
      <c r="V5" s="57" t="n"/>
      <c r="W5" s="57" t="n"/>
      <c r="X5" s="57" t="n"/>
      <c r="Y5" s="57" t="n"/>
      <c r="Z5" s="57" t="n"/>
    </row>
    <row r="6" ht="42" customHeight="1" s="94">
      <c r="A6" s="16" t="n">
        <v>2</v>
      </c>
      <c r="B6" s="16" t="inlineStr">
        <is>
          <t>VEHICLE</t>
        </is>
      </c>
      <c r="C6" s="16" t="inlineStr">
        <is>
          <t>BIEN_SO_XE</t>
        </is>
      </c>
      <c r="D6" s="16" t="inlineStr">
        <is>
          <t>VEHICLE_VISITS</t>
        </is>
      </c>
      <c r="E6" s="16" t="inlineStr">
        <is>
          <t>Giữ thời điểm thực tế, nguồn người thao tác; tách trạng thái tài chính và ra cổng.</t>
        </is>
      </c>
      <c r="F6" s="16" t="inlineStr">
        <is>
          <t>P1</t>
        </is>
      </c>
      <c r="G6" s="23" t="n"/>
      <c r="H6" s="23" t="n"/>
      <c r="I6" s="57" t="n"/>
      <c r="J6" s="57" t="n"/>
      <c r="K6" s="57" t="n"/>
      <c r="L6" s="57" t="n"/>
      <c r="M6" s="57" t="n"/>
      <c r="N6" s="57" t="n"/>
      <c r="O6" s="57" t="n"/>
      <c r="P6" s="57" t="n"/>
      <c r="Q6" s="57" t="n"/>
      <c r="R6" s="57" t="n"/>
      <c r="S6" s="57" t="n"/>
      <c r="T6" s="57" t="n"/>
      <c r="U6" s="57" t="n"/>
      <c r="V6" s="57" t="n"/>
      <c r="W6" s="57" t="n"/>
      <c r="X6" s="57" t="n"/>
      <c r="Y6" s="57" t="n"/>
      <c r="Z6" s="57" t="n"/>
    </row>
    <row r="7" ht="42" customHeight="1" s="94">
      <c r="A7" s="10" t="n">
        <v>3</v>
      </c>
      <c r="B7" s="10" t="inlineStr">
        <is>
          <t>VEHICLE</t>
        </is>
      </c>
      <c r="C7" s="10" t="inlineStr">
        <is>
          <t>LOAI_XE</t>
        </is>
      </c>
      <c r="D7" s="10" t="inlineStr">
        <is>
          <t>VEHICLE_VISITS</t>
        </is>
      </c>
      <c r="E7" s="10" t="inlineStr">
        <is>
          <t>Giữ thời điểm thực tế, nguồn người thao tác; tách trạng thái tài chính và ra cổng.</t>
        </is>
      </c>
      <c r="F7" s="10" t="inlineStr">
        <is>
          <t>P1</t>
        </is>
      </c>
      <c r="G7" s="23" t="n"/>
      <c r="H7" s="23" t="n"/>
      <c r="I7" s="57" t="n"/>
      <c r="J7" s="57" t="n"/>
      <c r="K7" s="57" t="n"/>
      <c r="L7" s="57" t="n"/>
      <c r="M7" s="57" t="n"/>
      <c r="N7" s="57" t="n"/>
      <c r="O7" s="57" t="n"/>
      <c r="P7" s="57" t="n"/>
      <c r="Q7" s="57" t="n"/>
      <c r="R7" s="57" t="n"/>
      <c r="S7" s="57" t="n"/>
      <c r="T7" s="57" t="n"/>
      <c r="U7" s="57" t="n"/>
      <c r="V7" s="57" t="n"/>
      <c r="W7" s="57" t="n"/>
      <c r="X7" s="57" t="n"/>
      <c r="Y7" s="57" t="n"/>
      <c r="Z7" s="57" t="n"/>
    </row>
    <row r="8" ht="42" customHeight="1" s="94">
      <c r="A8" s="16" t="n">
        <v>4</v>
      </c>
      <c r="B8" s="16" t="inlineStr">
        <is>
          <t>VEHICLE</t>
        </is>
      </c>
      <c r="C8" s="16" t="inlineStr">
        <is>
          <t>SO_CONTAINER_VAO</t>
        </is>
      </c>
      <c r="D8" s="16" t="inlineStr">
        <is>
          <t>CONTAINER / CONTAINER_VISITS</t>
        </is>
      </c>
      <c r="E8" s="16" t="inlineStr">
        <is>
          <t>Lưu lượt container độc lập, liên kết lượt xe; kiểm tra lịch sử nhiều lượt.</t>
        </is>
      </c>
      <c r="F8" s="16" t="inlineStr">
        <is>
          <t>P1</t>
        </is>
      </c>
      <c r="G8" s="23" t="n"/>
      <c r="H8" s="23" t="n"/>
      <c r="I8" s="57" t="n"/>
      <c r="J8" s="57" t="n"/>
      <c r="K8" s="57" t="n"/>
      <c r="L8" s="57" t="n"/>
      <c r="M8" s="57" t="n"/>
      <c r="N8" s="57" t="n"/>
      <c r="O8" s="57" t="n"/>
      <c r="P8" s="57" t="n"/>
      <c r="Q8" s="57" t="n"/>
      <c r="R8" s="57" t="n"/>
      <c r="S8" s="57" t="n"/>
      <c r="T8" s="57" t="n"/>
      <c r="U8" s="57" t="n"/>
      <c r="V8" s="57" t="n"/>
      <c r="W8" s="57" t="n"/>
      <c r="X8" s="57" t="n"/>
      <c r="Y8" s="57" t="n"/>
      <c r="Z8" s="57" t="n"/>
    </row>
    <row r="9" ht="42" customHeight="1" s="94">
      <c r="A9" s="10" t="n">
        <v>5</v>
      </c>
      <c r="B9" s="10" t="inlineStr">
        <is>
          <t>VEHICLE</t>
        </is>
      </c>
      <c r="C9" s="10" t="inlineStr">
        <is>
          <t>ID_CONTAINER_VAO</t>
        </is>
      </c>
      <c r="D9" s="10" t="inlineStr">
        <is>
          <t>Ghi chú nghiệp vụ / audit</t>
        </is>
      </c>
      <c r="E9" s="10" t="inlineStr">
        <is>
          <t>Cần xem ý nghĩa và ánh xạ theo hồ sơ nguồn.</t>
        </is>
      </c>
      <c r="F9" s="10" t="inlineStr">
        <is>
          <t>P1</t>
        </is>
      </c>
      <c r="G9" s="23" t="n"/>
      <c r="H9" s="23" t="n"/>
      <c r="I9" s="57" t="n"/>
      <c r="J9" s="57" t="n"/>
      <c r="K9" s="57" t="n"/>
      <c r="L9" s="57" t="n"/>
      <c r="M9" s="57" t="n"/>
      <c r="N9" s="57" t="n"/>
      <c r="O9" s="57" t="n"/>
      <c r="P9" s="57" t="n"/>
      <c r="Q9" s="57" t="n"/>
      <c r="R9" s="57" t="n"/>
      <c r="S9" s="57" t="n"/>
      <c r="T9" s="57" t="n"/>
      <c r="U9" s="57" t="n"/>
      <c r="V9" s="57" t="n"/>
      <c r="W9" s="57" t="n"/>
      <c r="X9" s="57" t="n"/>
      <c r="Y9" s="57" t="n"/>
      <c r="Z9" s="57" t="n"/>
    </row>
    <row r="10" ht="42" customHeight="1" s="94">
      <c r="A10" s="16" t="n">
        <v>6</v>
      </c>
      <c r="B10" s="16" t="inlineStr">
        <is>
          <t>VEHICLE</t>
        </is>
      </c>
      <c r="C10" s="16" t="inlineStr">
        <is>
          <t>GIO_VAO</t>
        </is>
      </c>
      <c r="D10" s="16" t="inlineStr">
        <is>
          <t>VEHICLE_VISITS</t>
        </is>
      </c>
      <c r="E10" s="16" t="inlineStr">
        <is>
          <t>Giữ thời điểm thực tế, nguồn người thao tác; tách trạng thái tài chính và ra cổng.</t>
        </is>
      </c>
      <c r="F10" s="16" t="inlineStr">
        <is>
          <t>P0</t>
        </is>
      </c>
      <c r="G10" s="23" t="n"/>
      <c r="H10" s="23" t="n"/>
      <c r="I10" s="57" t="n"/>
      <c r="J10" s="57" t="n"/>
      <c r="K10" s="57" t="n"/>
      <c r="L10" s="57" t="n"/>
      <c r="M10" s="57" t="n"/>
      <c r="N10" s="57" t="n"/>
      <c r="O10" s="57" t="n"/>
      <c r="P10" s="57" t="n"/>
      <c r="Q10" s="57" t="n"/>
      <c r="R10" s="57" t="n"/>
      <c r="S10" s="57" t="n"/>
      <c r="T10" s="57" t="n"/>
      <c r="U10" s="57" t="n"/>
      <c r="V10" s="57" t="n"/>
      <c r="W10" s="57" t="n"/>
      <c r="X10" s="57" t="n"/>
      <c r="Y10" s="57" t="n"/>
      <c r="Z10" s="57" t="n"/>
    </row>
    <row r="11" ht="42" customHeight="1" s="94">
      <c r="A11" s="10" t="n">
        <v>7</v>
      </c>
      <c r="B11" s="10" t="inlineStr">
        <is>
          <t>VEHICLE</t>
        </is>
      </c>
      <c r="C11" s="10" t="inlineStr">
        <is>
          <t>NGUOI_VAO</t>
        </is>
      </c>
      <c r="D11" s="10" t="inlineStr">
        <is>
          <t>VEHICLE_VISITS</t>
        </is>
      </c>
      <c r="E11" s="10" t="inlineStr">
        <is>
          <t>Giữ thời điểm thực tế, nguồn người thao tác; tách trạng thái tài chính và ra cổng.</t>
        </is>
      </c>
      <c r="F11" s="10" t="inlineStr">
        <is>
          <t>P1</t>
        </is>
      </c>
      <c r="G11" s="23" t="n"/>
      <c r="H11" s="23" t="n"/>
      <c r="I11" s="57" t="n"/>
      <c r="J11" s="57" t="n"/>
      <c r="K11" s="57" t="n"/>
      <c r="L11" s="57" t="n"/>
      <c r="M11" s="57" t="n"/>
      <c r="N11" s="57" t="n"/>
      <c r="O11" s="57" t="n"/>
      <c r="P11" s="57" t="n"/>
      <c r="Q11" s="57" t="n"/>
      <c r="R11" s="57" t="n"/>
      <c r="S11" s="57" t="n"/>
      <c r="T11" s="57" t="n"/>
      <c r="U11" s="57" t="n"/>
      <c r="V11" s="57" t="n"/>
      <c r="W11" s="57" t="n"/>
      <c r="X11" s="57" t="n"/>
      <c r="Y11" s="57" t="n"/>
      <c r="Z11" s="57" t="n"/>
    </row>
    <row r="12" ht="42" customHeight="1" s="94">
      <c r="A12" s="16" t="n">
        <v>8</v>
      </c>
      <c r="B12" s="16" t="inlineStr">
        <is>
          <t>VEHICLE</t>
        </is>
      </c>
      <c r="C12" s="16" t="inlineStr">
        <is>
          <t>SO_CONTAINER_RA</t>
        </is>
      </c>
      <c r="D12" s="16" t="inlineStr">
        <is>
          <t>CONTAINER / CONTAINER_VISITS</t>
        </is>
      </c>
      <c r="E12" s="16" t="inlineStr">
        <is>
          <t>Lưu lượt container độc lập, liên kết lượt xe; kiểm tra lịch sử nhiều lượt.</t>
        </is>
      </c>
      <c r="F12" s="16" t="inlineStr">
        <is>
          <t>P1</t>
        </is>
      </c>
      <c r="G12" s="23" t="n"/>
      <c r="H12" s="23" t="n"/>
      <c r="I12" s="57" t="n"/>
      <c r="J12" s="57" t="n"/>
      <c r="K12" s="57" t="n"/>
      <c r="L12" s="57" t="n"/>
      <c r="M12" s="57" t="n"/>
      <c r="N12" s="57" t="n"/>
      <c r="O12" s="57" t="n"/>
      <c r="P12" s="57" t="n"/>
      <c r="Q12" s="57" t="n"/>
      <c r="R12" s="57" t="n"/>
      <c r="S12" s="57" t="n"/>
      <c r="T12" s="57" t="n"/>
      <c r="U12" s="57" t="n"/>
      <c r="V12" s="57" t="n"/>
      <c r="W12" s="57" t="n"/>
      <c r="X12" s="57" t="n"/>
      <c r="Y12" s="57" t="n"/>
      <c r="Z12" s="57" t="n"/>
    </row>
    <row r="13" ht="42" customHeight="1" s="94">
      <c r="A13" s="10" t="n">
        <v>9</v>
      </c>
      <c r="B13" s="10" t="inlineStr">
        <is>
          <t>VEHICLE</t>
        </is>
      </c>
      <c r="C13" s="10" t="inlineStr">
        <is>
          <t>ID_CONTAINER_RA</t>
        </is>
      </c>
      <c r="D13" s="10" t="inlineStr">
        <is>
          <t>Ghi chú nghiệp vụ / audit</t>
        </is>
      </c>
      <c r="E13" s="10" t="inlineStr">
        <is>
          <t>Cần xem ý nghĩa và ánh xạ theo hồ sơ nguồn.</t>
        </is>
      </c>
      <c r="F13" s="10" t="inlineStr">
        <is>
          <t>P1</t>
        </is>
      </c>
      <c r="G13" s="23" t="n"/>
      <c r="H13" s="23" t="n"/>
      <c r="I13" s="57" t="n"/>
      <c r="J13" s="57" t="n"/>
      <c r="K13" s="57" t="n"/>
      <c r="L13" s="57" t="n"/>
      <c r="M13" s="57" t="n"/>
      <c r="N13" s="57" t="n"/>
      <c r="O13" s="57" t="n"/>
      <c r="P13" s="57" t="n"/>
      <c r="Q13" s="57" t="n"/>
      <c r="R13" s="57" t="n"/>
      <c r="S13" s="57" t="n"/>
      <c r="T13" s="57" t="n"/>
      <c r="U13" s="57" t="n"/>
      <c r="V13" s="57" t="n"/>
      <c r="W13" s="57" t="n"/>
      <c r="X13" s="57" t="n"/>
      <c r="Y13" s="57" t="n"/>
      <c r="Z13" s="57" t="n"/>
    </row>
    <row r="14" ht="42" customHeight="1" s="94">
      <c r="A14" s="16" t="n">
        <v>10</v>
      </c>
      <c r="B14" s="16" t="inlineStr">
        <is>
          <t>VEHICLE</t>
        </is>
      </c>
      <c r="C14" s="16" t="inlineStr">
        <is>
          <t>GIO_RA</t>
        </is>
      </c>
      <c r="D14" s="16" t="inlineStr">
        <is>
          <t>VEHICLE_VISITS</t>
        </is>
      </c>
      <c r="E14" s="16" t="inlineStr">
        <is>
          <t>Giữ thời điểm thực tế, nguồn người thao tác; tách trạng thái tài chính và ra cổng.</t>
        </is>
      </c>
      <c r="F14" s="16" t="inlineStr">
        <is>
          <t>P0</t>
        </is>
      </c>
      <c r="G14" s="23" t="n"/>
      <c r="H14" s="23" t="n"/>
      <c r="I14" s="57" t="n"/>
      <c r="J14" s="57" t="n"/>
      <c r="K14" s="57" t="n"/>
      <c r="L14" s="57" t="n"/>
      <c r="M14" s="57" t="n"/>
      <c r="N14" s="57" t="n"/>
      <c r="O14" s="57" t="n"/>
      <c r="P14" s="57" t="n"/>
      <c r="Q14" s="57" t="n"/>
      <c r="R14" s="57" t="n"/>
      <c r="S14" s="57" t="n"/>
      <c r="T14" s="57" t="n"/>
      <c r="U14" s="57" t="n"/>
      <c r="V14" s="57" t="n"/>
      <c r="W14" s="57" t="n"/>
      <c r="X14" s="57" t="n"/>
      <c r="Y14" s="57" t="n"/>
      <c r="Z14" s="57" t="n"/>
    </row>
    <row r="15" ht="42" customHeight="1" s="94">
      <c r="A15" s="10" t="n">
        <v>11</v>
      </c>
      <c r="B15" s="10" t="inlineStr">
        <is>
          <t>VEHICLE</t>
        </is>
      </c>
      <c r="C15" s="10" t="inlineStr">
        <is>
          <t>NGUOI_RA</t>
        </is>
      </c>
      <c r="D15" s="10" t="inlineStr">
        <is>
          <t>VEHICLE_VISITS</t>
        </is>
      </c>
      <c r="E15" s="10" t="inlineStr">
        <is>
          <t>Giữ thời điểm thực tế, nguồn người thao tác; tách trạng thái tài chính và ra cổng.</t>
        </is>
      </c>
      <c r="F15" s="10" t="inlineStr">
        <is>
          <t>P1</t>
        </is>
      </c>
      <c r="G15" s="23" t="n"/>
      <c r="H15" s="23" t="n"/>
      <c r="I15" s="57" t="n"/>
      <c r="J15" s="57" t="n"/>
      <c r="K15" s="57" t="n"/>
      <c r="L15" s="57" t="n"/>
      <c r="M15" s="57" t="n"/>
      <c r="N15" s="57" t="n"/>
      <c r="O15" s="57" t="n"/>
      <c r="P15" s="57" t="n"/>
      <c r="Q15" s="57" t="n"/>
      <c r="R15" s="57" t="n"/>
      <c r="S15" s="57" t="n"/>
      <c r="T15" s="57" t="n"/>
      <c r="U15" s="57" t="n"/>
      <c r="V15" s="57" t="n"/>
      <c r="W15" s="57" t="n"/>
      <c r="X15" s="57" t="n"/>
      <c r="Y15" s="57" t="n"/>
      <c r="Z15" s="57" t="n"/>
    </row>
    <row r="16" ht="42" customHeight="1" s="94">
      <c r="A16" s="16" t="n">
        <v>12</v>
      </c>
      <c r="B16" s="16" t="inlineStr">
        <is>
          <t>VEHICLE</t>
        </is>
      </c>
      <c r="C16" s="16" t="inlineStr">
        <is>
          <t>TIEN_VE_GOC</t>
        </is>
      </c>
      <c r="D16" s="16" t="inlineStr">
        <is>
          <t>CHARGES / PAYMENTS / AUDIT_LOG</t>
        </is>
      </c>
      <c r="E16" s="16" t="inlineStr">
        <is>
          <t>Tách số tiền phải thu và tiền thực nhận, giữ bằng chứng và lịch sử.</t>
        </is>
      </c>
      <c r="F16" s="16" t="inlineStr">
        <is>
          <t>P1</t>
        </is>
      </c>
      <c r="G16" s="23" t="n"/>
      <c r="H16" s="23" t="n"/>
      <c r="I16" s="57" t="n"/>
      <c r="J16" s="57" t="n"/>
      <c r="K16" s="57" t="n"/>
      <c r="L16" s="57" t="n"/>
      <c r="M16" s="57" t="n"/>
      <c r="N16" s="57" t="n"/>
      <c r="O16" s="57" t="n"/>
      <c r="P16" s="57" t="n"/>
      <c r="Q16" s="57" t="n"/>
      <c r="R16" s="57" t="n"/>
      <c r="S16" s="57" t="n"/>
      <c r="T16" s="57" t="n"/>
      <c r="U16" s="57" t="n"/>
      <c r="V16" s="57" t="n"/>
      <c r="W16" s="57" t="n"/>
      <c r="X16" s="57" t="n"/>
      <c r="Y16" s="57" t="n"/>
      <c r="Z16" s="57" t="n"/>
    </row>
    <row r="17" ht="42" customHeight="1" s="94">
      <c r="A17" s="10" t="n">
        <v>13</v>
      </c>
      <c r="B17" s="10" t="inlineStr">
        <is>
          <t>VEHICLE</t>
        </is>
      </c>
      <c r="C17" s="10" t="inlineStr">
        <is>
          <t>TIEN_VE_DIEU_CHINH</t>
        </is>
      </c>
      <c r="D17" s="10" t="inlineStr">
        <is>
          <t>CHARGES / PAYMENTS / AUDIT_LOG</t>
        </is>
      </c>
      <c r="E17" s="10" t="inlineStr">
        <is>
          <t>Tách số tiền phải thu và tiền thực nhận, giữ bằng chứng và lịch sử.</t>
        </is>
      </c>
      <c r="F17" s="10" t="inlineStr">
        <is>
          <t>P1</t>
        </is>
      </c>
      <c r="G17" s="23" t="n"/>
      <c r="H17" s="23" t="n"/>
      <c r="I17" s="57" t="n"/>
      <c r="J17" s="57" t="n"/>
      <c r="K17" s="57" t="n"/>
      <c r="L17" s="57" t="n"/>
      <c r="M17" s="57" t="n"/>
      <c r="N17" s="57" t="n"/>
      <c r="O17" s="57" t="n"/>
      <c r="P17" s="57" t="n"/>
      <c r="Q17" s="57" t="n"/>
      <c r="R17" s="57" t="n"/>
      <c r="S17" s="57" t="n"/>
      <c r="T17" s="57" t="n"/>
      <c r="U17" s="57" t="n"/>
      <c r="V17" s="57" t="n"/>
      <c r="W17" s="57" t="n"/>
      <c r="X17" s="57" t="n"/>
      <c r="Y17" s="57" t="n"/>
      <c r="Z17" s="57" t="n"/>
    </row>
    <row r="18" ht="42" customHeight="1" s="94">
      <c r="A18" s="16" t="n">
        <v>14</v>
      </c>
      <c r="B18" s="16" t="inlineStr">
        <is>
          <t>VEHICLE</t>
        </is>
      </c>
      <c r="C18" s="16" t="inlineStr">
        <is>
          <t>TIEN_VE_PHAI_THU</t>
        </is>
      </c>
      <c r="D18" s="16" t="inlineStr">
        <is>
          <t>CHARGES / PAYMENTS / AUDIT_LOG</t>
        </is>
      </c>
      <c r="E18" s="16" t="inlineStr">
        <is>
          <t>Tách số tiền phải thu và tiền thực nhận, giữ bằng chứng và lịch sử.</t>
        </is>
      </c>
      <c r="F18" s="16" t="inlineStr">
        <is>
          <t>P0</t>
        </is>
      </c>
      <c r="G18" s="23" t="n"/>
      <c r="H18" s="23" t="n"/>
      <c r="I18" s="57" t="n"/>
      <c r="J18" s="57" t="n"/>
      <c r="K18" s="57" t="n"/>
      <c r="L18" s="57" t="n"/>
      <c r="M18" s="57" t="n"/>
      <c r="N18" s="57" t="n"/>
      <c r="O18" s="57" t="n"/>
      <c r="P18" s="57" t="n"/>
      <c r="Q18" s="57" t="n"/>
      <c r="R18" s="57" t="n"/>
      <c r="S18" s="57" t="n"/>
      <c r="T18" s="57" t="n"/>
      <c r="U18" s="57" t="n"/>
      <c r="V18" s="57" t="n"/>
      <c r="W18" s="57" t="n"/>
      <c r="X18" s="57" t="n"/>
      <c r="Y18" s="57" t="n"/>
      <c r="Z18" s="57" t="n"/>
    </row>
    <row r="19" ht="42" customHeight="1" s="94">
      <c r="A19" s="10" t="n">
        <v>15</v>
      </c>
      <c r="B19" s="10" t="inlineStr">
        <is>
          <t>VEHICLE</t>
        </is>
      </c>
      <c r="C19" s="10" t="inlineStr">
        <is>
          <t>LY_DO_DIEU_CHINH_VE</t>
        </is>
      </c>
      <c r="D19" s="10" t="inlineStr">
        <is>
          <t>CHARGES / PAYMENTS / AUDIT_LOG</t>
        </is>
      </c>
      <c r="E19" s="10" t="inlineStr">
        <is>
          <t>Tách số tiền phải thu và tiền thực nhận, giữ bằng chứng và lịch sử.</t>
        </is>
      </c>
      <c r="F19" s="10" t="inlineStr">
        <is>
          <t>P1</t>
        </is>
      </c>
      <c r="G19" s="23" t="n"/>
      <c r="H19" s="23" t="n"/>
      <c r="I19" s="57" t="n"/>
      <c r="J19" s="57" t="n"/>
      <c r="K19" s="57" t="n"/>
      <c r="L19" s="57" t="n"/>
      <c r="M19" s="57" t="n"/>
      <c r="N19" s="57" t="n"/>
      <c r="O19" s="57" t="n"/>
      <c r="P19" s="57" t="n"/>
      <c r="Q19" s="57" t="n"/>
      <c r="R19" s="57" t="n"/>
      <c r="S19" s="57" t="n"/>
      <c r="T19" s="57" t="n"/>
      <c r="U19" s="57" t="n"/>
      <c r="V19" s="57" t="n"/>
      <c r="W19" s="57" t="n"/>
      <c r="X19" s="57" t="n"/>
      <c r="Y19" s="57" t="n"/>
      <c r="Z19" s="57" t="n"/>
    </row>
    <row r="20" ht="42" customHeight="1" s="94">
      <c r="A20" s="16" t="n">
        <v>16</v>
      </c>
      <c r="B20" s="16" t="inlineStr">
        <is>
          <t>VEHICLE</t>
        </is>
      </c>
      <c r="C20" s="16" t="inlineStr">
        <is>
          <t>NGUOI_DIEU_CHINH_VE</t>
        </is>
      </c>
      <c r="D20" s="16" t="inlineStr">
        <is>
          <t>CHARGES / PAYMENTS / AUDIT_LOG</t>
        </is>
      </c>
      <c r="E20" s="16" t="inlineStr">
        <is>
          <t>Tách số tiền phải thu và tiền thực nhận, giữ bằng chứng và lịch sử.</t>
        </is>
      </c>
      <c r="F20" s="16" t="inlineStr">
        <is>
          <t>P1</t>
        </is>
      </c>
      <c r="G20" s="23" t="n"/>
      <c r="H20" s="23" t="n"/>
      <c r="I20" s="57" t="n"/>
      <c r="J20" s="57" t="n"/>
      <c r="K20" s="57" t="n"/>
      <c r="L20" s="57" t="n"/>
      <c r="M20" s="57" t="n"/>
      <c r="N20" s="57" t="n"/>
      <c r="O20" s="57" t="n"/>
      <c r="P20" s="57" t="n"/>
      <c r="Q20" s="57" t="n"/>
      <c r="R20" s="57" t="n"/>
      <c r="S20" s="57" t="n"/>
      <c r="T20" s="57" t="n"/>
      <c r="U20" s="57" t="n"/>
      <c r="V20" s="57" t="n"/>
      <c r="W20" s="57" t="n"/>
      <c r="X20" s="57" t="n"/>
      <c r="Y20" s="57" t="n"/>
      <c r="Z20" s="57" t="n"/>
    </row>
    <row r="21" ht="42" customHeight="1" s="94">
      <c r="A21" s="10" t="n">
        <v>17</v>
      </c>
      <c r="B21" s="10" t="inlineStr">
        <is>
          <t>VEHICLE</t>
        </is>
      </c>
      <c r="C21" s="10" t="inlineStr">
        <is>
          <t>GIO_DIEU_CHINH_VE</t>
        </is>
      </c>
      <c r="D21" s="10" t="inlineStr">
        <is>
          <t>VEHICLE_VISITS</t>
        </is>
      </c>
      <c r="E21" s="10" t="inlineStr">
        <is>
          <t>Giữ thời điểm thực tế, nguồn người thao tác; tách trạng thái tài chính và ra cổng.</t>
        </is>
      </c>
      <c r="F21" s="10" t="inlineStr">
        <is>
          <t>P1</t>
        </is>
      </c>
      <c r="G21" s="23" t="n"/>
      <c r="H21" s="23" t="n"/>
      <c r="I21" s="57" t="n"/>
      <c r="J21" s="57" t="n"/>
      <c r="K21" s="57" t="n"/>
      <c r="L21" s="57" t="n"/>
      <c r="M21" s="57" t="n"/>
      <c r="N21" s="57" t="n"/>
      <c r="O21" s="57" t="n"/>
      <c r="P21" s="57" t="n"/>
      <c r="Q21" s="57" t="n"/>
      <c r="R21" s="57" t="n"/>
      <c r="S21" s="57" t="n"/>
      <c r="T21" s="57" t="n"/>
      <c r="U21" s="57" t="n"/>
      <c r="V21" s="57" t="n"/>
      <c r="W21" s="57" t="n"/>
      <c r="X21" s="57" t="n"/>
      <c r="Y21" s="57" t="n"/>
      <c r="Z21" s="57" t="n"/>
    </row>
    <row r="22" ht="42" customHeight="1" s="94">
      <c r="A22" s="16" t="n">
        <v>18</v>
      </c>
      <c r="B22" s="16" t="inlineStr">
        <is>
          <t>VEHICLE</t>
        </is>
      </c>
      <c r="C22" s="16" t="inlineStr">
        <is>
          <t>TRANG_THAI_THU_VE</t>
        </is>
      </c>
      <c r="D22" s="16" t="inlineStr">
        <is>
          <t>CHARGES / PAYMENTS / AUDIT_LOG</t>
        </is>
      </c>
      <c r="E22" s="16" t="inlineStr">
        <is>
          <t>Tách số tiền phải thu và tiền thực nhận, giữ bằng chứng và lịch sử.</t>
        </is>
      </c>
      <c r="F22" s="16" t="inlineStr">
        <is>
          <t>P1</t>
        </is>
      </c>
      <c r="G22" s="23" t="n"/>
      <c r="H22" s="23" t="n"/>
      <c r="I22" s="57" t="n"/>
      <c r="J22" s="57" t="n"/>
      <c r="K22" s="57" t="n"/>
      <c r="L22" s="57" t="n"/>
      <c r="M22" s="57" t="n"/>
      <c r="N22" s="57" t="n"/>
      <c r="O22" s="57" t="n"/>
      <c r="P22" s="57" t="n"/>
      <c r="Q22" s="57" t="n"/>
      <c r="R22" s="57" t="n"/>
      <c r="S22" s="57" t="n"/>
      <c r="T22" s="57" t="n"/>
      <c r="U22" s="57" t="n"/>
      <c r="V22" s="57" t="n"/>
      <c r="W22" s="57" t="n"/>
      <c r="X22" s="57" t="n"/>
      <c r="Y22" s="57" t="n"/>
      <c r="Z22" s="57" t="n"/>
    </row>
    <row r="23" ht="42" customHeight="1" s="94">
      <c r="A23" s="10" t="n">
        <v>19</v>
      </c>
      <c r="B23" s="10" t="inlineStr">
        <is>
          <t>VEHICLE</t>
        </is>
      </c>
      <c r="C23" s="10" t="inlineStr">
        <is>
          <t>HINH_THUC_THU_VE</t>
        </is>
      </c>
      <c r="D23" s="10" t="inlineStr">
        <is>
          <t>CHARGES / PAYMENTS / AUDIT_LOG</t>
        </is>
      </c>
      <c r="E23" s="10" t="inlineStr">
        <is>
          <t>Tách số tiền phải thu và tiền thực nhận, giữ bằng chứng và lịch sử.</t>
        </is>
      </c>
      <c r="F23" s="10" t="inlineStr">
        <is>
          <t>P1</t>
        </is>
      </c>
      <c r="G23" s="23" t="n"/>
      <c r="H23" s="23" t="n"/>
      <c r="I23" s="57" t="n"/>
      <c r="J23" s="57" t="n"/>
      <c r="K23" s="57" t="n"/>
      <c r="L23" s="57" t="n"/>
      <c r="M23" s="57" t="n"/>
      <c r="N23" s="57" t="n"/>
      <c r="O23" s="57" t="n"/>
      <c r="P23" s="57" t="n"/>
      <c r="Q23" s="57" t="n"/>
      <c r="R23" s="57" t="n"/>
      <c r="S23" s="57" t="n"/>
      <c r="T23" s="57" t="n"/>
      <c r="U23" s="57" t="n"/>
      <c r="V23" s="57" t="n"/>
      <c r="W23" s="57" t="n"/>
      <c r="X23" s="57" t="n"/>
      <c r="Y23" s="57" t="n"/>
      <c r="Z23" s="57" t="n"/>
    </row>
    <row r="24" ht="42" customHeight="1" s="94">
      <c r="A24" s="16" t="n">
        <v>20</v>
      </c>
      <c r="B24" s="16" t="inlineStr">
        <is>
          <t>VEHICLE</t>
        </is>
      </c>
      <c r="C24" s="16" t="inlineStr">
        <is>
          <t>ANH_THU_VE</t>
        </is>
      </c>
      <c r="D24" s="16" t="inlineStr">
        <is>
          <t>CHARGES / PAYMENTS / AUDIT_LOG</t>
        </is>
      </c>
      <c r="E24" s="16" t="inlineStr">
        <is>
          <t>Tách số tiền phải thu và tiền thực nhận, giữ bằng chứng và lịch sử.</t>
        </is>
      </c>
      <c r="F24" s="16" t="inlineStr">
        <is>
          <t>P1</t>
        </is>
      </c>
      <c r="G24" s="23" t="n"/>
      <c r="H24" s="23" t="n"/>
      <c r="I24" s="57" t="n"/>
      <c r="J24" s="57" t="n"/>
      <c r="K24" s="57" t="n"/>
      <c r="L24" s="57" t="n"/>
      <c r="M24" s="57" t="n"/>
      <c r="N24" s="57" t="n"/>
      <c r="O24" s="57" t="n"/>
      <c r="P24" s="57" t="n"/>
      <c r="Q24" s="57" t="n"/>
      <c r="R24" s="57" t="n"/>
      <c r="S24" s="57" t="n"/>
      <c r="T24" s="57" t="n"/>
      <c r="U24" s="57" t="n"/>
      <c r="V24" s="57" t="n"/>
      <c r="W24" s="57" t="n"/>
      <c r="X24" s="57" t="n"/>
      <c r="Y24" s="57" t="n"/>
      <c r="Z24" s="57" t="n"/>
    </row>
    <row r="25" ht="42" customHeight="1" s="94">
      <c r="A25" s="10" t="n">
        <v>21</v>
      </c>
      <c r="B25" s="10" t="inlineStr">
        <is>
          <t>VEHICLE</t>
        </is>
      </c>
      <c r="C25" s="10" t="inlineStr">
        <is>
          <t>GHI_CHU_THU_VE</t>
        </is>
      </c>
      <c r="D25" s="10" t="inlineStr">
        <is>
          <t>CHARGES / PAYMENTS / AUDIT_LOG</t>
        </is>
      </c>
      <c r="E25" s="10" t="inlineStr">
        <is>
          <t>Tách số tiền phải thu và tiền thực nhận, giữ bằng chứng và lịch sử.</t>
        </is>
      </c>
      <c r="F25" s="10" t="inlineStr">
        <is>
          <t>P1</t>
        </is>
      </c>
      <c r="G25" s="23" t="n"/>
      <c r="H25" s="23" t="n"/>
      <c r="I25" s="57" t="n"/>
      <c r="J25" s="57" t="n"/>
      <c r="K25" s="57" t="n"/>
      <c r="L25" s="57" t="n"/>
      <c r="M25" s="57" t="n"/>
      <c r="N25" s="57" t="n"/>
      <c r="O25" s="57" t="n"/>
      <c r="P25" s="57" t="n"/>
      <c r="Q25" s="57" t="n"/>
      <c r="R25" s="57" t="n"/>
      <c r="S25" s="57" t="n"/>
      <c r="T25" s="57" t="n"/>
      <c r="U25" s="57" t="n"/>
      <c r="V25" s="57" t="n"/>
      <c r="W25" s="57" t="n"/>
      <c r="X25" s="57" t="n"/>
      <c r="Y25" s="57" t="n"/>
      <c r="Z25" s="57" t="n"/>
    </row>
    <row r="26" ht="42" customHeight="1" s="94">
      <c r="A26" s="16" t="n">
        <v>22</v>
      </c>
      <c r="B26" s="16" t="inlineStr">
        <is>
          <t>VEHICLE</t>
        </is>
      </c>
      <c r="C26" s="16" t="inlineStr">
        <is>
          <t>GIO_THU_VE</t>
        </is>
      </c>
      <c r="D26" s="16" t="inlineStr">
        <is>
          <t>VEHICLE_VISITS</t>
        </is>
      </c>
      <c r="E26" s="16" t="inlineStr">
        <is>
          <t>Giữ thời điểm thực tế, nguồn người thao tác; tách trạng thái tài chính và ra cổng.</t>
        </is>
      </c>
      <c r="F26" s="16" t="inlineStr">
        <is>
          <t>P1</t>
        </is>
      </c>
      <c r="G26" s="23" t="n"/>
      <c r="H26" s="23" t="n"/>
      <c r="I26" s="57" t="n"/>
      <c r="J26" s="57" t="n"/>
      <c r="K26" s="57" t="n"/>
      <c r="L26" s="57" t="n"/>
      <c r="M26" s="57" t="n"/>
      <c r="N26" s="57" t="n"/>
      <c r="O26" s="57" t="n"/>
      <c r="P26" s="57" t="n"/>
      <c r="Q26" s="57" t="n"/>
      <c r="R26" s="57" t="n"/>
      <c r="S26" s="57" t="n"/>
      <c r="T26" s="57" t="n"/>
      <c r="U26" s="57" t="n"/>
      <c r="V26" s="57" t="n"/>
      <c r="W26" s="57" t="n"/>
      <c r="X26" s="57" t="n"/>
      <c r="Y26" s="57" t="n"/>
      <c r="Z26" s="57" t="n"/>
    </row>
    <row r="27" ht="42" customHeight="1" s="94">
      <c r="A27" s="10" t="n">
        <v>23</v>
      </c>
      <c r="B27" s="10" t="inlineStr">
        <is>
          <t>VEHICLE</t>
        </is>
      </c>
      <c r="C27" s="10" t="inlineStr">
        <is>
          <t>NGUOI_THU_VE</t>
        </is>
      </c>
      <c r="D27" s="10" t="inlineStr">
        <is>
          <t>CHARGES / PAYMENTS / AUDIT_LOG</t>
        </is>
      </c>
      <c r="E27" s="10" t="inlineStr">
        <is>
          <t>Tách số tiền phải thu và tiền thực nhận, giữ bằng chứng và lịch sử.</t>
        </is>
      </c>
      <c r="F27" s="10" t="inlineStr">
        <is>
          <t>P1</t>
        </is>
      </c>
      <c r="G27" s="23" t="n"/>
      <c r="H27" s="23" t="n"/>
      <c r="I27" s="57" t="n"/>
      <c r="J27" s="57" t="n"/>
      <c r="K27" s="57" t="n"/>
      <c r="L27" s="57" t="n"/>
      <c r="M27" s="57" t="n"/>
      <c r="N27" s="57" t="n"/>
      <c r="O27" s="57" t="n"/>
      <c r="P27" s="57" t="n"/>
      <c r="Q27" s="57" t="n"/>
      <c r="R27" s="57" t="n"/>
      <c r="S27" s="57" t="n"/>
      <c r="T27" s="57" t="n"/>
      <c r="U27" s="57" t="n"/>
      <c r="V27" s="57" t="n"/>
      <c r="W27" s="57" t="n"/>
      <c r="X27" s="57" t="n"/>
      <c r="Y27" s="57" t="n"/>
      <c r="Z27" s="57" t="n"/>
    </row>
    <row r="28" ht="42" customHeight="1" s="94">
      <c r="A28" s="16" t="n">
        <v>24</v>
      </c>
      <c r="B28" s="16" t="inlineStr">
        <is>
          <t>VEHICLE</t>
        </is>
      </c>
      <c r="C28" s="16" t="inlineStr">
        <is>
          <t>TRANG_THAI_XE</t>
        </is>
      </c>
      <c r="D28" s="16" t="inlineStr">
        <is>
          <t>VEHICLE_VISITS</t>
        </is>
      </c>
      <c r="E28" s="16" t="inlineStr">
        <is>
          <t>Giữ thời điểm thực tế, nguồn người thao tác; tách trạng thái tài chính và ra cổng.</t>
        </is>
      </c>
      <c r="F28" s="16" t="inlineStr">
        <is>
          <t>P1</t>
        </is>
      </c>
      <c r="G28" s="23" t="n"/>
      <c r="H28" s="23" t="n"/>
      <c r="I28" s="57" t="n"/>
      <c r="J28" s="57" t="n"/>
      <c r="K28" s="57" t="n"/>
      <c r="L28" s="57" t="n"/>
      <c r="M28" s="57" t="n"/>
      <c r="N28" s="57" t="n"/>
      <c r="O28" s="57" t="n"/>
      <c r="P28" s="57" t="n"/>
      <c r="Q28" s="57" t="n"/>
      <c r="R28" s="57" t="n"/>
      <c r="S28" s="57" t="n"/>
      <c r="T28" s="57" t="n"/>
      <c r="U28" s="57" t="n"/>
      <c r="V28" s="57" t="n"/>
      <c r="W28" s="57" t="n"/>
      <c r="X28" s="57" t="n"/>
      <c r="Y28" s="57" t="n"/>
      <c r="Z28" s="57" t="n"/>
    </row>
    <row r="29" ht="42" customHeight="1" s="94">
      <c r="A29" s="10" t="n">
        <v>25</v>
      </c>
      <c r="B29" s="10" t="inlineStr">
        <is>
          <t>VEHICLE</t>
        </is>
      </c>
      <c r="C29" s="10" t="inlineStr">
        <is>
          <t>GHI_CHU</t>
        </is>
      </c>
      <c r="D29" s="10" t="inlineStr">
        <is>
          <t>Ghi chú nghiệp vụ / audit</t>
        </is>
      </c>
      <c r="E29" s="10" t="inlineStr">
        <is>
          <t>Cần xem ý nghĩa và ánh xạ theo hồ sơ nguồn.</t>
        </is>
      </c>
      <c r="F29" s="10" t="inlineStr">
        <is>
          <t>P1</t>
        </is>
      </c>
      <c r="G29" s="23" t="n"/>
      <c r="H29" s="23" t="n"/>
      <c r="I29" s="57" t="n"/>
      <c r="J29" s="57" t="n"/>
      <c r="K29" s="57" t="n"/>
      <c r="L29" s="57" t="n"/>
      <c r="M29" s="57" t="n"/>
      <c r="N29" s="57" t="n"/>
      <c r="O29" s="57" t="n"/>
      <c r="P29" s="57" t="n"/>
      <c r="Q29" s="57" t="n"/>
      <c r="R29" s="57" t="n"/>
      <c r="S29" s="57" t="n"/>
      <c r="T29" s="57" t="n"/>
      <c r="U29" s="57" t="n"/>
      <c r="V29" s="57" t="n"/>
      <c r="W29" s="57" t="n"/>
      <c r="X29" s="57" t="n"/>
      <c r="Y29" s="57" t="n"/>
      <c r="Z29" s="57" t="n"/>
    </row>
    <row r="30" ht="42" customHeight="1" s="94">
      <c r="A30" s="16" t="n">
        <v>26</v>
      </c>
      <c r="B30" s="16" t="inlineStr">
        <is>
          <t>VEHICLE</t>
        </is>
      </c>
      <c r="C30" s="16" t="inlineStr">
        <is>
          <t>XAC_NHAN_THU_LUU_RA</t>
        </is>
      </c>
      <c r="D30" s="16" t="inlineStr">
        <is>
          <t>PAYMENTS / GATE_CLEARANCES</t>
        </is>
      </c>
      <c r="E30" s="16" t="inlineStr">
        <is>
          <t>Đối soát với thu lưu tại CONTAINER để không ghi trùng.</t>
        </is>
      </c>
      <c r="F30" s="16" t="inlineStr">
        <is>
          <t>P1</t>
        </is>
      </c>
      <c r="G30" s="23" t="n"/>
      <c r="H30" s="23" t="n"/>
      <c r="I30" s="57" t="n"/>
      <c r="J30" s="57" t="n"/>
      <c r="K30" s="57" t="n"/>
      <c r="L30" s="57" t="n"/>
      <c r="M30" s="57" t="n"/>
      <c r="N30" s="57" t="n"/>
      <c r="O30" s="57" t="n"/>
      <c r="P30" s="57" t="n"/>
      <c r="Q30" s="57" t="n"/>
      <c r="R30" s="57" t="n"/>
      <c r="S30" s="57" t="n"/>
      <c r="T30" s="57" t="n"/>
      <c r="U30" s="57" t="n"/>
      <c r="V30" s="57" t="n"/>
      <c r="W30" s="57" t="n"/>
      <c r="X30" s="57" t="n"/>
      <c r="Y30" s="57" t="n"/>
      <c r="Z30" s="57" t="n"/>
    </row>
    <row r="31" ht="42" customHeight="1" s="94">
      <c r="A31" s="10" t="n">
        <v>27</v>
      </c>
      <c r="B31" s="10" t="inlineStr">
        <is>
          <t>VEHICLE</t>
        </is>
      </c>
      <c r="C31" s="10" t="inlineStr">
        <is>
          <t>HINH_THUC_THU_LUU_RA</t>
        </is>
      </c>
      <c r="D31" s="10" t="inlineStr">
        <is>
          <t>CHARGES / PAYMENTS / AUDIT_LOG</t>
        </is>
      </c>
      <c r="E31" s="10" t="inlineStr">
        <is>
          <t>Tách phí lưu và giao dịch thu; rà dữ liệu ghi chú trước khi nhập.</t>
        </is>
      </c>
      <c r="F31" s="10" t="inlineStr">
        <is>
          <t>P1</t>
        </is>
      </c>
      <c r="G31" s="23" t="n"/>
      <c r="H31" s="23" t="n"/>
      <c r="I31" s="57" t="n"/>
      <c r="J31" s="57" t="n"/>
      <c r="K31" s="57" t="n"/>
      <c r="L31" s="57" t="n"/>
      <c r="M31" s="57" t="n"/>
      <c r="N31" s="57" t="n"/>
      <c r="O31" s="57" t="n"/>
      <c r="P31" s="57" t="n"/>
      <c r="Q31" s="57" t="n"/>
      <c r="R31" s="57" t="n"/>
      <c r="S31" s="57" t="n"/>
      <c r="T31" s="57" t="n"/>
      <c r="U31" s="57" t="n"/>
      <c r="V31" s="57" t="n"/>
      <c r="W31" s="57" t="n"/>
      <c r="X31" s="57" t="n"/>
      <c r="Y31" s="57" t="n"/>
      <c r="Z31" s="57" t="n"/>
    </row>
    <row r="32" ht="42" customHeight="1" s="94">
      <c r="A32" s="16" t="n">
        <v>28</v>
      </c>
      <c r="B32" s="16" t="inlineStr">
        <is>
          <t>VEHICLE</t>
        </is>
      </c>
      <c r="C32" s="16" t="inlineStr">
        <is>
          <t>ANH_THU_LUU_RA</t>
        </is>
      </c>
      <c r="D32" s="16" t="inlineStr">
        <is>
          <t>CHARGES / PAYMENTS / AUDIT_LOG</t>
        </is>
      </c>
      <c r="E32" s="16" t="inlineStr">
        <is>
          <t>Tách phí lưu và giao dịch thu; rà dữ liệu ghi chú trước khi nhập.</t>
        </is>
      </c>
      <c r="F32" s="16" t="inlineStr">
        <is>
          <t>P1</t>
        </is>
      </c>
      <c r="G32" s="23" t="n"/>
      <c r="H32" s="23" t="n"/>
      <c r="I32" s="57" t="n"/>
      <c r="J32" s="57" t="n"/>
      <c r="K32" s="57" t="n"/>
      <c r="L32" s="57" t="n"/>
      <c r="M32" s="57" t="n"/>
      <c r="N32" s="57" t="n"/>
      <c r="O32" s="57" t="n"/>
      <c r="P32" s="57" t="n"/>
      <c r="Q32" s="57" t="n"/>
      <c r="R32" s="57" t="n"/>
      <c r="S32" s="57" t="n"/>
      <c r="T32" s="57" t="n"/>
      <c r="U32" s="57" t="n"/>
      <c r="V32" s="57" t="n"/>
      <c r="W32" s="57" t="n"/>
      <c r="X32" s="57" t="n"/>
      <c r="Y32" s="57" t="n"/>
      <c r="Z32" s="57" t="n"/>
    </row>
    <row r="33" ht="42" customHeight="1" s="94">
      <c r="A33" s="10" t="n">
        <v>29</v>
      </c>
      <c r="B33" s="10" t="inlineStr">
        <is>
          <t>VEHICLE</t>
        </is>
      </c>
      <c r="C33" s="10" t="inlineStr">
        <is>
          <t>GHI_CHU_THU_LUU_RA</t>
        </is>
      </c>
      <c r="D33" s="10" t="inlineStr">
        <is>
          <t>CHARGES / PAYMENTS / AUDIT_LOG</t>
        </is>
      </c>
      <c r="E33" s="10" t="inlineStr">
        <is>
          <t>Tách phí lưu và giao dịch thu; rà dữ liệu ghi chú trước khi nhập.</t>
        </is>
      </c>
      <c r="F33" s="10" t="inlineStr">
        <is>
          <t>P1</t>
        </is>
      </c>
      <c r="G33" s="23" t="n"/>
      <c r="H33" s="23" t="n"/>
      <c r="I33" s="57" t="n"/>
      <c r="J33" s="57" t="n"/>
      <c r="K33" s="57" t="n"/>
      <c r="L33" s="57" t="n"/>
      <c r="M33" s="57" t="n"/>
      <c r="N33" s="57" t="n"/>
      <c r="O33" s="57" t="n"/>
      <c r="P33" s="57" t="n"/>
      <c r="Q33" s="57" t="n"/>
      <c r="R33" s="57" t="n"/>
      <c r="S33" s="57" t="n"/>
      <c r="T33" s="57" t="n"/>
      <c r="U33" s="57" t="n"/>
      <c r="V33" s="57" t="n"/>
      <c r="W33" s="57" t="n"/>
      <c r="X33" s="57" t="n"/>
      <c r="Y33" s="57" t="n"/>
      <c r="Z33" s="57" t="n"/>
    </row>
    <row r="34" ht="42" customHeight="1" s="94">
      <c r="A34" s="16" t="n">
        <v>30</v>
      </c>
      <c r="B34" s="16" t="inlineStr">
        <is>
          <t>VEHICLE</t>
        </is>
      </c>
      <c r="C34" s="16" t="inlineStr">
        <is>
          <t>XAC_NHAN_THU_VE</t>
        </is>
      </c>
      <c r="D34" s="16" t="inlineStr">
        <is>
          <t>CHARGES / PAYMENTS / AUDIT_LOG</t>
        </is>
      </c>
      <c r="E34" s="16" t="inlineStr">
        <is>
          <t>Tách số tiền phải thu và tiền thực nhận, giữ bằng chứng và lịch sử.</t>
        </is>
      </c>
      <c r="F34" s="16" t="inlineStr">
        <is>
          <t>P1</t>
        </is>
      </c>
      <c r="G34" s="23" t="n"/>
      <c r="H34" s="23" t="n"/>
      <c r="I34" s="57" t="n"/>
      <c r="J34" s="57" t="n"/>
      <c r="K34" s="57" t="n"/>
      <c r="L34" s="57" t="n"/>
      <c r="M34" s="57" t="n"/>
      <c r="N34" s="57" t="n"/>
      <c r="O34" s="57" t="n"/>
      <c r="P34" s="57" t="n"/>
      <c r="Q34" s="57" t="n"/>
      <c r="R34" s="57" t="n"/>
      <c r="S34" s="57" t="n"/>
      <c r="T34" s="57" t="n"/>
      <c r="U34" s="57" t="n"/>
      <c r="V34" s="57" t="n"/>
      <c r="W34" s="57" t="n"/>
      <c r="X34" s="57" t="n"/>
      <c r="Y34" s="57" t="n"/>
      <c r="Z34" s="57" t="n"/>
    </row>
    <row r="35" ht="42" customHeight="1" s="94">
      <c r="A35" s="10" t="n">
        <v>31</v>
      </c>
      <c r="B35" s="10" t="inlineStr">
        <is>
          <t>VEHICLE</t>
        </is>
      </c>
      <c r="C35" s="10" t="inlineStr">
        <is>
          <t>PHUONG_AN_XE_RA</t>
        </is>
      </c>
      <c r="D35" s="10" t="inlineStr">
        <is>
          <t>VEHICLE_VISITS</t>
        </is>
      </c>
      <c r="E35" s="10" t="inlineStr">
        <is>
          <t>Giữ thời điểm thực tế, nguồn người thao tác; tách trạng thái tài chính và ra cổng.</t>
        </is>
      </c>
      <c r="F35" s="10" t="inlineStr">
        <is>
          <t>P1</t>
        </is>
      </c>
      <c r="G35" s="23" t="n"/>
      <c r="H35" s="23" t="n"/>
      <c r="I35" s="57" t="n"/>
      <c r="J35" s="57" t="n"/>
      <c r="K35" s="57" t="n"/>
      <c r="L35" s="57" t="n"/>
      <c r="M35" s="57" t="n"/>
      <c r="N35" s="57" t="n"/>
      <c r="O35" s="57" t="n"/>
      <c r="P35" s="57" t="n"/>
      <c r="Q35" s="57" t="n"/>
      <c r="R35" s="57" t="n"/>
      <c r="S35" s="57" t="n"/>
      <c r="T35" s="57" t="n"/>
      <c r="U35" s="57" t="n"/>
      <c r="V35" s="57" t="n"/>
      <c r="W35" s="57" t="n"/>
      <c r="X35" s="57" t="n"/>
      <c r="Y35" s="57" t="n"/>
      <c r="Z35" s="57" t="n"/>
    </row>
    <row r="36" ht="42" customHeight="1" s="94">
      <c r="A36" s="16" t="n">
        <v>32</v>
      </c>
      <c r="B36" s="16" t="inlineStr">
        <is>
          <t>VEHICLE</t>
        </is>
      </c>
      <c r="C36" s="16" t="inlineStr">
        <is>
          <t>XAC_NHAN_RA_KHONG_CONT</t>
        </is>
      </c>
      <c r="D36" s="16" t="inlineStr">
        <is>
          <t>VEHICLE_VISITS</t>
        </is>
      </c>
      <c r="E36" s="16" t="inlineStr">
        <is>
          <t>Giữ thời điểm thực tế, nguồn người thao tác; tách trạng thái tài chính và ra cổng.</t>
        </is>
      </c>
      <c r="F36" s="16" t="inlineStr">
        <is>
          <t>P1</t>
        </is>
      </c>
      <c r="G36" s="23" t="n"/>
      <c r="H36" s="23" t="n"/>
      <c r="I36" s="57" t="n"/>
      <c r="J36" s="57" t="n"/>
      <c r="K36" s="57" t="n"/>
      <c r="L36" s="57" t="n"/>
      <c r="M36" s="57" t="n"/>
      <c r="N36" s="57" t="n"/>
      <c r="O36" s="57" t="n"/>
      <c r="P36" s="57" t="n"/>
      <c r="Q36" s="57" t="n"/>
      <c r="R36" s="57" t="n"/>
      <c r="S36" s="57" t="n"/>
      <c r="T36" s="57" t="n"/>
      <c r="U36" s="57" t="n"/>
      <c r="V36" s="57" t="n"/>
      <c r="W36" s="57" t="n"/>
      <c r="X36" s="57" t="n"/>
      <c r="Y36" s="57" t="n"/>
      <c r="Z36" s="57" t="n"/>
    </row>
    <row r="37" ht="42" customHeight="1" s="94">
      <c r="A37" s="10" t="n">
        <v>33</v>
      </c>
      <c r="B37" s="10" t="inlineStr">
        <is>
          <t>CONTAINER</t>
        </is>
      </c>
      <c r="C37" s="10" t="inlineStr">
        <is>
          <t>ID</t>
        </is>
      </c>
      <c r="D37" s="10" t="inlineStr">
        <is>
          <t>CONTAINER</t>
        </is>
      </c>
      <c r="E37" s="10" t="inlineStr">
        <is>
          <t>Giữ khóa nguồn/legacy ID; kiểm tra trùng.</t>
        </is>
      </c>
      <c r="F37" s="10" t="inlineStr">
        <is>
          <t>P0</t>
        </is>
      </c>
      <c r="G37" s="23" t="n"/>
      <c r="H37" s="23" t="n"/>
      <c r="I37" s="57" t="n"/>
      <c r="J37" s="57" t="n"/>
      <c r="K37" s="57" t="n"/>
      <c r="L37" s="57" t="n"/>
      <c r="M37" s="57" t="n"/>
      <c r="N37" s="57" t="n"/>
      <c r="O37" s="57" t="n"/>
      <c r="P37" s="57" t="n"/>
      <c r="Q37" s="57" t="n"/>
      <c r="R37" s="57" t="n"/>
      <c r="S37" s="57" t="n"/>
      <c r="T37" s="57" t="n"/>
      <c r="U37" s="57" t="n"/>
      <c r="V37" s="57" t="n"/>
      <c r="W37" s="57" t="n"/>
      <c r="X37" s="57" t="n"/>
      <c r="Y37" s="57" t="n"/>
      <c r="Z37" s="57" t="n"/>
    </row>
    <row r="38" ht="42" customHeight="1" s="94">
      <c r="A38" s="16" t="n">
        <v>34</v>
      </c>
      <c r="B38" s="16" t="inlineStr">
        <is>
          <t>CONTAINER</t>
        </is>
      </c>
      <c r="C38" s="16" t="inlineStr">
        <is>
          <t>SO_CONTAINER</t>
        </is>
      </c>
      <c r="D38" s="16" t="inlineStr">
        <is>
          <t>CONTAINER / CONTAINER_VISITS</t>
        </is>
      </c>
      <c r="E38" s="16" t="inlineStr">
        <is>
          <t>Lưu lượt container độc lập, liên kết lượt xe; kiểm tra lịch sử nhiều lượt.</t>
        </is>
      </c>
      <c r="F38" s="16" t="inlineStr">
        <is>
          <t>P0</t>
        </is>
      </c>
      <c r="G38" s="23" t="n"/>
      <c r="H38" s="23" t="n"/>
      <c r="I38" s="57" t="n"/>
      <c r="J38" s="57" t="n"/>
      <c r="K38" s="57" t="n"/>
      <c r="L38" s="57" t="n"/>
      <c r="M38" s="57" t="n"/>
      <c r="N38" s="57" t="n"/>
      <c r="O38" s="57" t="n"/>
      <c r="P38" s="57" t="n"/>
      <c r="Q38" s="57" t="n"/>
      <c r="R38" s="57" t="n"/>
      <c r="S38" s="57" t="n"/>
      <c r="T38" s="57" t="n"/>
      <c r="U38" s="57" t="n"/>
      <c r="V38" s="57" t="n"/>
      <c r="W38" s="57" t="n"/>
      <c r="X38" s="57" t="n"/>
      <c r="Y38" s="57" t="n"/>
      <c r="Z38" s="57" t="n"/>
    </row>
    <row r="39" ht="42" customHeight="1" s="94">
      <c r="A39" s="10" t="n">
        <v>35</v>
      </c>
      <c r="B39" s="10" t="inlineStr">
        <is>
          <t>CONTAINER</t>
        </is>
      </c>
      <c r="C39" s="10" t="inlineStr">
        <is>
          <t>ID_VEHICLE_VAO</t>
        </is>
      </c>
      <c r="D39" s="10" t="inlineStr">
        <is>
          <t>CONTAINER / CONTAINER_VISITS</t>
        </is>
      </c>
      <c r="E39" s="10" t="inlineStr">
        <is>
          <t>Lưu lượt container độc lập, liên kết lượt xe; kiểm tra lịch sử nhiều lượt.</t>
        </is>
      </c>
      <c r="F39" s="10" t="inlineStr">
        <is>
          <t>P0</t>
        </is>
      </c>
      <c r="G39" s="23" t="n"/>
      <c r="H39" s="23" t="n"/>
      <c r="I39" s="57" t="n"/>
      <c r="J39" s="57" t="n"/>
      <c r="K39" s="57" t="n"/>
      <c r="L39" s="57" t="n"/>
      <c r="M39" s="57" t="n"/>
      <c r="N39" s="57" t="n"/>
      <c r="O39" s="57" t="n"/>
      <c r="P39" s="57" t="n"/>
      <c r="Q39" s="57" t="n"/>
      <c r="R39" s="57" t="n"/>
      <c r="S39" s="57" t="n"/>
      <c r="T39" s="57" t="n"/>
      <c r="U39" s="57" t="n"/>
      <c r="V39" s="57" t="n"/>
      <c r="W39" s="57" t="n"/>
      <c r="X39" s="57" t="n"/>
      <c r="Y39" s="57" t="n"/>
      <c r="Z39" s="57" t="n"/>
    </row>
    <row r="40" ht="42" customHeight="1" s="94">
      <c r="A40" s="16" t="n">
        <v>36</v>
      </c>
      <c r="B40" s="16" t="inlineStr">
        <is>
          <t>CONTAINER</t>
        </is>
      </c>
      <c r="C40" s="16" t="inlineStr">
        <is>
          <t>GIO_CONT_VAO</t>
        </is>
      </c>
      <c r="D40" s="16" t="inlineStr">
        <is>
          <t>CONTAINER / CONTAINER_VISITS</t>
        </is>
      </c>
      <c r="E40" s="16" t="inlineStr">
        <is>
          <t>Lưu lượt container độc lập, liên kết lượt xe; kiểm tra lịch sử nhiều lượt.</t>
        </is>
      </c>
      <c r="F40" s="16" t="inlineStr">
        <is>
          <t>P0</t>
        </is>
      </c>
      <c r="G40" s="23" t="n"/>
      <c r="H40" s="23" t="n"/>
      <c r="I40" s="57" t="n"/>
      <c r="J40" s="57" t="n"/>
      <c r="K40" s="57" t="n"/>
      <c r="L40" s="57" t="n"/>
      <c r="M40" s="57" t="n"/>
      <c r="N40" s="57" t="n"/>
      <c r="O40" s="57" t="n"/>
      <c r="P40" s="57" t="n"/>
      <c r="Q40" s="57" t="n"/>
      <c r="R40" s="57" t="n"/>
      <c r="S40" s="57" t="n"/>
      <c r="T40" s="57" t="n"/>
      <c r="U40" s="57" t="n"/>
      <c r="V40" s="57" t="n"/>
      <c r="W40" s="57" t="n"/>
      <c r="X40" s="57" t="n"/>
      <c r="Y40" s="57" t="n"/>
      <c r="Z40" s="57" t="n"/>
    </row>
    <row r="41" ht="42" customHeight="1" s="94">
      <c r="A41" s="10" t="n">
        <v>37</v>
      </c>
      <c r="B41" s="10" t="inlineStr">
        <is>
          <t>CONTAINER</t>
        </is>
      </c>
      <c r="C41" s="10" t="inlineStr">
        <is>
          <t>NGUOI_CONT_VAO</t>
        </is>
      </c>
      <c r="D41" s="10" t="inlineStr">
        <is>
          <t>CONTAINER / CONTAINER_VISITS</t>
        </is>
      </c>
      <c r="E41" s="10" t="inlineStr">
        <is>
          <t>Lưu lượt container độc lập, liên kết lượt xe; kiểm tra lịch sử nhiều lượt.</t>
        </is>
      </c>
      <c r="F41" s="10" t="inlineStr">
        <is>
          <t>P1</t>
        </is>
      </c>
      <c r="G41" s="23" t="n"/>
      <c r="H41" s="23" t="n"/>
      <c r="I41" s="57" t="n"/>
      <c r="J41" s="57" t="n"/>
      <c r="K41" s="57" t="n"/>
      <c r="L41" s="57" t="n"/>
      <c r="M41" s="57" t="n"/>
      <c r="N41" s="57" t="n"/>
      <c r="O41" s="57" t="n"/>
      <c r="P41" s="57" t="n"/>
      <c r="Q41" s="57" t="n"/>
      <c r="R41" s="57" t="n"/>
      <c r="S41" s="57" t="n"/>
      <c r="T41" s="57" t="n"/>
      <c r="U41" s="57" t="n"/>
      <c r="V41" s="57" t="n"/>
      <c r="W41" s="57" t="n"/>
      <c r="X41" s="57" t="n"/>
      <c r="Y41" s="57" t="n"/>
      <c r="Z41" s="57" t="n"/>
    </row>
    <row r="42" ht="42" customHeight="1" s="94">
      <c r="A42" s="16" t="n">
        <v>38</v>
      </c>
      <c r="B42" s="16" t="inlineStr">
        <is>
          <t>CONTAINER</t>
        </is>
      </c>
      <c r="C42" s="16" t="inlineStr">
        <is>
          <t>ID_VEHICLE_RA</t>
        </is>
      </c>
      <c r="D42" s="16" t="inlineStr">
        <is>
          <t>CONTAINER / CONTAINER_VISITS</t>
        </is>
      </c>
      <c r="E42" s="16" t="inlineStr">
        <is>
          <t>Lưu lượt container độc lập, liên kết lượt xe; kiểm tra lịch sử nhiều lượt.</t>
        </is>
      </c>
      <c r="F42" s="16" t="inlineStr">
        <is>
          <t>P0</t>
        </is>
      </c>
      <c r="G42" s="23" t="n"/>
      <c r="H42" s="23" t="n"/>
      <c r="I42" s="57" t="n"/>
      <c r="J42" s="57" t="n"/>
      <c r="K42" s="57" t="n"/>
      <c r="L42" s="57" t="n"/>
      <c r="M42" s="57" t="n"/>
      <c r="N42" s="57" t="n"/>
      <c r="O42" s="57" t="n"/>
      <c r="P42" s="57" t="n"/>
      <c r="Q42" s="57" t="n"/>
      <c r="R42" s="57" t="n"/>
      <c r="S42" s="57" t="n"/>
      <c r="T42" s="57" t="n"/>
      <c r="U42" s="57" t="n"/>
      <c r="V42" s="57" t="n"/>
      <c r="W42" s="57" t="n"/>
      <c r="X42" s="57" t="n"/>
      <c r="Y42" s="57" t="n"/>
      <c r="Z42" s="57" t="n"/>
    </row>
    <row r="43" ht="42" customHeight="1" s="94">
      <c r="A43" s="10" t="n">
        <v>39</v>
      </c>
      <c r="B43" s="10" t="inlineStr">
        <is>
          <t>CONTAINER</t>
        </is>
      </c>
      <c r="C43" s="10" t="inlineStr">
        <is>
          <t>GIO_CONT_RA</t>
        </is>
      </c>
      <c r="D43" s="10" t="inlineStr">
        <is>
          <t>CONTAINER / CONTAINER_VISITS</t>
        </is>
      </c>
      <c r="E43" s="10" t="inlineStr">
        <is>
          <t>Lưu lượt container độc lập, liên kết lượt xe; kiểm tra lịch sử nhiều lượt.</t>
        </is>
      </c>
      <c r="F43" s="10" t="inlineStr">
        <is>
          <t>P0</t>
        </is>
      </c>
      <c r="G43" s="23" t="n"/>
      <c r="H43" s="23" t="n"/>
      <c r="I43" s="57" t="n"/>
      <c r="J43" s="57" t="n"/>
      <c r="K43" s="57" t="n"/>
      <c r="L43" s="57" t="n"/>
      <c r="M43" s="57" t="n"/>
      <c r="N43" s="57" t="n"/>
      <c r="O43" s="57" t="n"/>
      <c r="P43" s="57" t="n"/>
      <c r="Q43" s="57" t="n"/>
      <c r="R43" s="57" t="n"/>
      <c r="S43" s="57" t="n"/>
      <c r="T43" s="57" t="n"/>
      <c r="U43" s="57" t="n"/>
      <c r="V43" s="57" t="n"/>
      <c r="W43" s="57" t="n"/>
      <c r="X43" s="57" t="n"/>
      <c r="Y43" s="57" t="n"/>
      <c r="Z43" s="57" t="n"/>
    </row>
    <row r="44" ht="42" customHeight="1" s="94">
      <c r="A44" s="16" t="n">
        <v>40</v>
      </c>
      <c r="B44" s="16" t="inlineStr">
        <is>
          <t>CONTAINER</t>
        </is>
      </c>
      <c r="C44" s="16" t="inlineStr">
        <is>
          <t>NGUOI_CONT_RA</t>
        </is>
      </c>
      <c r="D44" s="16" t="inlineStr">
        <is>
          <t>CONTAINER / CONTAINER_VISITS</t>
        </is>
      </c>
      <c r="E44" s="16" t="inlineStr">
        <is>
          <t>Lưu lượt container độc lập, liên kết lượt xe; kiểm tra lịch sử nhiều lượt.</t>
        </is>
      </c>
      <c r="F44" s="16" t="inlineStr">
        <is>
          <t>P1</t>
        </is>
      </c>
      <c r="G44" s="23" t="n"/>
      <c r="H44" s="23" t="n"/>
      <c r="I44" s="57" t="n"/>
      <c r="J44" s="57" t="n"/>
      <c r="K44" s="57" t="n"/>
      <c r="L44" s="57" t="n"/>
      <c r="M44" s="57" t="n"/>
      <c r="N44" s="57" t="n"/>
      <c r="O44" s="57" t="n"/>
      <c r="P44" s="57" t="n"/>
      <c r="Q44" s="57" t="n"/>
      <c r="R44" s="57" t="n"/>
      <c r="S44" s="57" t="n"/>
      <c r="T44" s="57" t="n"/>
      <c r="U44" s="57" t="n"/>
      <c r="V44" s="57" t="n"/>
      <c r="W44" s="57" t="n"/>
      <c r="X44" s="57" t="n"/>
      <c r="Y44" s="57" t="n"/>
      <c r="Z44" s="57" t="n"/>
    </row>
    <row r="45" ht="42" customHeight="1" s="94">
      <c r="A45" s="10" t="n">
        <v>41</v>
      </c>
      <c r="B45" s="10" t="inlineStr">
        <is>
          <t>CONTAINER</t>
        </is>
      </c>
      <c r="C45" s="10" t="inlineStr">
        <is>
          <t>SO_DEM_LUU</t>
        </is>
      </c>
      <c r="D45" s="10" t="inlineStr">
        <is>
          <t>CONTAINER_VISITS / CHARGES</t>
        </is>
      </c>
      <c r="E45" s="10" t="inlineStr">
        <is>
          <t>Lưu snapshot đơn giá và kết quả đã chốt; tính lại tạm tính có kiểm soát.</t>
        </is>
      </c>
      <c r="F45" s="10" t="inlineStr">
        <is>
          <t>P1</t>
        </is>
      </c>
      <c r="G45" s="23" t="n"/>
      <c r="H45" s="23" t="n"/>
      <c r="I45" s="57" t="n"/>
      <c r="J45" s="57" t="n"/>
      <c r="K45" s="57" t="n"/>
      <c r="L45" s="57" t="n"/>
      <c r="M45" s="57" t="n"/>
      <c r="N45" s="57" t="n"/>
      <c r="O45" s="57" t="n"/>
      <c r="P45" s="57" t="n"/>
      <c r="Q45" s="57" t="n"/>
      <c r="R45" s="57" t="n"/>
      <c r="S45" s="57" t="n"/>
      <c r="T45" s="57" t="n"/>
      <c r="U45" s="57" t="n"/>
      <c r="V45" s="57" t="n"/>
      <c r="W45" s="57" t="n"/>
      <c r="X45" s="57" t="n"/>
      <c r="Y45" s="57" t="n"/>
      <c r="Z45" s="57" t="n"/>
    </row>
    <row r="46" ht="42" customHeight="1" s="94">
      <c r="A46" s="16" t="n">
        <v>42</v>
      </c>
      <c r="B46" s="16" t="inlineStr">
        <is>
          <t>CONTAINER</t>
        </is>
      </c>
      <c r="C46" s="16" t="inlineStr">
        <is>
          <t>DON_GIA_LUU_DEM</t>
        </is>
      </c>
      <c r="D46" s="16" t="inlineStr">
        <is>
          <t>CONTAINER_VISITS / CHARGES</t>
        </is>
      </c>
      <c r="E46" s="16" t="inlineStr">
        <is>
          <t>Lưu snapshot đơn giá và kết quả đã chốt; tính lại tạm tính có kiểm soát.</t>
        </is>
      </c>
      <c r="F46" s="16" t="inlineStr">
        <is>
          <t>P1</t>
        </is>
      </c>
      <c r="G46" s="23" t="n"/>
      <c r="H46" s="23" t="n"/>
      <c r="I46" s="57" t="n"/>
      <c r="J46" s="57" t="n"/>
      <c r="K46" s="57" t="n"/>
      <c r="L46" s="57" t="n"/>
      <c r="M46" s="57" t="n"/>
      <c r="N46" s="57" t="n"/>
      <c r="O46" s="57" t="n"/>
      <c r="P46" s="57" t="n"/>
      <c r="Q46" s="57" t="n"/>
      <c r="R46" s="57" t="n"/>
      <c r="S46" s="57" t="n"/>
      <c r="T46" s="57" t="n"/>
      <c r="U46" s="57" t="n"/>
      <c r="V46" s="57" t="n"/>
      <c r="W46" s="57" t="n"/>
      <c r="X46" s="57" t="n"/>
      <c r="Y46" s="57" t="n"/>
      <c r="Z46" s="57" t="n"/>
    </row>
    <row r="47" ht="42" customHeight="1" s="94">
      <c r="A47" s="10" t="n">
        <v>43</v>
      </c>
      <c r="B47" s="10" t="inlineStr">
        <is>
          <t>CONTAINER</t>
        </is>
      </c>
      <c r="C47" s="10" t="inlineStr">
        <is>
          <t>TIEN_LUU_GOC</t>
        </is>
      </c>
      <c r="D47" s="10" t="inlineStr">
        <is>
          <t>CHARGES / PAYMENTS / AUDIT_LOG</t>
        </is>
      </c>
      <c r="E47" s="10" t="inlineStr">
        <is>
          <t>Tách phí lưu và giao dịch thu; rà dữ liệu ghi chú trước khi nhập.</t>
        </is>
      </c>
      <c r="F47" s="10" t="inlineStr">
        <is>
          <t>P1</t>
        </is>
      </c>
      <c r="G47" s="23" t="n"/>
      <c r="H47" s="23" t="n"/>
      <c r="I47" s="57" t="n"/>
      <c r="J47" s="57" t="n"/>
      <c r="K47" s="57" t="n"/>
      <c r="L47" s="57" t="n"/>
      <c r="M47" s="57" t="n"/>
      <c r="N47" s="57" t="n"/>
      <c r="O47" s="57" t="n"/>
      <c r="P47" s="57" t="n"/>
      <c r="Q47" s="57" t="n"/>
      <c r="R47" s="57" t="n"/>
      <c r="S47" s="57" t="n"/>
      <c r="T47" s="57" t="n"/>
      <c r="U47" s="57" t="n"/>
      <c r="V47" s="57" t="n"/>
      <c r="W47" s="57" t="n"/>
      <c r="X47" s="57" t="n"/>
      <c r="Y47" s="57" t="n"/>
      <c r="Z47" s="57" t="n"/>
    </row>
    <row r="48" ht="42" customHeight="1" s="94">
      <c r="A48" s="16" t="n">
        <v>44</v>
      </c>
      <c r="B48" s="16" t="inlineStr">
        <is>
          <t>CONTAINER</t>
        </is>
      </c>
      <c r="C48" s="16" t="inlineStr">
        <is>
          <t>TIEN_LUU_DIEU_CHINH</t>
        </is>
      </c>
      <c r="D48" s="16" t="inlineStr">
        <is>
          <t>CHARGES / PAYMENTS / AUDIT_LOG</t>
        </is>
      </c>
      <c r="E48" s="16" t="inlineStr">
        <is>
          <t>Tách phí lưu và giao dịch thu; rà dữ liệu ghi chú trước khi nhập.</t>
        </is>
      </c>
      <c r="F48" s="16" t="inlineStr">
        <is>
          <t>P1</t>
        </is>
      </c>
      <c r="G48" s="23" t="n"/>
      <c r="H48" s="23" t="n"/>
      <c r="I48" s="57" t="n"/>
      <c r="J48" s="57" t="n"/>
      <c r="K48" s="57" t="n"/>
      <c r="L48" s="57" t="n"/>
      <c r="M48" s="57" t="n"/>
      <c r="N48" s="57" t="n"/>
      <c r="O48" s="57" t="n"/>
      <c r="P48" s="57" t="n"/>
      <c r="Q48" s="57" t="n"/>
      <c r="R48" s="57" t="n"/>
      <c r="S48" s="57" t="n"/>
      <c r="T48" s="57" t="n"/>
      <c r="U48" s="57" t="n"/>
      <c r="V48" s="57" t="n"/>
      <c r="W48" s="57" t="n"/>
      <c r="X48" s="57" t="n"/>
      <c r="Y48" s="57" t="n"/>
      <c r="Z48" s="57" t="n"/>
    </row>
    <row r="49" ht="42" customHeight="1" s="94">
      <c r="A49" s="10" t="n">
        <v>45</v>
      </c>
      <c r="B49" s="10" t="inlineStr">
        <is>
          <t>CONTAINER</t>
        </is>
      </c>
      <c r="C49" s="10" t="inlineStr">
        <is>
          <t>TIEN_LUU_PHAI_THU</t>
        </is>
      </c>
      <c r="D49" s="10" t="inlineStr">
        <is>
          <t>CHARGES / PAYMENTS / AUDIT_LOG</t>
        </is>
      </c>
      <c r="E49" s="10" t="inlineStr">
        <is>
          <t>Tách phí lưu và giao dịch thu; rà dữ liệu ghi chú trước khi nhập.</t>
        </is>
      </c>
      <c r="F49" s="10" t="inlineStr">
        <is>
          <t>P0</t>
        </is>
      </c>
      <c r="G49" s="23" t="n"/>
      <c r="H49" s="23" t="n"/>
      <c r="I49" s="57" t="n"/>
      <c r="J49" s="57" t="n"/>
      <c r="K49" s="57" t="n"/>
      <c r="L49" s="57" t="n"/>
      <c r="M49" s="57" t="n"/>
      <c r="N49" s="57" t="n"/>
      <c r="O49" s="57" t="n"/>
      <c r="P49" s="57" t="n"/>
      <c r="Q49" s="57" t="n"/>
      <c r="R49" s="57" t="n"/>
      <c r="S49" s="57" t="n"/>
      <c r="T49" s="57" t="n"/>
      <c r="U49" s="57" t="n"/>
      <c r="V49" s="57" t="n"/>
      <c r="W49" s="57" t="n"/>
      <c r="X49" s="57" t="n"/>
      <c r="Y49" s="57" t="n"/>
      <c r="Z49" s="57" t="n"/>
    </row>
    <row r="50" ht="42" customHeight="1" s="94">
      <c r="A50" s="16" t="n">
        <v>46</v>
      </c>
      <c r="B50" s="16" t="inlineStr">
        <is>
          <t>CONTAINER</t>
        </is>
      </c>
      <c r="C50" s="16" t="inlineStr">
        <is>
          <t>LY_DO_DIEU_CHINH_LUU</t>
        </is>
      </c>
      <c r="D50" s="16" t="inlineStr">
        <is>
          <t>CHARGES / PAYMENTS / AUDIT_LOG</t>
        </is>
      </c>
      <c r="E50" s="16" t="inlineStr">
        <is>
          <t>Tách phí lưu và giao dịch thu; rà dữ liệu ghi chú trước khi nhập.</t>
        </is>
      </c>
      <c r="F50" s="16" t="inlineStr">
        <is>
          <t>P1</t>
        </is>
      </c>
      <c r="G50" s="23" t="n"/>
      <c r="H50" s="23" t="n"/>
      <c r="I50" s="57" t="n"/>
      <c r="J50" s="57" t="n"/>
      <c r="K50" s="57" t="n"/>
      <c r="L50" s="57" t="n"/>
      <c r="M50" s="57" t="n"/>
      <c r="N50" s="57" t="n"/>
      <c r="O50" s="57" t="n"/>
      <c r="P50" s="57" t="n"/>
      <c r="Q50" s="57" t="n"/>
      <c r="R50" s="57" t="n"/>
      <c r="S50" s="57" t="n"/>
      <c r="T50" s="57" t="n"/>
      <c r="U50" s="57" t="n"/>
      <c r="V50" s="57" t="n"/>
      <c r="W50" s="57" t="n"/>
      <c r="X50" s="57" t="n"/>
      <c r="Y50" s="57" t="n"/>
      <c r="Z50" s="57" t="n"/>
    </row>
    <row r="51" ht="42" customHeight="1" s="94">
      <c r="A51" s="10" t="n">
        <v>47</v>
      </c>
      <c r="B51" s="10" t="inlineStr">
        <is>
          <t>CONTAINER</t>
        </is>
      </c>
      <c r="C51" s="10" t="inlineStr">
        <is>
          <t>NGUOI_DIEU_CHINH_LUU</t>
        </is>
      </c>
      <c r="D51" s="10" t="inlineStr">
        <is>
          <t>CHARGES / PAYMENTS / AUDIT_LOG</t>
        </is>
      </c>
      <c r="E51" s="10" t="inlineStr">
        <is>
          <t>Tách phí lưu và giao dịch thu; rà dữ liệu ghi chú trước khi nhập.</t>
        </is>
      </c>
      <c r="F51" s="10" t="inlineStr">
        <is>
          <t>P1</t>
        </is>
      </c>
      <c r="G51" s="23" t="n"/>
      <c r="H51" s="23" t="n"/>
      <c r="I51" s="57" t="n"/>
      <c r="J51" s="57" t="n"/>
      <c r="K51" s="57" t="n"/>
      <c r="L51" s="57" t="n"/>
      <c r="M51" s="57" t="n"/>
      <c r="N51" s="57" t="n"/>
      <c r="O51" s="57" t="n"/>
      <c r="P51" s="57" t="n"/>
      <c r="Q51" s="57" t="n"/>
      <c r="R51" s="57" t="n"/>
      <c r="S51" s="57" t="n"/>
      <c r="T51" s="57" t="n"/>
      <c r="U51" s="57" t="n"/>
      <c r="V51" s="57" t="n"/>
      <c r="W51" s="57" t="n"/>
      <c r="X51" s="57" t="n"/>
      <c r="Y51" s="57" t="n"/>
      <c r="Z51" s="57" t="n"/>
    </row>
    <row r="52" ht="42" customHeight="1" s="94">
      <c r="A52" s="16" t="n">
        <v>48</v>
      </c>
      <c r="B52" s="16" t="inlineStr">
        <is>
          <t>CONTAINER</t>
        </is>
      </c>
      <c r="C52" s="16" t="inlineStr">
        <is>
          <t>GIO_DIEU_CHINH_LUU</t>
        </is>
      </c>
      <c r="D52" s="16" t="inlineStr">
        <is>
          <t>VEHICLE_VISITS</t>
        </is>
      </c>
      <c r="E52" s="16" t="inlineStr">
        <is>
          <t>Giữ thời điểm thực tế, nguồn người thao tác; tách trạng thái tài chính và ra cổng.</t>
        </is>
      </c>
      <c r="F52" s="16" t="inlineStr">
        <is>
          <t>P1</t>
        </is>
      </c>
      <c r="G52" s="23" t="n"/>
      <c r="H52" s="23" t="n"/>
      <c r="I52" s="57" t="n"/>
      <c r="J52" s="57" t="n"/>
      <c r="K52" s="57" t="n"/>
      <c r="L52" s="57" t="n"/>
      <c r="M52" s="57" t="n"/>
      <c r="N52" s="57" t="n"/>
      <c r="O52" s="57" t="n"/>
      <c r="P52" s="57" t="n"/>
      <c r="Q52" s="57" t="n"/>
      <c r="R52" s="57" t="n"/>
      <c r="S52" s="57" t="n"/>
      <c r="T52" s="57" t="n"/>
      <c r="U52" s="57" t="n"/>
      <c r="V52" s="57" t="n"/>
      <c r="W52" s="57" t="n"/>
      <c r="X52" s="57" t="n"/>
      <c r="Y52" s="57" t="n"/>
      <c r="Z52" s="57" t="n"/>
    </row>
    <row r="53" ht="42" customHeight="1" s="94">
      <c r="A53" s="10" t="n">
        <v>49</v>
      </c>
      <c r="B53" s="10" t="inlineStr">
        <is>
          <t>CONTAINER</t>
        </is>
      </c>
      <c r="C53" s="10" t="inlineStr">
        <is>
          <t>TRANG_THAI_THU_LUU</t>
        </is>
      </c>
      <c r="D53" s="10" t="inlineStr">
        <is>
          <t>CHARGES / PAYMENTS / AUDIT_LOG</t>
        </is>
      </c>
      <c r="E53" s="10" t="inlineStr">
        <is>
          <t>Tách phí lưu và giao dịch thu; rà dữ liệu ghi chú trước khi nhập.</t>
        </is>
      </c>
      <c r="F53" s="10" t="inlineStr">
        <is>
          <t>P1</t>
        </is>
      </c>
      <c r="G53" s="23" t="n"/>
      <c r="H53" s="23" t="n"/>
      <c r="I53" s="57" t="n"/>
      <c r="J53" s="57" t="n"/>
      <c r="K53" s="57" t="n"/>
      <c r="L53" s="57" t="n"/>
      <c r="M53" s="57" t="n"/>
      <c r="N53" s="57" t="n"/>
      <c r="O53" s="57" t="n"/>
      <c r="P53" s="57" t="n"/>
      <c r="Q53" s="57" t="n"/>
      <c r="R53" s="57" t="n"/>
      <c r="S53" s="57" t="n"/>
      <c r="T53" s="57" t="n"/>
      <c r="U53" s="57" t="n"/>
      <c r="V53" s="57" t="n"/>
      <c r="W53" s="57" t="n"/>
      <c r="X53" s="57" t="n"/>
      <c r="Y53" s="57" t="n"/>
      <c r="Z53" s="57" t="n"/>
    </row>
    <row r="54" ht="42" customHeight="1" s="94">
      <c r="A54" s="16" t="n">
        <v>50</v>
      </c>
      <c r="B54" s="16" t="inlineStr">
        <is>
          <t>CONTAINER</t>
        </is>
      </c>
      <c r="C54" s="16" t="inlineStr">
        <is>
          <t>HINH_THUC_THU_LUU</t>
        </is>
      </c>
      <c r="D54" s="16" t="inlineStr">
        <is>
          <t>CHARGES / PAYMENTS / AUDIT_LOG</t>
        </is>
      </c>
      <c r="E54" s="16" t="inlineStr">
        <is>
          <t>Tách phí lưu và giao dịch thu; rà dữ liệu ghi chú trước khi nhập.</t>
        </is>
      </c>
      <c r="F54" s="16" t="inlineStr">
        <is>
          <t>P1</t>
        </is>
      </c>
      <c r="G54" s="23" t="n"/>
      <c r="H54" s="23" t="n"/>
      <c r="I54" s="57" t="n"/>
      <c r="J54" s="57" t="n"/>
      <c r="K54" s="57" t="n"/>
      <c r="L54" s="57" t="n"/>
      <c r="M54" s="57" t="n"/>
      <c r="N54" s="57" t="n"/>
      <c r="O54" s="57" t="n"/>
      <c r="P54" s="57" t="n"/>
      <c r="Q54" s="57" t="n"/>
      <c r="R54" s="57" t="n"/>
      <c r="S54" s="57" t="n"/>
      <c r="T54" s="57" t="n"/>
      <c r="U54" s="57" t="n"/>
      <c r="V54" s="57" t="n"/>
      <c r="W54" s="57" t="n"/>
      <c r="X54" s="57" t="n"/>
      <c r="Y54" s="57" t="n"/>
      <c r="Z54" s="57" t="n"/>
    </row>
    <row r="55" ht="42" customHeight="1" s="94">
      <c r="A55" s="10" t="n">
        <v>51</v>
      </c>
      <c r="B55" s="10" t="inlineStr">
        <is>
          <t>CONTAINER</t>
        </is>
      </c>
      <c r="C55" s="10" t="inlineStr">
        <is>
          <t>ANH_THU_LUU</t>
        </is>
      </c>
      <c r="D55" s="10" t="inlineStr">
        <is>
          <t>CHARGES / PAYMENTS / AUDIT_LOG</t>
        </is>
      </c>
      <c r="E55" s="10" t="inlineStr">
        <is>
          <t>Tách phí lưu và giao dịch thu; rà dữ liệu ghi chú trước khi nhập.</t>
        </is>
      </c>
      <c r="F55" s="10" t="inlineStr">
        <is>
          <t>P1</t>
        </is>
      </c>
      <c r="G55" s="23" t="n"/>
      <c r="H55" s="23" t="n"/>
      <c r="I55" s="57" t="n"/>
      <c r="J55" s="57" t="n"/>
      <c r="K55" s="57" t="n"/>
      <c r="L55" s="57" t="n"/>
      <c r="M55" s="57" t="n"/>
      <c r="N55" s="57" t="n"/>
      <c r="O55" s="57" t="n"/>
      <c r="P55" s="57" t="n"/>
      <c r="Q55" s="57" t="n"/>
      <c r="R55" s="57" t="n"/>
      <c r="S55" s="57" t="n"/>
      <c r="T55" s="57" t="n"/>
      <c r="U55" s="57" t="n"/>
      <c r="V55" s="57" t="n"/>
      <c r="W55" s="57" t="n"/>
      <c r="X55" s="57" t="n"/>
      <c r="Y55" s="57" t="n"/>
      <c r="Z55" s="57" t="n"/>
    </row>
    <row r="56" ht="42" customHeight="1" s="94">
      <c r="A56" s="16" t="n">
        <v>52</v>
      </c>
      <c r="B56" s="16" t="inlineStr">
        <is>
          <t>CONTAINER</t>
        </is>
      </c>
      <c r="C56" s="16" t="inlineStr">
        <is>
          <t>GHI_CHU_THU_LUU</t>
        </is>
      </c>
      <c r="D56" s="16" t="inlineStr">
        <is>
          <t>CHARGES / PAYMENTS / AUDIT_LOG</t>
        </is>
      </c>
      <c r="E56" s="16" t="inlineStr">
        <is>
          <t>Tách phí lưu và giao dịch thu; rà dữ liệu ghi chú trước khi nhập.</t>
        </is>
      </c>
      <c r="F56" s="16" t="inlineStr">
        <is>
          <t>P1</t>
        </is>
      </c>
      <c r="G56" s="23" t="n"/>
      <c r="H56" s="23" t="n"/>
      <c r="I56" s="57" t="n"/>
      <c r="J56" s="57" t="n"/>
      <c r="K56" s="57" t="n"/>
      <c r="L56" s="57" t="n"/>
      <c r="M56" s="57" t="n"/>
      <c r="N56" s="57" t="n"/>
      <c r="O56" s="57" t="n"/>
      <c r="P56" s="57" t="n"/>
      <c r="Q56" s="57" t="n"/>
      <c r="R56" s="57" t="n"/>
      <c r="S56" s="57" t="n"/>
      <c r="T56" s="57" t="n"/>
      <c r="U56" s="57" t="n"/>
      <c r="V56" s="57" t="n"/>
      <c r="W56" s="57" t="n"/>
      <c r="X56" s="57" t="n"/>
      <c r="Y56" s="57" t="n"/>
      <c r="Z56" s="57" t="n"/>
    </row>
    <row r="57" ht="42" customHeight="1" s="94">
      <c r="A57" s="10" t="n">
        <v>53</v>
      </c>
      <c r="B57" s="10" t="inlineStr">
        <is>
          <t>CONTAINER</t>
        </is>
      </c>
      <c r="C57" s="10" t="inlineStr">
        <is>
          <t>GIO_THU_LUU</t>
        </is>
      </c>
      <c r="D57" s="10" t="inlineStr">
        <is>
          <t>VEHICLE_VISITS</t>
        </is>
      </c>
      <c r="E57" s="10" t="inlineStr">
        <is>
          <t>Giữ thời điểm thực tế, nguồn người thao tác; tách trạng thái tài chính và ra cổng.</t>
        </is>
      </c>
      <c r="F57" s="10" t="inlineStr">
        <is>
          <t>P1</t>
        </is>
      </c>
      <c r="G57" s="23" t="n"/>
      <c r="H57" s="23" t="n"/>
      <c r="I57" s="57" t="n"/>
      <c r="J57" s="57" t="n"/>
      <c r="K57" s="57" t="n"/>
      <c r="L57" s="57" t="n"/>
      <c r="M57" s="57" t="n"/>
      <c r="N57" s="57" t="n"/>
      <c r="O57" s="57" t="n"/>
      <c r="P57" s="57" t="n"/>
      <c r="Q57" s="57" t="n"/>
      <c r="R57" s="57" t="n"/>
      <c r="S57" s="57" t="n"/>
      <c r="T57" s="57" t="n"/>
      <c r="U57" s="57" t="n"/>
      <c r="V57" s="57" t="n"/>
      <c r="W57" s="57" t="n"/>
      <c r="X57" s="57" t="n"/>
      <c r="Y57" s="57" t="n"/>
      <c r="Z57" s="57" t="n"/>
    </row>
    <row r="58" ht="42" customHeight="1" s="94">
      <c r="A58" s="16" t="n">
        <v>54</v>
      </c>
      <c r="B58" s="16" t="inlineStr">
        <is>
          <t>CONTAINER</t>
        </is>
      </c>
      <c r="C58" s="16" t="inlineStr">
        <is>
          <t>NGUOI_THU_LUU</t>
        </is>
      </c>
      <c r="D58" s="16" t="inlineStr">
        <is>
          <t>CHARGES / PAYMENTS / AUDIT_LOG</t>
        </is>
      </c>
      <c r="E58" s="16" t="inlineStr">
        <is>
          <t>Tách phí lưu và giao dịch thu; rà dữ liệu ghi chú trước khi nhập.</t>
        </is>
      </c>
      <c r="F58" s="16" t="inlineStr">
        <is>
          <t>P1</t>
        </is>
      </c>
      <c r="G58" s="23" t="n"/>
      <c r="H58" s="23" t="n"/>
      <c r="I58" s="57" t="n"/>
      <c r="J58" s="57" t="n"/>
      <c r="K58" s="57" t="n"/>
      <c r="L58" s="57" t="n"/>
      <c r="M58" s="57" t="n"/>
      <c r="N58" s="57" t="n"/>
      <c r="O58" s="57" t="n"/>
      <c r="P58" s="57" t="n"/>
      <c r="Q58" s="57" t="n"/>
      <c r="R58" s="57" t="n"/>
      <c r="S58" s="57" t="n"/>
      <c r="T58" s="57" t="n"/>
      <c r="U58" s="57" t="n"/>
      <c r="V58" s="57" t="n"/>
      <c r="W58" s="57" t="n"/>
      <c r="X58" s="57" t="n"/>
      <c r="Y58" s="57" t="n"/>
      <c r="Z58" s="57" t="n"/>
    </row>
    <row r="59" ht="42" customHeight="1" s="94">
      <c r="A59" s="10" t="n">
        <v>55</v>
      </c>
      <c r="B59" s="10" t="inlineStr">
        <is>
          <t>CONTAINER</t>
        </is>
      </c>
      <c r="C59" s="10" t="inlineStr">
        <is>
          <t>TRANG_THAI_CONTAINER</t>
        </is>
      </c>
      <c r="D59" s="10" t="inlineStr">
        <is>
          <t>CONTAINER / CONTAINER_VISITS</t>
        </is>
      </c>
      <c r="E59" s="10" t="inlineStr">
        <is>
          <t>Lưu lượt container độc lập, liên kết lượt xe; kiểm tra lịch sử nhiều lượt.</t>
        </is>
      </c>
      <c r="F59" s="10" t="inlineStr">
        <is>
          <t>P1</t>
        </is>
      </c>
      <c r="G59" s="23" t="n"/>
      <c r="H59" s="23" t="n"/>
      <c r="I59" s="57" t="n"/>
      <c r="J59" s="57" t="n"/>
      <c r="K59" s="57" t="n"/>
      <c r="L59" s="57" t="n"/>
      <c r="M59" s="57" t="n"/>
      <c r="N59" s="57" t="n"/>
      <c r="O59" s="57" t="n"/>
      <c r="P59" s="57" t="n"/>
      <c r="Q59" s="57" t="n"/>
      <c r="R59" s="57" t="n"/>
      <c r="S59" s="57" t="n"/>
      <c r="T59" s="57" t="n"/>
      <c r="U59" s="57" t="n"/>
      <c r="V59" s="57" t="n"/>
      <c r="W59" s="57" t="n"/>
      <c r="X59" s="57" t="n"/>
      <c r="Y59" s="57" t="n"/>
      <c r="Z59" s="57" t="n"/>
    </row>
    <row r="60" ht="42" customHeight="1" s="94">
      <c r="A60" s="16" t="n">
        <v>56</v>
      </c>
      <c r="B60" s="16" t="inlineStr">
        <is>
          <t>CONTAINER</t>
        </is>
      </c>
      <c r="C60" s="16" t="inlineStr">
        <is>
          <t>GHI_CHU</t>
        </is>
      </c>
      <c r="D60" s="16" t="inlineStr">
        <is>
          <t>Ghi chú nghiệp vụ / audit</t>
        </is>
      </c>
      <c r="E60" s="16" t="inlineStr">
        <is>
          <t>Cần xem ý nghĩa và ánh xạ theo hồ sơ nguồn.</t>
        </is>
      </c>
      <c r="F60" s="16" t="inlineStr">
        <is>
          <t>P1</t>
        </is>
      </c>
      <c r="G60" s="23" t="n"/>
      <c r="H60" s="23" t="n"/>
      <c r="I60" s="57" t="n"/>
      <c r="J60" s="57" t="n"/>
      <c r="K60" s="57" t="n"/>
      <c r="L60" s="57" t="n"/>
      <c r="M60" s="57" t="n"/>
      <c r="N60" s="57" t="n"/>
      <c r="O60" s="57" t="n"/>
      <c r="P60" s="57" t="n"/>
      <c r="Q60" s="57" t="n"/>
      <c r="R60" s="57" t="n"/>
      <c r="S60" s="57" t="n"/>
      <c r="T60" s="57" t="n"/>
      <c r="U60" s="57" t="n"/>
      <c r="V60" s="57" t="n"/>
      <c r="W60" s="57" t="n"/>
      <c r="X60" s="57" t="n"/>
      <c r="Y60" s="57" t="n"/>
      <c r="Z60" s="57" t="n"/>
    </row>
    <row r="61" ht="42" customHeight="1" s="94">
      <c r="A61" s="10" t="n">
        <v>57</v>
      </c>
      <c r="B61" s="10" t="inlineStr">
        <is>
          <t>CONTAINER</t>
        </is>
      </c>
      <c r="C61" s="10" t="inlineStr">
        <is>
          <t>TINH_TRANG_HANG_CONT</t>
        </is>
      </c>
      <c r="D61" s="10" t="inlineStr">
        <is>
          <t>CONTAINER / CONTAINER_VISITS</t>
        </is>
      </c>
      <c r="E61" s="10" t="inlineStr">
        <is>
          <t>Lưu lượt container độc lập, liên kết lượt xe; kiểm tra lịch sử nhiều lượt.</t>
        </is>
      </c>
      <c r="F61" s="10" t="inlineStr">
        <is>
          <t>P1</t>
        </is>
      </c>
      <c r="G61" s="23" t="n"/>
      <c r="H61" s="23"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H$61"/>
  <mergeCells count="2">
    <mergeCell ref="A2:H2"/>
    <mergeCell ref="A1:H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0.xml><?xml version="1.0" encoding="utf-8"?>
<worksheet xmlns="http://schemas.openxmlformats.org/spreadsheetml/2006/main">
  <sheetPr>
    <tabColor rgb="FF8091A2"/>
    <outlinePr summaryBelow="1" summaryRight="1"/>
    <pageSetUpPr fitToPage="1"/>
  </sheetPr>
  <dimension ref="A1:Z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94" min="1" max="1"/>
    <col width="42" customWidth="1" style="94" min="2" max="2"/>
    <col width="29" customWidth="1" style="94" min="3" max="3"/>
    <col width="31" customWidth="1" style="94" min="4" max="4"/>
    <col width="20" customWidth="1" style="94" min="5" max="5"/>
    <col width="38" customWidth="1" style="94" min="6" max="6"/>
    <col width="35" customWidth="1" style="94" min="7" max="7"/>
    <col width="24" customWidth="1" style="94" min="8" max="8"/>
    <col width="65" customWidth="1" style="94" min="9" max="9"/>
  </cols>
  <sheetData>
    <row r="1" ht="36" customHeight="1" s="94">
      <c r="A1" s="95" t="inlineStr">
        <is>
          <t>DANH SÁCH USERS APPSHEET — PHỤC VỤ ÁNH XẠ PHÂN QUYỀN</t>
        </is>
      </c>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Giữ nguyên EMAIL / HO_TEN / VAI_TRO / HOAT_DONG người dùng đã cung cấp. Cột mới để Sơn Cảng nhập, không tự cấp thêm quyền.</t>
        </is>
      </c>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STT</t>
        </is>
      </c>
      <c r="B4" s="6" t="inlineStr">
        <is>
          <t>EMAIL V1</t>
        </is>
      </c>
      <c r="C4" s="6" t="inlineStr">
        <is>
          <t>HỌ TÊN V1</t>
        </is>
      </c>
      <c r="D4" s="6" t="inlineStr">
        <is>
          <t>VAI_TRÒ V1</t>
        </is>
      </c>
      <c r="E4" s="6" t="inlineStr">
        <is>
          <t>HOẠT ĐỘNG V1</t>
        </is>
      </c>
      <c r="F4" s="6" t="inlineStr">
        <is>
          <t>Bộ phận PWA (điền)</t>
        </is>
      </c>
      <c r="G4" s="6" t="inlineStr">
        <is>
          <t>Vai trò PWA (điền)</t>
        </is>
      </c>
      <c r="H4" s="6" t="inlineStr">
        <is>
          <t>Hoạt động mới (điền)</t>
        </is>
      </c>
      <c r="I4" s="6" t="inlineStr">
        <is>
          <t>Ghi chú xác nhận (điền)</t>
        </is>
      </c>
      <c r="J4" s="57" t="n"/>
      <c r="K4" s="57" t="n"/>
      <c r="L4" s="57" t="n"/>
      <c r="M4" s="57" t="n"/>
      <c r="N4" s="57" t="n"/>
      <c r="O4" s="57" t="n"/>
      <c r="P4" s="57" t="n"/>
      <c r="Q4" s="57" t="n"/>
      <c r="R4" s="57" t="n"/>
      <c r="S4" s="57" t="n"/>
      <c r="T4" s="57" t="n"/>
      <c r="U4" s="57" t="n"/>
      <c r="V4" s="57" t="n"/>
      <c r="W4" s="57" t="n"/>
      <c r="X4" s="57" t="n"/>
      <c r="Y4" s="57" t="n"/>
      <c r="Z4" s="57" t="n"/>
    </row>
    <row r="5" ht="36.75" customHeight="1" s="94">
      <c r="A5" s="10" t="n">
        <v>1</v>
      </c>
      <c r="B5" s="10" t="inlineStr">
        <is>
          <t>thanhngx12@gmail.com</t>
        </is>
      </c>
      <c r="C5" s="10" t="inlineStr">
        <is>
          <t>Nguyễn Xuân Thành</t>
        </is>
      </c>
      <c r="D5" s="10" t="inlineStr">
        <is>
          <t>Quản trị</t>
        </is>
      </c>
      <c r="E5" s="10" t="b">
        <v>1</v>
      </c>
      <c r="F5" s="23" t="n"/>
      <c r="G5" s="23" t="n"/>
      <c r="H5" s="23" t="n"/>
      <c r="I5" s="23" t="n"/>
      <c r="J5" s="57" t="n"/>
      <c r="K5" s="57" t="n"/>
      <c r="L5" s="57" t="n"/>
      <c r="M5" s="57" t="n"/>
      <c r="N5" s="57" t="n"/>
      <c r="O5" s="57" t="n"/>
      <c r="P5" s="57" t="n"/>
      <c r="Q5" s="57" t="n"/>
      <c r="R5" s="57" t="n"/>
      <c r="S5" s="57" t="n"/>
      <c r="T5" s="57" t="n"/>
      <c r="U5" s="57" t="n"/>
      <c r="V5" s="57" t="n"/>
      <c r="W5" s="57" t="n"/>
      <c r="X5" s="57" t="n"/>
      <c r="Y5" s="57" t="n"/>
      <c r="Z5" s="57" t="n"/>
    </row>
    <row r="6" ht="36.75" customHeight="1" s="94">
      <c r="A6" s="16" t="n">
        <v>2</v>
      </c>
      <c r="B6" s="16" t="inlineStr">
        <is>
          <t>anninh.talunglogistics@gmail.com</t>
        </is>
      </c>
      <c r="C6" s="16" t="inlineStr">
        <is>
          <t>Nhân viên An ninh 01</t>
        </is>
      </c>
      <c r="D6" s="16" t="inlineStr">
        <is>
          <t>Nhân viên An ninh</t>
        </is>
      </c>
      <c r="E6" s="16" t="b">
        <v>1</v>
      </c>
      <c r="F6" s="23" t="n"/>
      <c r="G6" s="23" t="n"/>
      <c r="H6" s="23" t="n"/>
      <c r="I6" s="23" t="n"/>
      <c r="J6" s="57" t="n"/>
      <c r="K6" s="57" t="n"/>
      <c r="L6" s="57" t="n"/>
      <c r="M6" s="57" t="n"/>
      <c r="N6" s="57" t="n"/>
      <c r="O6" s="57" t="n"/>
      <c r="P6" s="57" t="n"/>
      <c r="Q6" s="57" t="n"/>
      <c r="R6" s="57" t="n"/>
      <c r="S6" s="57" t="n"/>
      <c r="T6" s="57" t="n"/>
      <c r="U6" s="57" t="n"/>
      <c r="V6" s="57" t="n"/>
      <c r="W6" s="57" t="n"/>
      <c r="X6" s="57" t="n"/>
      <c r="Y6" s="57" t="n"/>
      <c r="Z6" s="57" t="n"/>
    </row>
    <row r="7" ht="36.75" customHeight="1" s="94">
      <c r="A7" s="10" t="n">
        <v>3</v>
      </c>
      <c r="B7" s="10" t="inlineStr">
        <is>
          <t>thaild@talunglogistics.com</t>
        </is>
      </c>
      <c r="C7" s="10" t="inlineStr">
        <is>
          <t>Trưởng bộ phận An ninh</t>
        </is>
      </c>
      <c r="D7" s="10" t="inlineStr">
        <is>
          <t>Trưởng bộ phận An ninh</t>
        </is>
      </c>
      <c r="E7" s="10" t="b">
        <v>1</v>
      </c>
      <c r="F7" s="23" t="n"/>
      <c r="G7" s="23" t="n"/>
      <c r="H7" s="23" t="n"/>
      <c r="I7" s="23" t="n"/>
      <c r="J7" s="57" t="n"/>
      <c r="K7" s="57" t="n"/>
      <c r="L7" s="57" t="n"/>
      <c r="M7" s="57" t="n"/>
      <c r="N7" s="57" t="n"/>
      <c r="O7" s="57" t="n"/>
      <c r="P7" s="57" t="n"/>
      <c r="Q7" s="57" t="n"/>
      <c r="R7" s="57" t="n"/>
      <c r="S7" s="57" t="n"/>
      <c r="T7" s="57" t="n"/>
      <c r="U7" s="57" t="n"/>
      <c r="V7" s="57" t="n"/>
      <c r="W7" s="57" t="n"/>
      <c r="X7" s="57" t="n"/>
      <c r="Y7" s="57" t="n"/>
      <c r="Z7" s="57" t="n"/>
    </row>
    <row r="8" ht="36.75" customHeight="1" s="94">
      <c r="A8" s="16" t="n">
        <v>4</v>
      </c>
      <c r="B8" s="16" t="inlineStr">
        <is>
          <t>vietnq.talunglogistics@gmail.com</t>
        </is>
      </c>
      <c r="C8" s="16" t="inlineStr">
        <is>
          <t>Nhân viên An ninh 02</t>
        </is>
      </c>
      <c r="D8" s="16" t="inlineStr">
        <is>
          <t>Nhân viên An ninh</t>
        </is>
      </c>
      <c r="E8" s="16" t="b">
        <v>1</v>
      </c>
      <c r="F8" s="23" t="n"/>
      <c r="G8" s="23" t="n"/>
      <c r="H8" s="23" t="n"/>
      <c r="I8" s="23" t="n"/>
      <c r="J8" s="57" t="n"/>
      <c r="K8" s="57" t="n"/>
      <c r="L8" s="57" t="n"/>
      <c r="M8" s="57" t="n"/>
      <c r="N8" s="57" t="n"/>
      <c r="O8" s="57" t="n"/>
      <c r="P8" s="57" t="n"/>
      <c r="Q8" s="57" t="n"/>
      <c r="R8" s="57" t="n"/>
      <c r="S8" s="57" t="n"/>
      <c r="T8" s="57" t="n"/>
      <c r="U8" s="57" t="n"/>
      <c r="V8" s="57" t="n"/>
      <c r="W8" s="57" t="n"/>
      <c r="X8" s="57" t="n"/>
      <c r="Y8" s="57" t="n"/>
      <c r="Z8" s="57" t="n"/>
    </row>
    <row r="9" ht="36.75" customHeight="1" s="94">
      <c r="A9" s="10" t="n">
        <v>5</v>
      </c>
      <c r="B9" s="10" t="inlineStr">
        <is>
          <t>dieuphoi.talunglogistics@gmail.com</t>
        </is>
      </c>
      <c r="C9" s="10" t="inlineStr">
        <is>
          <t>Điều phối</t>
        </is>
      </c>
      <c r="D9" s="10" t="inlineStr">
        <is>
          <t>Điều phối</t>
        </is>
      </c>
      <c r="E9" s="10" t="b">
        <v>1</v>
      </c>
      <c r="F9" s="23" t="n"/>
      <c r="G9" s="23" t="n"/>
      <c r="H9" s="23" t="n"/>
      <c r="I9" s="23" t="n"/>
      <c r="J9" s="57" t="n"/>
      <c r="K9" s="57" t="n"/>
      <c r="L9" s="57" t="n"/>
      <c r="M9" s="57" t="n"/>
      <c r="N9" s="57" t="n"/>
      <c r="O9" s="57" t="n"/>
      <c r="P9" s="57" t="n"/>
      <c r="Q9" s="57" t="n"/>
      <c r="R9" s="57" t="n"/>
      <c r="S9" s="57" t="n"/>
      <c r="T9" s="57" t="n"/>
      <c r="U9" s="57" t="n"/>
      <c r="V9" s="57" t="n"/>
      <c r="W9" s="57" t="n"/>
      <c r="X9" s="57" t="n"/>
      <c r="Y9" s="57" t="n"/>
      <c r="Z9" s="57" t="n"/>
    </row>
    <row r="10" ht="36.75" customHeight="1" s="94">
      <c r="A10" s="16" t="n">
        <v>6</v>
      </c>
      <c r="B10" s="16" t="inlineStr">
        <is>
          <t>gate.talunglogistics@gmail.com</t>
        </is>
      </c>
      <c r="C10" s="16" t="inlineStr">
        <is>
          <t>Điều phối</t>
        </is>
      </c>
      <c r="D10" s="16" t="inlineStr">
        <is>
          <t>Điều phối</t>
        </is>
      </c>
      <c r="E10" s="16" t="b">
        <v>1</v>
      </c>
      <c r="F10" s="23" t="n"/>
      <c r="G10" s="23" t="n"/>
      <c r="H10" s="23" t="n"/>
      <c r="I10" s="23" t="n"/>
      <c r="J10" s="57" t="n"/>
      <c r="K10" s="57" t="n"/>
      <c r="L10" s="57" t="n"/>
      <c r="M10" s="57" t="n"/>
      <c r="N10" s="57" t="n"/>
      <c r="O10" s="57" t="n"/>
      <c r="P10" s="57" t="n"/>
      <c r="Q10" s="57" t="n"/>
      <c r="R10" s="57" t="n"/>
      <c r="S10" s="57" t="n"/>
      <c r="T10" s="57" t="n"/>
      <c r="U10" s="57" t="n"/>
      <c r="V10" s="57" t="n"/>
      <c r="W10" s="57" t="n"/>
      <c r="X10" s="57" t="n"/>
      <c r="Y10" s="57" t="n"/>
      <c r="Z10" s="57" t="n"/>
    </row>
    <row r="11">
      <c r="A11" s="57" t="n"/>
      <c r="B11" s="57" t="n"/>
      <c r="C11" s="57" t="n"/>
      <c r="D11" s="57" t="n"/>
      <c r="E11" s="57" t="n"/>
      <c r="F11" s="57" t="n"/>
      <c r="G11" s="57" t="n"/>
      <c r="H11" s="57" t="n"/>
      <c r="I11" s="57" t="n"/>
      <c r="J11" s="57" t="n"/>
      <c r="K11" s="57" t="n"/>
      <c r="L11" s="57" t="n"/>
      <c r="M11" s="57" t="n"/>
      <c r="N11" s="57" t="n"/>
      <c r="O11" s="57" t="n"/>
      <c r="P11" s="57" t="n"/>
      <c r="Q11" s="57" t="n"/>
      <c r="R11" s="57" t="n"/>
      <c r="S11" s="57" t="n"/>
      <c r="T11" s="57" t="n"/>
      <c r="U11" s="57" t="n"/>
      <c r="V11" s="57" t="n"/>
      <c r="W11" s="57" t="n"/>
      <c r="X11" s="57" t="n"/>
      <c r="Y11" s="57" t="n"/>
      <c r="Z11" s="57" t="n"/>
    </row>
    <row r="12">
      <c r="A12" s="57" t="n"/>
      <c r="B12" s="57" t="n"/>
      <c r="C12" s="57" t="n"/>
      <c r="D12" s="57" t="n"/>
      <c r="E12" s="57" t="n"/>
      <c r="F12" s="57" t="n"/>
      <c r="G12" s="57" t="n"/>
      <c r="H12" s="57" t="n"/>
      <c r="I12" s="57" t="n"/>
      <c r="J12" s="57" t="n"/>
      <c r="K12" s="57" t="n"/>
      <c r="L12" s="57" t="n"/>
      <c r="M12" s="57" t="n"/>
      <c r="N12" s="57" t="n"/>
      <c r="O12" s="57" t="n"/>
      <c r="P12" s="57" t="n"/>
      <c r="Q12" s="57" t="n"/>
      <c r="R12" s="57" t="n"/>
      <c r="S12" s="57" t="n"/>
      <c r="T12" s="57" t="n"/>
      <c r="U12" s="57" t="n"/>
      <c r="V12" s="57" t="n"/>
      <c r="W12" s="57" t="n"/>
      <c r="X12" s="57" t="n"/>
      <c r="Y12" s="57" t="n"/>
      <c r="Z12" s="57" t="n"/>
    </row>
    <row r="13">
      <c r="A13" s="57" t="n"/>
      <c r="B13" s="57" t="n"/>
      <c r="C13" s="57" t="n"/>
      <c r="D13" s="57" t="n"/>
      <c r="E13" s="57" t="n"/>
      <c r="F13" s="57" t="n"/>
      <c r="G13" s="57" t="n"/>
      <c r="H13" s="57" t="n"/>
      <c r="I13" s="57" t="n"/>
      <c r="J13" s="57" t="n"/>
      <c r="K13" s="57" t="n"/>
      <c r="L13" s="57" t="n"/>
      <c r="M13" s="57" t="n"/>
      <c r="N13" s="57" t="n"/>
      <c r="O13" s="57" t="n"/>
      <c r="P13" s="57" t="n"/>
      <c r="Q13" s="57" t="n"/>
      <c r="R13" s="57" t="n"/>
      <c r="S13" s="57" t="n"/>
      <c r="T13" s="57" t="n"/>
      <c r="U13" s="57" t="n"/>
      <c r="V13" s="57" t="n"/>
      <c r="W13" s="57" t="n"/>
      <c r="X13" s="57" t="n"/>
      <c r="Y13" s="57" t="n"/>
      <c r="Z13" s="57" t="n"/>
    </row>
    <row r="14">
      <c r="A14" s="57" t="n"/>
      <c r="B14" s="57" t="n"/>
      <c r="C14" s="57" t="n"/>
      <c r="D14" s="57" t="n"/>
      <c r="E14" s="57" t="n"/>
      <c r="F14" s="57" t="n"/>
      <c r="G14" s="57" t="n"/>
      <c r="H14" s="57" t="n"/>
      <c r="I14" s="57" t="n"/>
      <c r="J14" s="57" t="n"/>
      <c r="K14" s="57" t="n"/>
      <c r="L14" s="57" t="n"/>
      <c r="M14" s="57" t="n"/>
      <c r="N14" s="57" t="n"/>
      <c r="O14" s="57" t="n"/>
      <c r="P14" s="57" t="n"/>
      <c r="Q14" s="57" t="n"/>
      <c r="R14" s="57" t="n"/>
      <c r="S14" s="57" t="n"/>
      <c r="T14" s="57" t="n"/>
      <c r="U14" s="57" t="n"/>
      <c r="V14" s="57" t="n"/>
      <c r="W14" s="57" t="n"/>
      <c r="X14" s="57" t="n"/>
      <c r="Y14" s="57" t="n"/>
      <c r="Z14" s="57" t="n"/>
    </row>
    <row r="15">
      <c r="A15" s="57" t="n"/>
      <c r="B15" s="57" t="n"/>
      <c r="C15" s="57" t="n"/>
      <c r="D15" s="57" t="n"/>
      <c r="E15" s="57" t="n"/>
      <c r="F15" s="57" t="n"/>
      <c r="G15" s="57" t="n"/>
      <c r="H15" s="57" t="n"/>
      <c r="I15" s="57" t="n"/>
      <c r="J15" s="57" t="n"/>
      <c r="K15" s="57" t="n"/>
      <c r="L15" s="57" t="n"/>
      <c r="M15" s="57" t="n"/>
      <c r="N15" s="57" t="n"/>
      <c r="O15" s="57" t="n"/>
      <c r="P15" s="57" t="n"/>
      <c r="Q15" s="57" t="n"/>
      <c r="R15" s="57" t="n"/>
      <c r="S15" s="57" t="n"/>
      <c r="T15" s="57" t="n"/>
      <c r="U15" s="57" t="n"/>
      <c r="V15" s="57" t="n"/>
      <c r="W15" s="57" t="n"/>
      <c r="X15" s="57" t="n"/>
      <c r="Y15" s="57" t="n"/>
      <c r="Z15" s="57" t="n"/>
    </row>
    <row r="16">
      <c r="A16" s="57" t="n"/>
      <c r="B16" s="57" t="n"/>
      <c r="C16" s="57" t="n"/>
      <c r="D16" s="57" t="n"/>
      <c r="E16" s="57" t="n"/>
      <c r="F16" s="57" t="n"/>
      <c r="G16" s="57" t="n"/>
      <c r="H16" s="57" t="n"/>
      <c r="I16" s="57" t="n"/>
      <c r="J16" s="57" t="n"/>
      <c r="K16" s="57" t="n"/>
      <c r="L16" s="57" t="n"/>
      <c r="M16" s="57" t="n"/>
      <c r="N16" s="57" t="n"/>
      <c r="O16" s="57" t="n"/>
      <c r="P16" s="57" t="n"/>
      <c r="Q16" s="57" t="n"/>
      <c r="R16" s="57" t="n"/>
      <c r="S16" s="57" t="n"/>
      <c r="T16" s="57" t="n"/>
      <c r="U16" s="57" t="n"/>
      <c r="V16" s="57" t="n"/>
      <c r="W16" s="57" t="n"/>
      <c r="X16" s="57" t="n"/>
      <c r="Y16" s="57" t="n"/>
      <c r="Z16" s="57" t="n"/>
    </row>
    <row r="17">
      <c r="A17" s="57" t="n"/>
      <c r="B17" s="57" t="n"/>
      <c r="C17" s="57" t="n"/>
      <c r="D17" s="57" t="n"/>
      <c r="E17" s="57" t="n"/>
      <c r="F17" s="57" t="n"/>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c r="A18" s="57" t="n"/>
      <c r="B18" s="57" t="n"/>
      <c r="C18" s="57" t="n"/>
      <c r="D18" s="57" t="n"/>
      <c r="E18" s="57" t="n"/>
      <c r="F18" s="57" t="n"/>
      <c r="G18" s="57" t="n"/>
      <c r="H18" s="57" t="n"/>
      <c r="I18" s="57" t="n"/>
      <c r="J18" s="57" t="n"/>
      <c r="K18" s="57" t="n"/>
      <c r="L18" s="57" t="n"/>
      <c r="M18" s="57" t="n"/>
      <c r="N18" s="57" t="n"/>
      <c r="O18" s="57" t="n"/>
      <c r="P18" s="57" t="n"/>
      <c r="Q18" s="57" t="n"/>
      <c r="R18" s="57" t="n"/>
      <c r="S18" s="57" t="n"/>
      <c r="T18" s="57" t="n"/>
      <c r="U18" s="57" t="n"/>
      <c r="V18" s="57" t="n"/>
      <c r="W18" s="57" t="n"/>
      <c r="X18" s="57" t="n"/>
      <c r="Y18" s="57" t="n"/>
      <c r="Z18" s="57" t="n"/>
    </row>
    <row r="19">
      <c r="A19" s="57" t="n"/>
      <c r="B19" s="57" t="n"/>
      <c r="C19" s="57" t="n"/>
      <c r="D19" s="57" t="n"/>
      <c r="E19" s="57" t="n"/>
      <c r="F19" s="57" t="n"/>
      <c r="G19" s="57" t="n"/>
      <c r="H19" s="57" t="n"/>
      <c r="I19" s="57" t="n"/>
      <c r="J19" s="57" t="n"/>
      <c r="K19" s="57" t="n"/>
      <c r="L19" s="57" t="n"/>
      <c r="M19" s="57" t="n"/>
      <c r="N19" s="57" t="n"/>
      <c r="O19" s="57" t="n"/>
      <c r="P19" s="57" t="n"/>
      <c r="Q19" s="57" t="n"/>
      <c r="R19" s="57" t="n"/>
      <c r="S19" s="57" t="n"/>
      <c r="T19" s="57" t="n"/>
      <c r="U19" s="57" t="n"/>
      <c r="V19" s="57" t="n"/>
      <c r="W19" s="57" t="n"/>
      <c r="X19" s="57" t="n"/>
      <c r="Y19" s="57" t="n"/>
      <c r="Z19" s="57" t="n"/>
    </row>
    <row r="20">
      <c r="A20" s="57" t="n"/>
      <c r="B20" s="57" t="n"/>
      <c r="C20" s="57" t="n"/>
      <c r="D20" s="57" t="n"/>
      <c r="E20" s="57" t="n"/>
      <c r="F20" s="57" t="n"/>
      <c r="G20" s="57" t="n"/>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15.75" customHeight="1" s="94">
      <c r="A21" s="57" t="n"/>
      <c r="B21" s="57" t="n"/>
      <c r="C21" s="57" t="n"/>
      <c r="D21" s="57" t="n"/>
      <c r="E21" s="57" t="n"/>
      <c r="F21" s="57" t="n"/>
      <c r="G21" s="57" t="n"/>
      <c r="H21" s="57" t="n"/>
      <c r="I21" s="57" t="n"/>
      <c r="J21" s="57" t="n"/>
      <c r="K21" s="57" t="n"/>
      <c r="L21" s="57" t="n"/>
      <c r="M21" s="57" t="n"/>
      <c r="N21" s="57" t="n"/>
      <c r="O21" s="57" t="n"/>
      <c r="P21" s="57" t="n"/>
      <c r="Q21" s="57" t="n"/>
      <c r="R21" s="57" t="n"/>
      <c r="S21" s="57" t="n"/>
      <c r="T21" s="57" t="n"/>
      <c r="U21" s="57" t="n"/>
      <c r="V21" s="57" t="n"/>
      <c r="W21" s="57" t="n"/>
      <c r="X21" s="57" t="n"/>
      <c r="Y21" s="57" t="n"/>
      <c r="Z21" s="57" t="n"/>
    </row>
    <row r="22" ht="15.75" customHeight="1" s="94">
      <c r="A22" s="57" t="n"/>
      <c r="B22" s="57" t="n"/>
      <c r="C22" s="57" t="n"/>
      <c r="D22" s="57" t="n"/>
      <c r="E22" s="57" t="n"/>
      <c r="F22" s="57" t="n"/>
      <c r="G22" s="57" t="n"/>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15.75" customHeight="1" s="94">
      <c r="A23" s="57" t="n"/>
      <c r="B23" s="57" t="n"/>
      <c r="C23" s="57" t="n"/>
      <c r="D23" s="57" t="n"/>
      <c r="E23" s="57" t="n"/>
      <c r="F23" s="57" t="n"/>
      <c r="G23" s="57" t="n"/>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15.75" customHeight="1" s="94">
      <c r="A24" s="57" t="n"/>
      <c r="B24" s="57" t="n"/>
      <c r="C24" s="57" t="n"/>
      <c r="D24" s="57" t="n"/>
      <c r="E24" s="57" t="n"/>
      <c r="F24" s="57" t="n"/>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15.75" customHeight="1" s="94">
      <c r="A25" s="57" t="n"/>
      <c r="B25" s="57" t="n"/>
      <c r="C25" s="57" t="n"/>
      <c r="D25" s="57" t="n"/>
      <c r="E25" s="57" t="n"/>
      <c r="F25" s="57" t="n"/>
      <c r="G25" s="57" t="n"/>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15.75" customHeight="1" s="94">
      <c r="A26" s="57" t="n"/>
      <c r="B26" s="57" t="n"/>
      <c r="C26" s="57" t="n"/>
      <c r="D26" s="57" t="n"/>
      <c r="E26" s="57" t="n"/>
      <c r="F26" s="57" t="n"/>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15.75" customHeight="1" s="94">
      <c r="A27" s="57" t="n"/>
      <c r="B27" s="57" t="n"/>
      <c r="C27" s="57" t="n"/>
      <c r="D27" s="57" t="n"/>
      <c r="E27" s="57" t="n"/>
      <c r="F27" s="57" t="n"/>
      <c r="G27" s="57" t="n"/>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15.75" customHeight="1" s="94">
      <c r="A28" s="57" t="n"/>
      <c r="B28" s="57" t="n"/>
      <c r="C28" s="57" t="n"/>
      <c r="D28" s="57" t="n"/>
      <c r="E28" s="57" t="n"/>
      <c r="F28" s="57" t="n"/>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5.75" customHeight="1" s="94">
      <c r="A29" s="57" t="n"/>
      <c r="B29" s="57" t="n"/>
      <c r="C29" s="57" t="n"/>
      <c r="D29" s="57" t="n"/>
      <c r="E29" s="57" t="n"/>
      <c r="F29" s="57" t="n"/>
      <c r="G29" s="57" t="n"/>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s="94">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15.75" customHeight="1" s="94">
      <c r="A32" s="57" t="n"/>
      <c r="B32" s="57" t="n"/>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15.75" customHeight="1" s="94">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s="94">
      <c r="A34" s="57" t="n"/>
      <c r="B34" s="57" t="n"/>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s="94">
      <c r="A35" s="57" t="n"/>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s="94">
      <c r="A36" s="57" t="n"/>
      <c r="B36" s="57" t="n"/>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s="94">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s="94">
      <c r="A38" s="57" t="n"/>
      <c r="B38" s="57" t="n"/>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s="94">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s="94">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I$10"/>
  <mergeCells count="2">
    <mergeCell ref="A1:I1"/>
    <mergeCell ref="A2:I2"/>
  </mergeCells>
  <dataValidations count="3">
    <dataValidation sqref="F5:F10" showDropDown="0" showInputMessage="1" showErrorMessage="0" allowBlank="1" prompt="Chọn từ danh sách - Có thể chọn từ danh sách hoặc điền nội dung chi tiết ở cột bên cạnh." type="list">
      <formula1>"An ninh,CCKB,Điều phối,Quản trị,Không sử dụng"</formula1>
    </dataValidation>
    <dataValidation sqref="G5:G10" showDropDown="0" showInputMessage="1" showErrorMessage="0" allowBlank="1" prompt="Chọn từ danh sách - Có thể chọn từ danh sách hoặc điền nội dung chi tiết ở cột bên cạnh." type="list">
      <formula1>"NV An ninh,TBP An ninh,NV CCKB,TBP CCKB,NV Điều phối,TBP Điều phối,Quản trị,Không sử dụng"</formula1>
    </dataValidation>
    <dataValidation sqref="H5:H10" showDropDown="0" showInputMessage="1" showErrorMessage="0" allowBlank="1" prompt="Chọn từ danh sách - Có thể chọn từ danh sách hoặc điền nội dung chi tiết ở cột bên cạnh." type="list">
      <formula1>"Đang hoạt động,Ngừng sử dụng,Chờ xác nhận"</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1.xml><?xml version="1.0" encoding="utf-8"?>
<worksheet xmlns="http://schemas.openxmlformats.org/spreadsheetml/2006/main">
  <sheetPr>
    <tabColor rgb="FF8091A2"/>
    <outlinePr summaryBelow="1" summaryRight="1"/>
    <pageSetUpPr fitToPage="1"/>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8" customWidth="1" style="94" min="1" max="1"/>
    <col width="19" customWidth="1" style="94" min="2" max="2"/>
    <col width="31" customWidth="1" style="94" min="3" max="3"/>
    <col width="82" customWidth="1" style="94" min="4" max="4"/>
    <col width="78" customWidth="1" style="94" min="5" max="5"/>
    <col width="57" customWidth="1" style="94" min="6" max="6"/>
    <col width="34" customWidth="1" style="94" min="7" max="7"/>
    <col width="75" customWidth="1" style="94" min="8" max="8"/>
    <col width="22" customWidth="1" style="94" min="9" max="9"/>
  </cols>
  <sheetData>
    <row r="1" ht="36" customHeight="1" s="94">
      <c r="A1" s="95" t="inlineStr">
        <is>
          <t>CÁC MẪU DỮ LIỆU CŨ CẦN ĐỐI CHIẾU TRƯỚC CHUYỂN ĐỔI</t>
        </is>
      </c>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Dấu hiệu chưa nhất quán chỉ là mục cần xác minh, KHÔNG tự kết luận đã thu thiếu hoặc nhập sai. Không tự sửa chứng từ gốc.</t>
        </is>
      </c>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33" customHeight="1" s="94">
      <c r="A4" s="6" t="inlineStr">
        <is>
          <t>STT</t>
        </is>
      </c>
      <c r="B4" s="6" t="inlineStr">
        <is>
          <t>Đối tượng</t>
        </is>
      </c>
      <c r="C4" s="6" t="inlineStr">
        <is>
          <t>ID / Số container</t>
        </is>
      </c>
      <c r="D4" s="6" t="inlineStr">
        <is>
          <t>Dữ liệu trong bảng</t>
        </is>
      </c>
      <c r="E4" s="6" t="inlineStr">
        <is>
          <t>Dấu hiệu cần kiểm tra</t>
        </is>
      </c>
      <c r="F4" s="6" t="inlineStr">
        <is>
          <t>Tác động tiềm ẩn</t>
        </is>
      </c>
      <c r="G4" s="6" t="inlineStr">
        <is>
          <t>Bộ phận đối chiếu</t>
        </is>
      </c>
      <c r="H4" s="6" t="inlineStr">
        <is>
          <t>Kết luận đối chiếu (điền)</t>
        </is>
      </c>
      <c r="I4" s="6" t="inlineStr">
        <is>
          <t>Trạng thái</t>
        </is>
      </c>
      <c r="J4" s="57" t="n"/>
      <c r="K4" s="57" t="n"/>
      <c r="L4" s="57" t="n"/>
      <c r="M4" s="57" t="n"/>
      <c r="N4" s="57" t="n"/>
      <c r="O4" s="57" t="n"/>
      <c r="P4" s="57" t="n"/>
      <c r="Q4" s="57" t="n"/>
      <c r="R4" s="57" t="n"/>
      <c r="S4" s="57" t="n"/>
      <c r="T4" s="57" t="n"/>
      <c r="U4" s="57" t="n"/>
      <c r="V4" s="57" t="n"/>
      <c r="W4" s="57" t="n"/>
      <c r="X4" s="57" t="n"/>
      <c r="Y4" s="57" t="n"/>
      <c r="Z4" s="57" t="n"/>
    </row>
    <row r="5" ht="58.5" customHeight="1" s="94">
      <c r="A5" s="10" t="n">
        <v>1</v>
      </c>
      <c r="B5" s="10" t="inlineStr">
        <is>
          <t>CONTAINER</t>
        </is>
      </c>
      <c r="C5" s="10" t="inlineStr">
        <is>
          <t>CCLU8578039</t>
        </is>
      </c>
      <c r="D5" s="10" t="inlineStr">
        <is>
          <t>TIEN_LUU_PHAI_THU = 1.000.000đ; GHI_CHU_THU_LUU = "900k"</t>
        </is>
      </c>
      <c r="E5" s="10" t="inlineStr">
        <is>
          <t>Cần xác nhận số tiền thực nhận là 900k hay 1 triệu; không suy ra từ trạng thái Đã thu.</t>
        </is>
      </c>
      <c r="F5" s="10" t="inlineStr">
        <is>
          <t>Tránh xuất sai doanh thu/công nợ khi chuyển.</t>
        </is>
      </c>
      <c r="G5" s="10" t="inlineStr">
        <is>
          <t>CCKB + Kế toán</t>
        </is>
      </c>
      <c r="H5" s="23" t="n"/>
      <c r="I5" s="23" t="inlineStr">
        <is>
          <t>Chưa đối soát</t>
        </is>
      </c>
      <c r="J5" s="57" t="n"/>
      <c r="K5" s="57" t="n"/>
      <c r="L5" s="57" t="n"/>
      <c r="M5" s="57" t="n"/>
      <c r="N5" s="57" t="n"/>
      <c r="O5" s="57" t="n"/>
      <c r="P5" s="57" t="n"/>
      <c r="Q5" s="57" t="n"/>
      <c r="R5" s="57" t="n"/>
      <c r="S5" s="57" t="n"/>
      <c r="T5" s="57" t="n"/>
      <c r="U5" s="57" t="n"/>
      <c r="V5" s="57" t="n"/>
      <c r="W5" s="57" t="n"/>
      <c r="X5" s="57" t="n"/>
      <c r="Y5" s="57" t="n"/>
      <c r="Z5" s="57" t="n"/>
    </row>
    <row r="6" ht="58.5" customHeight="1" s="94">
      <c r="A6" s="16" t="n">
        <v>2</v>
      </c>
      <c r="B6" s="16" t="inlineStr">
        <is>
          <t>CONTAINER</t>
        </is>
      </c>
      <c r="C6" s="16" t="inlineStr">
        <is>
          <t>KKFU2636586</t>
        </is>
      </c>
      <c r="D6" s="16" t="inlineStr">
        <is>
          <t>TIEN_LUU_PHAI_THU = 2.900.000đ; ghi chú 2.700.000đ; GIO_CONT_RA 26/09/2026</t>
        </is>
      </c>
      <c r="E6" s="16" t="inlineStr">
        <is>
          <t>Ghi chú nêu "ra 20:20 23/9" khác ngày ra trong cột; cần đối chiếu vé và tiền nhận.</t>
        </is>
      </c>
      <c r="F6" s="16" t="inlineStr">
        <is>
          <t>Sai mốc ra có thể thay đổi số đêm và phí.</t>
        </is>
      </c>
      <c r="G6" s="16" t="inlineStr">
        <is>
          <t>An ninh + CCKB + Kế toán</t>
        </is>
      </c>
      <c r="H6" s="23" t="n"/>
      <c r="I6" s="23" t="inlineStr">
        <is>
          <t>Chưa đối soát</t>
        </is>
      </c>
      <c r="J6" s="57" t="n"/>
      <c r="K6" s="57" t="n"/>
      <c r="L6" s="57" t="n"/>
      <c r="M6" s="57" t="n"/>
      <c r="N6" s="57" t="n"/>
      <c r="O6" s="57" t="n"/>
      <c r="P6" s="57" t="n"/>
      <c r="Q6" s="57" t="n"/>
      <c r="R6" s="57" t="n"/>
      <c r="S6" s="57" t="n"/>
      <c r="T6" s="57" t="n"/>
      <c r="U6" s="57" t="n"/>
      <c r="V6" s="57" t="n"/>
      <c r="W6" s="57" t="n"/>
      <c r="X6" s="57" t="n"/>
      <c r="Y6" s="57" t="n"/>
      <c r="Z6" s="57" t="n"/>
    </row>
    <row r="7" ht="58.5" customHeight="1" s="94">
      <c r="A7" s="10" t="n">
        <v>3</v>
      </c>
      <c r="B7" s="10" t="inlineStr">
        <is>
          <t>CONTAINER</t>
        </is>
      </c>
      <c r="C7" s="10" t="inlineStr">
        <is>
          <t>WHLU7751030</t>
        </is>
      </c>
      <c r="D7" s="10" t="inlineStr">
        <is>
          <t>TIEN_LUU_PHAI_THU = 900.000đ; ghi chú "Hùng thu 800k k ghi sổ"</t>
        </is>
      </c>
      <c r="E7" s="10" t="inlineStr">
        <is>
          <t>Cần kiểm tra tiền đã thu nhưng chưa vào sổ hay mới là ghi chú ngoài hệ thống.</t>
        </is>
      </c>
      <c r="F7" s="10" t="inlineStr">
        <is>
          <t>Tránh ghi nhận trùng hoặc bỏ sót khoản thu.</t>
        </is>
      </c>
      <c r="G7" s="10" t="inlineStr">
        <is>
          <t>CCKB + Kế toán</t>
        </is>
      </c>
      <c r="H7" s="23" t="n"/>
      <c r="I7" s="23" t="inlineStr">
        <is>
          <t>Chưa đối soát</t>
        </is>
      </c>
      <c r="J7" s="57" t="n"/>
      <c r="K7" s="57" t="n"/>
      <c r="L7" s="57" t="n"/>
      <c r="M7" s="57" t="n"/>
      <c r="N7" s="57" t="n"/>
      <c r="O7" s="57" t="n"/>
      <c r="P7" s="57" t="n"/>
      <c r="Q7" s="57" t="n"/>
      <c r="R7" s="57" t="n"/>
      <c r="S7" s="57" t="n"/>
      <c r="T7" s="57" t="n"/>
      <c r="U7" s="57" t="n"/>
      <c r="V7" s="57" t="n"/>
      <c r="W7" s="57" t="n"/>
      <c r="X7" s="57" t="n"/>
      <c r="Y7" s="57" t="n"/>
      <c r="Z7" s="57" t="n"/>
    </row>
    <row r="8" ht="58.5" customHeight="1" s="94">
      <c r="A8" s="16" t="n">
        <v>4</v>
      </c>
      <c r="B8" s="16" t="inlineStr">
        <is>
          <t>VEHICLE</t>
        </is>
      </c>
      <c r="C8" s="16" t="inlineStr">
        <is>
          <t>15C09113 / ID 43da6325</t>
        </is>
      </c>
      <c r="D8" s="16" t="inlineStr">
        <is>
          <t>SO_CONTAINER_VAO = TDRU0708408; SO_CONTAINER_RA = TDRU0708407</t>
        </is>
      </c>
      <c r="E8" s="16" t="inlineStr">
        <is>
          <t>Số container vào và ra lệch 1 chữ số; cần xác nhận thay cont thực tế hay nhập nhầm.</t>
        </is>
      </c>
      <c r="F8" s="16" t="inlineStr">
        <is>
          <t>Ảnh hưởng liên kết lượt cont và thu phí.</t>
        </is>
      </c>
      <c r="G8" s="16" t="inlineStr">
        <is>
          <t>An ninh + Điều phối</t>
        </is>
      </c>
      <c r="H8" s="23" t="n"/>
      <c r="I8" s="23" t="inlineStr">
        <is>
          <t>Chưa đối soát</t>
        </is>
      </c>
      <c r="J8" s="57" t="n"/>
      <c r="K8" s="57" t="n"/>
      <c r="L8" s="57" t="n"/>
      <c r="M8" s="57" t="n"/>
      <c r="N8" s="57" t="n"/>
      <c r="O8" s="57" t="n"/>
      <c r="P8" s="57" t="n"/>
      <c r="Q8" s="57" t="n"/>
      <c r="R8" s="57" t="n"/>
      <c r="S8" s="57" t="n"/>
      <c r="T8" s="57" t="n"/>
      <c r="U8" s="57" t="n"/>
      <c r="V8" s="57" t="n"/>
      <c r="W8" s="57" t="n"/>
      <c r="X8" s="57" t="n"/>
      <c r="Y8" s="57" t="n"/>
      <c r="Z8" s="57" t="n"/>
    </row>
    <row r="9" ht="58.5" customHeight="1" s="94">
      <c r="A9" s="10" t="n">
        <v>5</v>
      </c>
      <c r="B9" s="10" t="inlineStr">
        <is>
          <t>VEHICLE</t>
        </is>
      </c>
      <c r="C9" s="10" t="inlineStr">
        <is>
          <t>ID 71562ccf</t>
        </is>
      </c>
      <c r="D9" s="10" t="inlineStr">
        <is>
          <t>XE_BO_3_BANH, BIEN_SO_XE để trống</t>
        </is>
      </c>
      <c r="E9" s="10" t="inlineStr">
        <is>
          <t>Dữ liệu chứng minh cần xử lý xe không có biển số thật.</t>
        </is>
      </c>
      <c r="F9" s="10" t="inlineStr">
        <is>
          <t>PWA không bắt buộc biển số và cần mã lượt độc lập.</t>
        </is>
      </c>
      <c r="G9" s="10" t="inlineStr">
        <is>
          <t>An ninh</t>
        </is>
      </c>
      <c r="H9" s="23" t="n"/>
      <c r="I9" s="23" t="inlineStr">
        <is>
          <t>Chưa đối soát</t>
        </is>
      </c>
      <c r="J9" s="57" t="n"/>
      <c r="K9" s="57" t="n"/>
      <c r="L9" s="57" t="n"/>
      <c r="M9" s="57" t="n"/>
      <c r="N9" s="57" t="n"/>
      <c r="O9" s="57" t="n"/>
      <c r="P9" s="57" t="n"/>
      <c r="Q9" s="57" t="n"/>
      <c r="R9" s="57" t="n"/>
      <c r="S9" s="57" t="n"/>
      <c r="T9" s="57" t="n"/>
      <c r="U9" s="57" t="n"/>
      <c r="V9" s="57" t="n"/>
      <c r="W9" s="57" t="n"/>
      <c r="X9" s="57" t="n"/>
      <c r="Y9" s="57" t="n"/>
      <c r="Z9" s="57" t="n"/>
    </row>
    <row r="10" ht="58.5" customHeight="1" s="94">
      <c r="A10" s="16" t="n">
        <v>6</v>
      </c>
      <c r="B10" s="16" t="inlineStr">
        <is>
          <t>VEHICLE</t>
        </is>
      </c>
      <c r="C10" s="16" t="inlineStr">
        <is>
          <t>ID ee310485, 2beb741a</t>
        </is>
      </c>
      <c r="D10" s="16" t="inlineStr">
        <is>
          <t>XE_BO_3_BANH, BIEN_SO_XE là "BO BA BANH" / "XE BA BANH"</t>
        </is>
      </c>
      <c r="E10" s="16" t="inlineStr">
        <is>
          <t>Bản ghi loại xe chứa mô tả thay biển số; khi chuyển cần chuẩn hóa rỗng, nhưng chỉ sau kiểm tra.</t>
        </is>
      </c>
      <c r="F10" s="16" t="inlineStr">
        <is>
          <t>Tránh coi chữ tự do là biển số phương tiện.</t>
        </is>
      </c>
      <c r="G10" s="16" t="inlineStr">
        <is>
          <t>An ninh + CNTT</t>
        </is>
      </c>
      <c r="H10" s="23" t="n"/>
      <c r="I10" s="23" t="inlineStr">
        <is>
          <t>Chưa đối soát</t>
        </is>
      </c>
      <c r="J10" s="57" t="n"/>
      <c r="K10" s="57" t="n"/>
      <c r="L10" s="57" t="n"/>
      <c r="M10" s="57" t="n"/>
      <c r="N10" s="57" t="n"/>
      <c r="O10" s="57" t="n"/>
      <c r="P10" s="57" t="n"/>
      <c r="Q10" s="57" t="n"/>
      <c r="R10" s="57" t="n"/>
      <c r="S10" s="57" t="n"/>
      <c r="T10" s="57" t="n"/>
      <c r="U10" s="57" t="n"/>
      <c r="V10" s="57" t="n"/>
      <c r="W10" s="57" t="n"/>
      <c r="X10" s="57" t="n"/>
      <c r="Y10" s="57" t="n"/>
      <c r="Z10" s="57" t="n"/>
    </row>
    <row r="11" ht="58.5" customHeight="1" s="94">
      <c r="A11" s="10" t="n">
        <v>7</v>
      </c>
      <c r="B11" s="10" t="inlineStr">
        <is>
          <t>VEHICLE</t>
        </is>
      </c>
      <c r="C11" s="10" t="inlineStr">
        <is>
          <t>Các dòng ghi "Khắc phục đồng bộ"</t>
        </is>
      </c>
      <c r="D11" s="10" t="inlineStr">
        <is>
          <t>Xe ra đã được cập nhật giờ ra sau dữ liệu container</t>
        </is>
      </c>
      <c r="E11" s="10" t="inlineStr">
        <is>
          <t>Cần phát hiện xe và cont đã ra thực tế nhưng không đồng nhất thời gian/bản ghi.</t>
        </is>
      </c>
      <c r="F11" s="10" t="inlineStr">
        <is>
          <t>PWA phải khóa giao dịch ra xe/cont đồng bộ.</t>
        </is>
      </c>
      <c r="G11" s="10" t="inlineStr">
        <is>
          <t>An ninh + CNTT</t>
        </is>
      </c>
      <c r="H11" s="23" t="n"/>
      <c r="I11" s="23" t="inlineStr">
        <is>
          <t>Chưa đối soát</t>
        </is>
      </c>
      <c r="J11" s="57" t="n"/>
      <c r="K11" s="57" t="n"/>
      <c r="L11" s="57" t="n"/>
      <c r="M11" s="57" t="n"/>
      <c r="N11" s="57" t="n"/>
      <c r="O11" s="57" t="n"/>
      <c r="P11" s="57" t="n"/>
      <c r="Q11" s="57" t="n"/>
      <c r="R11" s="57" t="n"/>
      <c r="S11" s="57" t="n"/>
      <c r="T11" s="57" t="n"/>
      <c r="U11" s="57" t="n"/>
      <c r="V11" s="57" t="n"/>
      <c r="W11" s="57" t="n"/>
      <c r="X11" s="57" t="n"/>
      <c r="Y11" s="57" t="n"/>
      <c r="Z11" s="57" t="n"/>
    </row>
    <row r="12">
      <c r="A12" s="57" t="n"/>
      <c r="B12" s="57" t="n"/>
      <c r="C12" s="57" t="n"/>
      <c r="D12" s="57" t="n"/>
      <c r="E12" s="57" t="n"/>
      <c r="F12" s="57" t="n"/>
      <c r="G12" s="57" t="n"/>
      <c r="H12" s="57" t="n"/>
      <c r="I12" s="57" t="n"/>
      <c r="J12" s="57" t="n"/>
      <c r="K12" s="57" t="n"/>
      <c r="L12" s="57" t="n"/>
      <c r="M12" s="57" t="n"/>
      <c r="N12" s="57" t="n"/>
      <c r="O12" s="57" t="n"/>
      <c r="P12" s="57" t="n"/>
      <c r="Q12" s="57" t="n"/>
      <c r="R12" s="57" t="n"/>
      <c r="S12" s="57" t="n"/>
      <c r="T12" s="57" t="n"/>
      <c r="U12" s="57" t="n"/>
      <c r="V12" s="57" t="n"/>
      <c r="W12" s="57" t="n"/>
      <c r="X12" s="57" t="n"/>
      <c r="Y12" s="57" t="n"/>
      <c r="Z12" s="57" t="n"/>
    </row>
    <row r="13">
      <c r="A13" s="57" t="n"/>
      <c r="B13" s="57" t="n"/>
      <c r="C13" s="57" t="n"/>
      <c r="D13" s="57" t="n"/>
      <c r="E13" s="57" t="n"/>
      <c r="F13" s="57" t="n"/>
      <c r="G13" s="57" t="n"/>
      <c r="H13" s="57" t="n"/>
      <c r="I13" s="57" t="n"/>
      <c r="J13" s="57" t="n"/>
      <c r="K13" s="57" t="n"/>
      <c r="L13" s="57" t="n"/>
      <c r="M13" s="57" t="n"/>
      <c r="N13" s="57" t="n"/>
      <c r="O13" s="57" t="n"/>
      <c r="P13" s="57" t="n"/>
      <c r="Q13" s="57" t="n"/>
      <c r="R13" s="57" t="n"/>
      <c r="S13" s="57" t="n"/>
      <c r="T13" s="57" t="n"/>
      <c r="U13" s="57" t="n"/>
      <c r="V13" s="57" t="n"/>
      <c r="W13" s="57" t="n"/>
      <c r="X13" s="57" t="n"/>
      <c r="Y13" s="57" t="n"/>
      <c r="Z13" s="57" t="n"/>
    </row>
    <row r="14">
      <c r="A14" s="57" t="n"/>
      <c r="B14" s="57" t="n"/>
      <c r="C14" s="57" t="n"/>
      <c r="D14" s="57" t="n"/>
      <c r="E14" s="57" t="n"/>
      <c r="F14" s="57" t="n"/>
      <c r="G14" s="57" t="n"/>
      <c r="H14" s="57" t="n"/>
      <c r="I14" s="57" t="n"/>
      <c r="J14" s="57" t="n"/>
      <c r="K14" s="57" t="n"/>
      <c r="L14" s="57" t="n"/>
      <c r="M14" s="57" t="n"/>
      <c r="N14" s="57" t="n"/>
      <c r="O14" s="57" t="n"/>
      <c r="P14" s="57" t="n"/>
      <c r="Q14" s="57" t="n"/>
      <c r="R14" s="57" t="n"/>
      <c r="S14" s="57" t="n"/>
      <c r="T14" s="57" t="n"/>
      <c r="U14" s="57" t="n"/>
      <c r="V14" s="57" t="n"/>
      <c r="W14" s="57" t="n"/>
      <c r="X14" s="57" t="n"/>
      <c r="Y14" s="57" t="n"/>
      <c r="Z14" s="57" t="n"/>
    </row>
    <row r="15">
      <c r="A15" s="57" t="n"/>
      <c r="B15" s="57" t="n"/>
      <c r="C15" s="57" t="n"/>
      <c r="D15" s="57" t="n"/>
      <c r="E15" s="57" t="n"/>
      <c r="F15" s="57" t="n"/>
      <c r="G15" s="57" t="n"/>
      <c r="H15" s="57" t="n"/>
      <c r="I15" s="57" t="n"/>
      <c r="J15" s="57" t="n"/>
      <c r="K15" s="57" t="n"/>
      <c r="L15" s="57" t="n"/>
      <c r="M15" s="57" t="n"/>
      <c r="N15" s="57" t="n"/>
      <c r="O15" s="57" t="n"/>
      <c r="P15" s="57" t="n"/>
      <c r="Q15" s="57" t="n"/>
      <c r="R15" s="57" t="n"/>
      <c r="S15" s="57" t="n"/>
      <c r="T15" s="57" t="n"/>
      <c r="U15" s="57" t="n"/>
      <c r="V15" s="57" t="n"/>
      <c r="W15" s="57" t="n"/>
      <c r="X15" s="57" t="n"/>
      <c r="Y15" s="57" t="n"/>
      <c r="Z15" s="57" t="n"/>
    </row>
    <row r="16">
      <c r="A16" s="57" t="n"/>
      <c r="B16" s="57" t="n"/>
      <c r="C16" s="57" t="n"/>
      <c r="D16" s="57" t="n"/>
      <c r="E16" s="57" t="n"/>
      <c r="F16" s="57" t="n"/>
      <c r="G16" s="57" t="n"/>
      <c r="H16" s="57" t="n"/>
      <c r="I16" s="57" t="n"/>
      <c r="J16" s="57" t="n"/>
      <c r="K16" s="57" t="n"/>
      <c r="L16" s="57" t="n"/>
      <c r="M16" s="57" t="n"/>
      <c r="N16" s="57" t="n"/>
      <c r="O16" s="57" t="n"/>
      <c r="P16" s="57" t="n"/>
      <c r="Q16" s="57" t="n"/>
      <c r="R16" s="57" t="n"/>
      <c r="S16" s="57" t="n"/>
      <c r="T16" s="57" t="n"/>
      <c r="U16" s="57" t="n"/>
      <c r="V16" s="57" t="n"/>
      <c r="W16" s="57" t="n"/>
      <c r="X16" s="57" t="n"/>
      <c r="Y16" s="57" t="n"/>
      <c r="Z16" s="57" t="n"/>
    </row>
    <row r="17">
      <c r="A17" s="57" t="n"/>
      <c r="B17" s="57" t="n"/>
      <c r="C17" s="57" t="n"/>
      <c r="D17" s="57" t="n"/>
      <c r="E17" s="57" t="n"/>
      <c r="F17" s="57" t="n"/>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c r="A18" s="57" t="n"/>
      <c r="B18" s="57" t="n"/>
      <c r="C18" s="57" t="n"/>
      <c r="D18" s="57" t="n"/>
      <c r="E18" s="57" t="n"/>
      <c r="F18" s="57" t="n"/>
      <c r="G18" s="57" t="n"/>
      <c r="H18" s="57" t="n"/>
      <c r="I18" s="57" t="n"/>
      <c r="J18" s="57" t="n"/>
      <c r="K18" s="57" t="n"/>
      <c r="L18" s="57" t="n"/>
      <c r="M18" s="57" t="n"/>
      <c r="N18" s="57" t="n"/>
      <c r="O18" s="57" t="n"/>
      <c r="P18" s="57" t="n"/>
      <c r="Q18" s="57" t="n"/>
      <c r="R18" s="57" t="n"/>
      <c r="S18" s="57" t="n"/>
      <c r="T18" s="57" t="n"/>
      <c r="U18" s="57" t="n"/>
      <c r="V18" s="57" t="n"/>
      <c r="W18" s="57" t="n"/>
      <c r="X18" s="57" t="n"/>
      <c r="Y18" s="57" t="n"/>
      <c r="Z18" s="57" t="n"/>
    </row>
    <row r="19">
      <c r="A19" s="57" t="n"/>
      <c r="B19" s="57" t="n"/>
      <c r="C19" s="57" t="n"/>
      <c r="D19" s="57" t="n"/>
      <c r="E19" s="57" t="n"/>
      <c r="F19" s="57" t="n"/>
      <c r="G19" s="57" t="n"/>
      <c r="H19" s="57" t="n"/>
      <c r="I19" s="57" t="n"/>
      <c r="J19" s="57" t="n"/>
      <c r="K19" s="57" t="n"/>
      <c r="L19" s="57" t="n"/>
      <c r="M19" s="57" t="n"/>
      <c r="N19" s="57" t="n"/>
      <c r="O19" s="57" t="n"/>
      <c r="P19" s="57" t="n"/>
      <c r="Q19" s="57" t="n"/>
      <c r="R19" s="57" t="n"/>
      <c r="S19" s="57" t="n"/>
      <c r="T19" s="57" t="n"/>
      <c r="U19" s="57" t="n"/>
      <c r="V19" s="57" t="n"/>
      <c r="W19" s="57" t="n"/>
      <c r="X19" s="57" t="n"/>
      <c r="Y19" s="57" t="n"/>
      <c r="Z19" s="57" t="n"/>
    </row>
    <row r="20">
      <c r="A20" s="57" t="n"/>
      <c r="B20" s="57" t="n"/>
      <c r="C20" s="57" t="n"/>
      <c r="D20" s="57" t="n"/>
      <c r="E20" s="57" t="n"/>
      <c r="F20" s="57" t="n"/>
      <c r="G20" s="57" t="n"/>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15.75" customHeight="1" s="94">
      <c r="A21" s="57" t="n"/>
      <c r="B21" s="57" t="n"/>
      <c r="C21" s="57" t="n"/>
      <c r="D21" s="57" t="n"/>
      <c r="E21" s="57" t="n"/>
      <c r="F21" s="57" t="n"/>
      <c r="G21" s="57" t="n"/>
      <c r="H21" s="57" t="n"/>
      <c r="I21" s="57" t="n"/>
      <c r="J21" s="57" t="n"/>
      <c r="K21" s="57" t="n"/>
      <c r="L21" s="57" t="n"/>
      <c r="M21" s="57" t="n"/>
      <c r="N21" s="57" t="n"/>
      <c r="O21" s="57" t="n"/>
      <c r="P21" s="57" t="n"/>
      <c r="Q21" s="57" t="n"/>
      <c r="R21" s="57" t="n"/>
      <c r="S21" s="57" t="n"/>
      <c r="T21" s="57" t="n"/>
      <c r="U21" s="57" t="n"/>
      <c r="V21" s="57" t="n"/>
      <c r="W21" s="57" t="n"/>
      <c r="X21" s="57" t="n"/>
      <c r="Y21" s="57" t="n"/>
      <c r="Z21" s="57" t="n"/>
    </row>
    <row r="22" ht="15.75" customHeight="1" s="94">
      <c r="A22" s="57" t="n"/>
      <c r="B22" s="57" t="n"/>
      <c r="C22" s="57" t="n"/>
      <c r="D22" s="57" t="n"/>
      <c r="E22" s="57" t="n"/>
      <c r="F22" s="57" t="n"/>
      <c r="G22" s="57" t="n"/>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15.75" customHeight="1" s="94">
      <c r="A23" s="57" t="n"/>
      <c r="B23" s="57" t="n"/>
      <c r="C23" s="57" t="n"/>
      <c r="D23" s="57" t="n"/>
      <c r="E23" s="57" t="n"/>
      <c r="F23" s="57" t="n"/>
      <c r="G23" s="57" t="n"/>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15.75" customHeight="1" s="94">
      <c r="A24" s="57" t="n"/>
      <c r="B24" s="57" t="n"/>
      <c r="C24" s="57" t="n"/>
      <c r="D24" s="57" t="n"/>
      <c r="E24" s="57" t="n"/>
      <c r="F24" s="57" t="n"/>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15.75" customHeight="1" s="94">
      <c r="A25" s="57" t="n"/>
      <c r="B25" s="57" t="n"/>
      <c r="C25" s="57" t="n"/>
      <c r="D25" s="57" t="n"/>
      <c r="E25" s="57" t="n"/>
      <c r="F25" s="57" t="n"/>
      <c r="G25" s="57" t="n"/>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15.75" customHeight="1" s="94">
      <c r="A26" s="57" t="n"/>
      <c r="B26" s="57" t="n"/>
      <c r="C26" s="57" t="n"/>
      <c r="D26" s="57" t="n"/>
      <c r="E26" s="57" t="n"/>
      <c r="F26" s="57" t="n"/>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15.75" customHeight="1" s="94">
      <c r="A27" s="57" t="n"/>
      <c r="B27" s="57" t="n"/>
      <c r="C27" s="57" t="n"/>
      <c r="D27" s="57" t="n"/>
      <c r="E27" s="57" t="n"/>
      <c r="F27" s="57" t="n"/>
      <c r="G27" s="57" t="n"/>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15.75" customHeight="1" s="94">
      <c r="A28" s="57" t="n"/>
      <c r="B28" s="57" t="n"/>
      <c r="C28" s="57" t="n"/>
      <c r="D28" s="57" t="n"/>
      <c r="E28" s="57" t="n"/>
      <c r="F28" s="57" t="n"/>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5.75" customHeight="1" s="94">
      <c r="A29" s="57" t="n"/>
      <c r="B29" s="57" t="n"/>
      <c r="C29" s="57" t="n"/>
      <c r="D29" s="57" t="n"/>
      <c r="E29" s="57" t="n"/>
      <c r="F29" s="57" t="n"/>
      <c r="G29" s="57" t="n"/>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s="94">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15.75" customHeight="1" s="94">
      <c r="A32" s="57" t="n"/>
      <c r="B32" s="57" t="n"/>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15.75" customHeight="1" s="94">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s="94">
      <c r="A34" s="57" t="n"/>
      <c r="B34" s="57" t="n"/>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s="94">
      <c r="A35" s="57" t="n"/>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s="94">
      <c r="A36" s="57" t="n"/>
      <c r="B36" s="57" t="n"/>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s="94">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s="94">
      <c r="A38" s="57" t="n"/>
      <c r="B38" s="57" t="n"/>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s="94">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s="94">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I$11"/>
  <mergeCells count="2">
    <mergeCell ref="A1:I1"/>
    <mergeCell ref="A2:I2"/>
  </mergeCells>
  <dataValidations count="1">
    <dataValidation sqref="I5:I11" showDropDown="0" showInputMessage="1" showErrorMessage="0" allowBlank="1" prompt="Chọn từ danh sách - Có thể chọn từ danh sách hoặc điền nội dung chi tiết ở cột bên cạnh." type="list">
      <formula1>"Chưa đối soát,Đã xác nhận,Không có vấn đề,Cần xử lý"</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2.xml><?xml version="1.0" encoding="utf-8"?>
<worksheet xmlns="http://schemas.openxmlformats.org/spreadsheetml/2006/main">
  <sheetPr>
    <tabColor rgb="FF8091A2"/>
    <outlinePr summaryBelow="1" summaryRight="1"/>
    <pageSetUpPr fitToPage="1"/>
  </sheetPr>
  <dimension ref="A1:Z1000"/>
  <sheetViews>
    <sheetView showGridLines="0" workbookViewId="0">
      <pane xSplit="3" ySplit="8" topLeftCell="D9" activePane="bottomRight" state="frozen"/>
      <selection pane="topRight" activeCell="D1" sqref="D1"/>
      <selection pane="bottomLeft" activeCell="A9" sqref="A9"/>
      <selection pane="bottomRight" activeCell="D9" sqref="D9"/>
    </sheetView>
  </sheetViews>
  <sheetFormatPr baseColWidth="8" defaultColWidth="14.43" defaultRowHeight="15" customHeight="1"/>
  <cols>
    <col width="14" customWidth="1" style="94" min="1" max="1"/>
    <col width="25" customWidth="1" style="94" min="2" max="3"/>
    <col width="23" customWidth="1" style="94" min="4" max="5"/>
    <col width="22" customWidth="1" style="94" min="6" max="6"/>
    <col width="23" customWidth="1" style="94" min="7" max="7"/>
    <col width="26" customWidth="1" style="94" min="8" max="8"/>
  </cols>
  <sheetData>
    <row r="1" ht="36" customHeight="1" s="94">
      <c r="A1" s="95" t="inlineStr">
        <is>
          <t>MÔ PHỎNG QUY TẮC TIỀN ĐIỆN — LÀM TRÒN 15 PHÚT</t>
        </is>
      </c>
      <c r="I1" s="57" t="n"/>
      <c r="J1" s="57" t="n"/>
      <c r="K1" s="57" t="n"/>
      <c r="L1" s="57" t="n"/>
      <c r="M1" s="57" t="n"/>
      <c r="N1" s="57" t="n"/>
      <c r="O1" s="57" t="n"/>
      <c r="P1" s="57" t="n"/>
      <c r="Q1" s="57" t="n"/>
      <c r="R1" s="57" t="n"/>
      <c r="S1" s="57" t="n"/>
      <c r="T1" s="57" t="n"/>
      <c r="U1" s="57" t="n"/>
      <c r="V1" s="57" t="n"/>
      <c r="W1" s="57" t="n"/>
      <c r="X1" s="57" t="n"/>
      <c r="Y1" s="57" t="n"/>
      <c r="Z1" s="57" t="n"/>
    </row>
    <row r="2" ht="33" customHeight="1" s="94">
      <c r="A2" s="96" t="inlineStr">
        <is>
          <t>Thay đổi đơn giá và bước làm tròn trong ô vàng để kiểm thử. Đây là bản mô phỏng; không phải bảng thu tiền thực tế.</t>
        </is>
      </c>
      <c r="I2" s="57" t="n"/>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c r="A4" s="59" t="inlineStr">
        <is>
          <t>Đơn giá (VND/giờ)</t>
        </is>
      </c>
      <c r="B4" s="60" t="n">
        <v>100000</v>
      </c>
      <c r="C4" s="57" t="n"/>
      <c r="D4" s="57" t="n"/>
      <c r="E4" s="57" t="n"/>
      <c r="F4" s="57" t="n"/>
      <c r="G4" s="57" t="n"/>
      <c r="H4" s="57" t="n"/>
      <c r="I4" s="57" t="n"/>
      <c r="J4" s="57" t="n"/>
      <c r="K4" s="57" t="n"/>
      <c r="L4" s="57" t="n"/>
      <c r="M4" s="57" t="n"/>
      <c r="N4" s="57" t="n"/>
      <c r="O4" s="57" t="n"/>
      <c r="P4" s="57" t="n"/>
      <c r="Q4" s="57" t="n"/>
      <c r="R4" s="57" t="n"/>
      <c r="S4" s="57" t="n"/>
      <c r="T4" s="57" t="n"/>
      <c r="U4" s="57" t="n"/>
      <c r="V4" s="57" t="n"/>
      <c r="W4" s="57" t="n"/>
      <c r="X4" s="57" t="n"/>
      <c r="Y4" s="57" t="n"/>
      <c r="Z4" s="57" t="n"/>
    </row>
    <row r="5">
      <c r="A5" s="59" t="inlineStr">
        <is>
          <t>Bước làm tròn (phút)</t>
        </is>
      </c>
      <c r="B5" s="61" t="n">
        <v>15</v>
      </c>
      <c r="C5" s="57" t="n"/>
      <c r="D5" s="57" t="n"/>
      <c r="E5" s="57" t="n"/>
      <c r="F5" s="57" t="n"/>
      <c r="G5" s="57" t="n"/>
      <c r="H5" s="57" t="n"/>
      <c r="I5" s="57" t="n"/>
      <c r="J5" s="57" t="n"/>
      <c r="K5" s="57" t="n"/>
      <c r="L5" s="57" t="n"/>
      <c r="M5" s="57" t="n"/>
      <c r="N5" s="57" t="n"/>
      <c r="O5" s="57" t="n"/>
      <c r="P5" s="57" t="n"/>
      <c r="Q5" s="57" t="n"/>
      <c r="R5" s="57" t="n"/>
      <c r="S5" s="57" t="n"/>
      <c r="T5" s="57" t="n"/>
      <c r="U5" s="57" t="n"/>
      <c r="V5" s="57" t="n"/>
      <c r="W5" s="57" t="n"/>
      <c r="X5" s="57" t="n"/>
      <c r="Y5" s="57" t="n"/>
      <c r="Z5" s="57" t="n"/>
    </row>
    <row r="6">
      <c r="A6" s="57" t="n"/>
      <c r="B6" s="57" t="n"/>
      <c r="C6" s="57" t="n"/>
      <c r="D6" s="57" t="n"/>
      <c r="E6" s="57" t="n"/>
      <c r="F6" s="57" t="n"/>
      <c r="G6" s="57" t="n"/>
      <c r="H6" s="57" t="n"/>
      <c r="I6" s="57" t="n"/>
      <c r="J6" s="57" t="n"/>
      <c r="K6" s="57" t="n"/>
      <c r="L6" s="57" t="n"/>
      <c r="M6" s="57" t="n"/>
      <c r="N6" s="57" t="n"/>
      <c r="O6" s="57" t="n"/>
      <c r="P6" s="57" t="n"/>
      <c r="Q6" s="57" t="n"/>
      <c r="R6" s="57" t="n"/>
      <c r="S6" s="57" t="n"/>
      <c r="T6" s="57" t="n"/>
      <c r="U6" s="57" t="n"/>
      <c r="V6" s="57" t="n"/>
      <c r="W6" s="57" t="n"/>
      <c r="X6" s="57" t="n"/>
      <c r="Y6" s="57" t="n"/>
      <c r="Z6" s="57" t="n"/>
    </row>
    <row r="7">
      <c r="A7" s="57" t="n"/>
      <c r="B7" s="57" t="n"/>
      <c r="C7" s="57" t="n"/>
      <c r="D7" s="57" t="n"/>
      <c r="E7" s="57" t="n"/>
      <c r="F7" s="57" t="n"/>
      <c r="G7" s="57" t="n"/>
      <c r="H7" s="57" t="n"/>
      <c r="I7" s="57" t="n"/>
      <c r="J7" s="57" t="n"/>
      <c r="K7" s="57" t="n"/>
      <c r="L7" s="57" t="n"/>
      <c r="M7" s="57" t="n"/>
      <c r="N7" s="57" t="n"/>
      <c r="O7" s="57" t="n"/>
      <c r="P7" s="57" t="n"/>
      <c r="Q7" s="57" t="n"/>
      <c r="R7" s="57" t="n"/>
      <c r="S7" s="57" t="n"/>
      <c r="T7" s="57" t="n"/>
      <c r="U7" s="57" t="n"/>
      <c r="V7" s="57" t="n"/>
      <c r="W7" s="57" t="n"/>
      <c r="X7" s="57" t="n"/>
      <c r="Y7" s="57" t="n"/>
      <c r="Z7" s="57" t="n"/>
    </row>
    <row r="8" ht="33" customHeight="1" s="94">
      <c r="A8" s="6" t="inlineStr">
        <is>
          <t>STT</t>
        </is>
      </c>
      <c r="B8" s="6" t="inlineStr">
        <is>
          <t>Giờ cắm thực tế (điền)</t>
        </is>
      </c>
      <c r="C8" s="6" t="inlineStr">
        <is>
          <t>Giờ rút thực tế (điền)</t>
        </is>
      </c>
      <c r="D8" s="6" t="inlineStr">
        <is>
          <t>Số phút thực tế</t>
        </is>
      </c>
      <c r="E8" s="6" t="inlineStr">
        <is>
          <t>Số phút tính tiền</t>
        </is>
      </c>
      <c r="F8" s="6" t="inlineStr">
        <is>
          <t>Giờ tính tiền</t>
        </is>
      </c>
      <c r="G8" s="6" t="inlineStr">
        <is>
          <t>Đơn giá (VNĐ/giờ)</t>
        </is>
      </c>
      <c r="H8" s="6" t="inlineStr">
        <is>
          <t>Thành tiền (VND)</t>
        </is>
      </c>
      <c r="I8" s="57" t="n"/>
      <c r="J8" s="57" t="n"/>
      <c r="K8" s="57" t="n"/>
      <c r="L8" s="57" t="n"/>
      <c r="M8" s="57" t="n"/>
      <c r="N8" s="57" t="n"/>
      <c r="O8" s="57" t="n"/>
      <c r="P8" s="57" t="n"/>
      <c r="Q8" s="57" t="n"/>
      <c r="R8" s="57" t="n"/>
      <c r="S8" s="57" t="n"/>
      <c r="T8" s="57" t="n"/>
      <c r="U8" s="57" t="n"/>
      <c r="V8" s="57" t="n"/>
      <c r="W8" s="57" t="n"/>
      <c r="X8" s="57" t="n"/>
      <c r="Y8" s="57" t="n"/>
      <c r="Z8" s="57" t="n"/>
    </row>
    <row r="9" ht="33" customHeight="1" s="94">
      <c r="A9" s="10" t="n">
        <v>1</v>
      </c>
      <c r="B9" s="62" t="n">
        <v>46306.35416666666</v>
      </c>
      <c r="C9" s="62" t="n">
        <v>46306.55763888889</v>
      </c>
      <c r="D9" s="10">
        <f>IF(OR(B9="",C9="",C9&lt;=B9),"",ROUND((C9-B9)*1440,0))</f>
        <v/>
      </c>
      <c r="E9" s="10">
        <f>IF(D9="","",ROUNDUP(D9/$B$5,0)*$B$5)</f>
        <v/>
      </c>
      <c r="F9" s="63">
        <f>IF(E9="","",E9/60)</f>
        <v/>
      </c>
      <c r="G9" s="64">
        <f>IF($B$4="","",$B$4)</f>
        <v/>
      </c>
      <c r="H9" s="64">
        <f>IF(OR(F9="",G9=""),"",ROUND(F9*G9,0))</f>
        <v/>
      </c>
      <c r="I9" s="57" t="n"/>
      <c r="J9" s="57" t="n"/>
      <c r="K9" s="57" t="n"/>
      <c r="L9" s="57" t="n"/>
      <c r="M9" s="57" t="n"/>
      <c r="N9" s="57" t="n"/>
      <c r="O9" s="57" t="n"/>
      <c r="P9" s="57" t="n"/>
      <c r="Q9" s="57" t="n"/>
      <c r="R9" s="57" t="n"/>
      <c r="S9" s="57" t="n"/>
      <c r="T9" s="57" t="n"/>
      <c r="U9" s="57" t="n"/>
      <c r="V9" s="57" t="n"/>
      <c r="W9" s="57" t="n"/>
      <c r="X9" s="57" t="n"/>
      <c r="Y9" s="57" t="n"/>
      <c r="Z9" s="57" t="n"/>
    </row>
    <row r="10" ht="33" customHeight="1" s="94">
      <c r="A10" s="16" t="n">
        <v>2</v>
      </c>
      <c r="B10" s="62" t="n">
        <v>46306.35416666666</v>
      </c>
      <c r="C10" s="62" t="n">
        <v>46306.36458333334</v>
      </c>
      <c r="D10" s="16">
        <f>IF(OR(B10="",C10="",C10&lt;=B10),"",ROUND((C10-B10)*1440,0))</f>
        <v/>
      </c>
      <c r="E10" s="16">
        <f>IF(D10="","",ROUNDUP(D10/$B$5,0)*$B$5)</f>
        <v/>
      </c>
      <c r="F10" s="65">
        <f>IF(E10="","",E10/60)</f>
        <v/>
      </c>
      <c r="G10" s="66">
        <f>IF($B$4="","",$B$4)</f>
        <v/>
      </c>
      <c r="H10" s="66">
        <f>IF(OR(F10="",G10=""),"",ROUND(F10*G10,0))</f>
        <v/>
      </c>
      <c r="I10" s="57" t="n"/>
      <c r="J10" s="57" t="n"/>
      <c r="K10" s="57" t="n"/>
      <c r="L10" s="57" t="n"/>
      <c r="M10" s="57" t="n"/>
      <c r="N10" s="57" t="n"/>
      <c r="O10" s="57" t="n"/>
      <c r="P10" s="57" t="n"/>
      <c r="Q10" s="57" t="n"/>
      <c r="R10" s="57" t="n"/>
      <c r="S10" s="57" t="n"/>
      <c r="T10" s="57" t="n"/>
      <c r="U10" s="57" t="n"/>
      <c r="V10" s="57" t="n"/>
      <c r="W10" s="57" t="n"/>
      <c r="X10" s="57" t="n"/>
      <c r="Y10" s="57" t="n"/>
      <c r="Z10" s="57" t="n"/>
    </row>
    <row r="11" ht="33" customHeight="1" s="94">
      <c r="A11" s="10" t="n">
        <v>3</v>
      </c>
      <c r="B11" s="62" t="n">
        <v>46306.35416666666</v>
      </c>
      <c r="C11" s="62" t="n">
        <v>46306.36527777778</v>
      </c>
      <c r="D11" s="10">
        <f>IF(OR(B11="",C11="",C11&lt;=B11),"",ROUND((C11-B11)*1440,0))</f>
        <v/>
      </c>
      <c r="E11" s="10">
        <f>IF(D11="","",ROUNDUP(D11/$B$5,0)*$B$5)</f>
        <v/>
      </c>
      <c r="F11" s="63">
        <f>IF(E11="","",E11/60)</f>
        <v/>
      </c>
      <c r="G11" s="64">
        <f>IF($B$4="","",$B$4)</f>
        <v/>
      </c>
      <c r="H11" s="64">
        <f>IF(OR(F11="",G11=""),"",ROUND(F11*G11,0))</f>
        <v/>
      </c>
      <c r="I11" s="57" t="n"/>
      <c r="J11" s="57" t="n"/>
      <c r="K11" s="57" t="n"/>
      <c r="L11" s="57" t="n"/>
      <c r="M11" s="57" t="n"/>
      <c r="N11" s="57" t="n"/>
      <c r="O11" s="57" t="n"/>
      <c r="P11" s="57" t="n"/>
      <c r="Q11" s="57" t="n"/>
      <c r="R11" s="57" t="n"/>
      <c r="S11" s="57" t="n"/>
      <c r="T11" s="57" t="n"/>
      <c r="U11" s="57" t="n"/>
      <c r="V11" s="57" t="n"/>
      <c r="W11" s="57" t="n"/>
      <c r="X11" s="57" t="n"/>
      <c r="Y11" s="57" t="n"/>
      <c r="Z11" s="57" t="n"/>
    </row>
    <row r="12" ht="33" customHeight="1" s="94">
      <c r="A12" s="16" t="n">
        <v>4</v>
      </c>
      <c r="B12" s="62" t="n">
        <v>46306.35416666666</v>
      </c>
      <c r="C12" s="62" t="n">
        <v>46306.39583333334</v>
      </c>
      <c r="D12" s="16">
        <f>IF(OR(B12="",C12="",C12&lt;=B12),"",ROUND((C12-B12)*1440,0))</f>
        <v/>
      </c>
      <c r="E12" s="16">
        <f>IF(D12="","",ROUNDUP(D12/$B$5,0)*$B$5)</f>
        <v/>
      </c>
      <c r="F12" s="65">
        <f>IF(E12="","",E12/60)</f>
        <v/>
      </c>
      <c r="G12" s="66">
        <f>IF($B$4="","",$B$4)</f>
        <v/>
      </c>
      <c r="H12" s="66">
        <f>IF(OR(F12="",G12=""),"",ROUND(F12*G12,0))</f>
        <v/>
      </c>
      <c r="I12" s="57" t="n"/>
      <c r="J12" s="57" t="n"/>
      <c r="K12" s="57" t="n"/>
      <c r="L12" s="57" t="n"/>
      <c r="M12" s="57" t="n"/>
      <c r="N12" s="57" t="n"/>
      <c r="O12" s="57" t="n"/>
      <c r="P12" s="57" t="n"/>
      <c r="Q12" s="57" t="n"/>
      <c r="R12" s="57" t="n"/>
      <c r="S12" s="57" t="n"/>
      <c r="T12" s="57" t="n"/>
      <c r="U12" s="57" t="n"/>
      <c r="V12" s="57" t="n"/>
      <c r="W12" s="57" t="n"/>
      <c r="X12" s="57" t="n"/>
      <c r="Y12" s="57" t="n"/>
      <c r="Z12" s="57" t="n"/>
    </row>
    <row r="13" ht="33" customHeight="1" s="94">
      <c r="A13" s="10" t="n">
        <v>5</v>
      </c>
      <c r="B13" s="62" t="n">
        <v>46306.35416666666</v>
      </c>
      <c r="C13" s="62" t="n">
        <v>46306.39652777778</v>
      </c>
      <c r="D13" s="10">
        <f>IF(OR(B13="",C13="",C13&lt;=B13),"",ROUND((C13-B13)*1440,0))</f>
        <v/>
      </c>
      <c r="E13" s="10">
        <f>IF(D13="","",ROUNDUP(D13/$B$5,0)*$B$5)</f>
        <v/>
      </c>
      <c r="F13" s="63">
        <f>IF(E13="","",E13/60)</f>
        <v/>
      </c>
      <c r="G13" s="64">
        <f>IF($B$4="","",$B$4)</f>
        <v/>
      </c>
      <c r="H13" s="64">
        <f>IF(OR(F13="",G13=""),"",ROUND(F13*G13,0))</f>
        <v/>
      </c>
      <c r="I13" s="57" t="n"/>
      <c r="J13" s="57" t="n"/>
      <c r="K13" s="57" t="n"/>
      <c r="L13" s="57" t="n"/>
      <c r="M13" s="57" t="n"/>
      <c r="N13" s="57" t="n"/>
      <c r="O13" s="57" t="n"/>
      <c r="P13" s="57" t="n"/>
      <c r="Q13" s="57" t="n"/>
      <c r="R13" s="57" t="n"/>
      <c r="S13" s="57" t="n"/>
      <c r="T13" s="57" t="n"/>
      <c r="U13" s="57" t="n"/>
      <c r="V13" s="57" t="n"/>
      <c r="W13" s="57" t="n"/>
      <c r="X13" s="57" t="n"/>
      <c r="Y13" s="57" t="n"/>
      <c r="Z13" s="57" t="n"/>
    </row>
    <row r="14" ht="33" customHeight="1" s="94">
      <c r="A14" s="16" t="n">
        <v>6</v>
      </c>
      <c r="B14" s="62" t="n">
        <v>46306.35416666666</v>
      </c>
      <c r="C14" s="62" t="n">
        <v>46306.54166666666</v>
      </c>
      <c r="D14" s="16">
        <f>IF(OR(B14="",C14="",C14&lt;=B14),"",ROUND((C14-B14)*1440,0))</f>
        <v/>
      </c>
      <c r="E14" s="16">
        <f>IF(D14="","",ROUNDUP(D14/$B$5,0)*$B$5)</f>
        <v/>
      </c>
      <c r="F14" s="65">
        <f>IF(E14="","",E14/60)</f>
        <v/>
      </c>
      <c r="G14" s="66">
        <f>IF($B$4="","",$B$4)</f>
        <v/>
      </c>
      <c r="H14" s="66">
        <f>IF(OR(F14="",G14=""),"",ROUND(F14*G14,0))</f>
        <v/>
      </c>
      <c r="I14" s="57" t="n"/>
      <c r="J14" s="57" t="n"/>
      <c r="K14" s="57" t="n"/>
      <c r="L14" s="57" t="n"/>
      <c r="M14" s="57" t="n"/>
      <c r="N14" s="57" t="n"/>
      <c r="O14" s="57" t="n"/>
      <c r="P14" s="57" t="n"/>
      <c r="Q14" s="57" t="n"/>
      <c r="R14" s="57" t="n"/>
      <c r="S14" s="57" t="n"/>
      <c r="T14" s="57" t="n"/>
      <c r="U14" s="57" t="n"/>
      <c r="V14" s="57" t="n"/>
      <c r="W14" s="57" t="n"/>
      <c r="X14" s="57" t="n"/>
      <c r="Y14" s="57" t="n"/>
      <c r="Z14" s="57" t="n"/>
    </row>
    <row r="15" ht="33" customHeight="1" s="94">
      <c r="A15" s="10" t="n">
        <v>7</v>
      </c>
      <c r="B15" s="62" t="n">
        <v>46306.94444444445</v>
      </c>
      <c r="C15" s="62" t="n">
        <v>46307.15347222222</v>
      </c>
      <c r="D15" s="10">
        <f>IF(OR(B15="",C15="",C15&lt;=B15),"",ROUND((C15-B15)*1440,0))</f>
        <v/>
      </c>
      <c r="E15" s="10">
        <f>IF(D15="","",ROUNDUP(D15/$B$5,0)*$B$5)</f>
        <v/>
      </c>
      <c r="F15" s="63">
        <f>IF(E15="","",E15/60)</f>
        <v/>
      </c>
      <c r="G15" s="64">
        <f>IF($B$4="","",$B$4)</f>
        <v/>
      </c>
      <c r="H15" s="64">
        <f>IF(OR(F15="",G15=""),"",ROUND(F15*G15,0))</f>
        <v/>
      </c>
      <c r="I15" s="57" t="n"/>
      <c r="J15" s="57" t="n"/>
      <c r="K15" s="57" t="n"/>
      <c r="L15" s="57" t="n"/>
      <c r="M15" s="57" t="n"/>
      <c r="N15" s="57" t="n"/>
      <c r="O15" s="57" t="n"/>
      <c r="P15" s="57" t="n"/>
      <c r="Q15" s="57" t="n"/>
      <c r="R15" s="57" t="n"/>
      <c r="S15" s="57" t="n"/>
      <c r="T15" s="57" t="n"/>
      <c r="U15" s="57" t="n"/>
      <c r="V15" s="57" t="n"/>
      <c r="W15" s="57" t="n"/>
      <c r="X15" s="57" t="n"/>
      <c r="Y15" s="57" t="n"/>
      <c r="Z15" s="57" t="n"/>
    </row>
    <row r="16" ht="33" customHeight="1" s="94">
      <c r="A16" s="16" t="n">
        <v>8</v>
      </c>
      <c r="B16" s="62" t="n">
        <v>46306.35416666666</v>
      </c>
      <c r="C16" s="62" t="n">
        <v>46306.52152777778</v>
      </c>
      <c r="D16" s="16">
        <f>IF(OR(B16="",C16="",C16&lt;=B16),"",ROUND((C16-B16)*1440,0))</f>
        <v/>
      </c>
      <c r="E16" s="16">
        <f>IF(D16="","",ROUNDUP(D16/$B$5,0)*$B$5)</f>
        <v/>
      </c>
      <c r="F16" s="65">
        <f>IF(E16="","",E16/60)</f>
        <v/>
      </c>
      <c r="G16" s="66">
        <f>IF($B$4="","",$B$4)</f>
        <v/>
      </c>
      <c r="H16" s="66">
        <f>IF(OR(F16="",G16=""),"",ROUND(F16*G16,0))</f>
        <v/>
      </c>
      <c r="I16" s="57" t="n"/>
      <c r="J16" s="57" t="n"/>
      <c r="K16" s="57" t="n"/>
      <c r="L16" s="57" t="n"/>
      <c r="M16" s="57" t="n"/>
      <c r="N16" s="57" t="n"/>
      <c r="O16" s="57" t="n"/>
      <c r="P16" s="57" t="n"/>
      <c r="Q16" s="57" t="n"/>
      <c r="R16" s="57" t="n"/>
      <c r="S16" s="57" t="n"/>
      <c r="T16" s="57" t="n"/>
      <c r="U16" s="57" t="n"/>
      <c r="V16" s="57" t="n"/>
      <c r="W16" s="57" t="n"/>
      <c r="X16" s="57" t="n"/>
      <c r="Y16" s="57" t="n"/>
      <c r="Z16" s="57" t="n"/>
    </row>
    <row r="17">
      <c r="A17" s="57" t="n"/>
      <c r="B17" s="57" t="n"/>
      <c r="C17" s="57" t="n"/>
      <c r="D17" s="57" t="n"/>
      <c r="E17" s="57" t="n"/>
      <c r="F17" s="57" t="n"/>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c r="A18" s="57" t="n"/>
      <c r="B18" s="57" t="n"/>
      <c r="C18" s="57" t="n"/>
      <c r="D18" s="57" t="n"/>
      <c r="E18" s="57" t="n"/>
      <c r="F18" s="57" t="n"/>
      <c r="G18" s="57" t="n"/>
      <c r="H18" s="57" t="n"/>
      <c r="I18" s="57" t="n"/>
      <c r="J18" s="57" t="n"/>
      <c r="K18" s="57" t="n"/>
      <c r="L18" s="57" t="n"/>
      <c r="M18" s="57" t="n"/>
      <c r="N18" s="57" t="n"/>
      <c r="O18" s="57" t="n"/>
      <c r="P18" s="57" t="n"/>
      <c r="Q18" s="57" t="n"/>
      <c r="R18" s="57" t="n"/>
      <c r="S18" s="57" t="n"/>
      <c r="T18" s="57" t="n"/>
      <c r="U18" s="57" t="n"/>
      <c r="V18" s="57" t="n"/>
      <c r="W18" s="57" t="n"/>
      <c r="X18" s="57" t="n"/>
      <c r="Y18" s="57" t="n"/>
      <c r="Z18" s="57" t="n"/>
    </row>
    <row r="19">
      <c r="A19" s="67" t="inlineStr">
        <is>
          <t>Nguyên tắc:</t>
        </is>
      </c>
      <c r="B19" s="68" t="inlineStr">
        <is>
          <t>CCKB nhập giờ thực tế; hệ thống tính thời lượng và làm tròn LÊN theo từng 15 phút, tính theo đơn giá phiên cắm.</t>
        </is>
      </c>
      <c r="I19" s="57" t="n"/>
      <c r="J19" s="57" t="n"/>
      <c r="K19" s="57" t="n"/>
      <c r="L19" s="57" t="n"/>
      <c r="M19" s="57" t="n"/>
      <c r="N19" s="57" t="n"/>
      <c r="O19" s="57" t="n"/>
      <c r="P19" s="57" t="n"/>
      <c r="Q19" s="57" t="n"/>
      <c r="R19" s="57" t="n"/>
      <c r="S19" s="57" t="n"/>
      <c r="T19" s="57" t="n"/>
      <c r="U19" s="57" t="n"/>
      <c r="V19" s="57" t="n"/>
      <c r="W19" s="57" t="n"/>
      <c r="X19" s="57" t="n"/>
      <c r="Y19" s="57" t="n"/>
      <c r="Z19" s="57" t="n"/>
    </row>
    <row r="20">
      <c r="A20" s="57" t="n"/>
      <c r="B20" s="57" t="n"/>
      <c r="C20" s="57" t="n"/>
      <c r="D20" s="57" t="n"/>
      <c r="E20" s="57" t="n"/>
      <c r="F20" s="57" t="n"/>
      <c r="G20" s="57" t="n"/>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15.75" customHeight="1" s="94">
      <c r="A21" s="120" t="inlineStr">
        <is>
          <t>CHÚ Ý: các câu hỏi về giây, thời lượng tối thiểu, sửa sau khi thu và thay đổi giá trong khi cắm vẫn nằm trong tab 01_CAU_HOI.</t>
        </is>
      </c>
      <c r="I21" s="57" t="n"/>
      <c r="J21" s="57" t="n"/>
      <c r="K21" s="57" t="n"/>
      <c r="L21" s="57" t="n"/>
      <c r="M21" s="57" t="n"/>
      <c r="N21" s="57" t="n"/>
      <c r="O21" s="57" t="n"/>
      <c r="P21" s="57" t="n"/>
      <c r="Q21" s="57" t="n"/>
      <c r="R21" s="57" t="n"/>
      <c r="S21" s="57" t="n"/>
      <c r="T21" s="57" t="n"/>
      <c r="U21" s="57" t="n"/>
      <c r="V21" s="57" t="n"/>
      <c r="W21" s="57" t="n"/>
      <c r="X21" s="57" t="n"/>
      <c r="Y21" s="57" t="n"/>
      <c r="Z21" s="57" t="n"/>
    </row>
    <row r="22" ht="15.75" customHeight="1" s="94">
      <c r="A22" s="57" t="n"/>
      <c r="B22" s="57" t="n"/>
      <c r="C22" s="57" t="n"/>
      <c r="D22" s="57" t="n"/>
      <c r="E22" s="57" t="n"/>
      <c r="F22" s="57" t="n"/>
      <c r="G22" s="57" t="n"/>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15.75" customHeight="1" s="94">
      <c r="A23" s="57" t="n"/>
      <c r="B23" s="57" t="n"/>
      <c r="C23" s="57" t="n"/>
      <c r="D23" s="57" t="n"/>
      <c r="E23" s="57" t="n"/>
      <c r="F23" s="57" t="n"/>
      <c r="G23" s="57" t="n"/>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15.75" customHeight="1" s="94">
      <c r="A24" s="57" t="n"/>
      <c r="B24" s="57" t="n"/>
      <c r="C24" s="57" t="n"/>
      <c r="D24" s="57" t="n"/>
      <c r="E24" s="57" t="n"/>
      <c r="F24" s="57" t="n"/>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15.75" customHeight="1" s="94">
      <c r="A25" s="57" t="n"/>
      <c r="B25" s="57" t="n"/>
      <c r="C25" s="57" t="n"/>
      <c r="D25" s="57" t="n"/>
      <c r="E25" s="57" t="n"/>
      <c r="F25" s="57" t="n"/>
      <c r="G25" s="57" t="n"/>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15.75" customHeight="1" s="94">
      <c r="A26" s="57" t="n"/>
      <c r="B26" s="57" t="n"/>
      <c r="C26" s="57" t="n"/>
      <c r="D26" s="57" t="n"/>
      <c r="E26" s="57" t="n"/>
      <c r="F26" s="57" t="n"/>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15.75" customHeight="1" s="94">
      <c r="A27" s="57" t="n"/>
      <c r="B27" s="57" t="n"/>
      <c r="C27" s="57" t="n"/>
      <c r="D27" s="57" t="n"/>
      <c r="E27" s="57" t="n"/>
      <c r="F27" s="57" t="n"/>
      <c r="G27" s="57" t="n"/>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15.75" customHeight="1" s="94">
      <c r="A28" s="57" t="n"/>
      <c r="B28" s="57" t="n"/>
      <c r="C28" s="57" t="n"/>
      <c r="D28" s="57" t="n"/>
      <c r="E28" s="57" t="n"/>
      <c r="F28" s="57" t="n"/>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5.75" customHeight="1" s="94">
      <c r="A29" s="57" t="n"/>
      <c r="B29" s="57" t="n"/>
      <c r="C29" s="57" t="n"/>
      <c r="D29" s="57" t="n"/>
      <c r="E29" s="57" t="n"/>
      <c r="F29" s="57" t="n"/>
      <c r="G29" s="57" t="n"/>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s="94">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15.75" customHeight="1" s="94">
      <c r="A32" s="57" t="n"/>
      <c r="B32" s="57" t="n"/>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15.75" customHeight="1" s="94">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s="94">
      <c r="A34" s="57" t="n"/>
      <c r="B34" s="57" t="n"/>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s="94">
      <c r="A35" s="57" t="n"/>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s="94">
      <c r="A36" s="57" t="n"/>
      <c r="B36" s="57" t="n"/>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s="94">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s="94">
      <c r="A38" s="57" t="n"/>
      <c r="B38" s="57" t="n"/>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s="94">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s="94">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s="9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mergeCells count="4">
    <mergeCell ref="B19:H19"/>
    <mergeCell ref="A2:H2"/>
    <mergeCell ref="A21:H21"/>
    <mergeCell ref="A1:H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3.xml><?xml version="1.0" encoding="utf-8"?>
<worksheet xmlns="http://schemas.openxmlformats.org/spreadsheetml/2006/main">
  <sheetPr>
    <tabColor rgb="FF0A9444"/>
    <outlinePr summaryBelow="1" summaryRight="1"/>
    <pageSetUpPr fitToPage="1"/>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3" defaultRowHeight="15" customHeight="1"/>
  <cols>
    <col width="14" customWidth="1" style="94" min="1" max="1"/>
    <col width="28" customWidth="1" style="94" min="2" max="2"/>
    <col width="37" customWidth="1" style="94" min="3" max="3"/>
    <col width="66" customWidth="1" style="94" min="4" max="4"/>
    <col width="67" customWidth="1" style="94" min="5" max="5"/>
    <col width="30" customWidth="1" style="94" min="6" max="6"/>
  </cols>
  <sheetData>
    <row r="1" ht="42" customHeight="1" s="94">
      <c r="A1" s="121" t="inlineStr">
        <is>
          <t>YÊU CẦU ĐIỆN TRƯỚC KHI CONTAINER VÀO &amp; SỬA SỐ CONTAINER</t>
        </is>
      </c>
      <c r="G1" s="57" t="n"/>
      <c r="H1" s="57" t="n"/>
      <c r="I1" s="57" t="n"/>
      <c r="J1" s="57" t="n"/>
      <c r="K1" s="57" t="n"/>
      <c r="L1" s="57" t="n"/>
      <c r="M1" s="57" t="n"/>
      <c r="N1" s="57" t="n"/>
      <c r="O1" s="57" t="n"/>
      <c r="P1" s="57" t="n"/>
      <c r="Q1" s="57" t="n"/>
      <c r="R1" s="57" t="n"/>
      <c r="S1" s="57" t="n"/>
      <c r="T1" s="57" t="n"/>
      <c r="U1" s="57" t="n"/>
      <c r="V1" s="57" t="n"/>
      <c r="W1" s="57" t="n"/>
      <c r="X1" s="57" t="n"/>
      <c r="Y1" s="57" t="n"/>
      <c r="Z1" s="57" t="n"/>
    </row>
    <row r="2" ht="36" customHeight="1" s="94">
      <c r="A2" s="71" t="inlineStr">
        <is>
          <t>Phân tách thông tin khách hàng thông báo trước, container đã vào thật và thao tác sửa sai — chỉ các mục ghi ĐÃ CHỐT mới là yêu cầu xác nhận.</t>
        </is>
      </c>
      <c r="G2" s="57" t="n"/>
      <c r="H2" s="57" t="n"/>
      <c r="I2" s="57" t="n"/>
      <c r="J2" s="57" t="n"/>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27" customHeight="1" s="94">
      <c r="A4" s="122" t="inlineStr">
        <is>
          <t>I. QUYẾT ĐỊNH MỚI VÀ PHẠM VI</t>
        </is>
      </c>
      <c r="G4" s="57" t="n"/>
      <c r="H4" s="57" t="n"/>
      <c r="I4" s="57" t="n"/>
      <c r="J4" s="57" t="n"/>
      <c r="K4" s="57" t="n"/>
      <c r="L4" s="57" t="n"/>
      <c r="M4" s="57" t="n"/>
      <c r="N4" s="57" t="n"/>
      <c r="O4" s="57" t="n"/>
      <c r="P4" s="57" t="n"/>
      <c r="Q4" s="57" t="n"/>
      <c r="R4" s="57" t="n"/>
      <c r="S4" s="57" t="n"/>
      <c r="T4" s="57" t="n"/>
      <c r="U4" s="57" t="n"/>
      <c r="V4" s="57" t="n"/>
      <c r="W4" s="57" t="n"/>
      <c r="X4" s="57" t="n"/>
      <c r="Y4" s="57" t="n"/>
      <c r="Z4" s="57" t="n"/>
    </row>
    <row r="5" ht="33.75" customHeight="1" s="94">
      <c r="A5" s="45" t="inlineStr">
        <is>
          <t>Mã</t>
        </is>
      </c>
      <c r="B5" s="45" t="inlineStr">
        <is>
          <t>Nội dung</t>
        </is>
      </c>
      <c r="C5" s="45" t="inlineStr">
        <is>
          <t>Trạng thái</t>
        </is>
      </c>
      <c r="D5" s="45" t="inlineStr">
        <is>
          <t>Quy tắc nghiệp vụ</t>
        </is>
      </c>
      <c r="E5" s="45" t="inlineStr">
        <is>
          <t>Giải pháp triển khai đề xuất</t>
        </is>
      </c>
      <c r="F5" s="45" t="inlineStr">
        <is>
          <t>Cần xác nhận thêm</t>
        </is>
      </c>
      <c r="G5" s="57" t="n"/>
      <c r="H5" s="57" t="n"/>
      <c r="I5" s="57" t="n"/>
      <c r="J5" s="57" t="n"/>
      <c r="K5" s="57" t="n"/>
      <c r="L5" s="57" t="n"/>
      <c r="M5" s="57" t="n"/>
      <c r="N5" s="57" t="n"/>
      <c r="O5" s="57" t="n"/>
      <c r="P5" s="57" t="n"/>
      <c r="Q5" s="57" t="n"/>
      <c r="R5" s="57" t="n"/>
      <c r="S5" s="57" t="n"/>
      <c r="T5" s="57" t="n"/>
      <c r="U5" s="57" t="n"/>
      <c r="V5" s="57" t="n"/>
      <c r="W5" s="57" t="n"/>
      <c r="X5" s="57" t="n"/>
      <c r="Y5" s="57" t="n"/>
      <c r="Z5" s="57" t="n"/>
    </row>
    <row r="6" ht="64.5" customHeight="1" s="94">
      <c r="A6" s="73" t="inlineStr">
        <is>
          <t>CN-01</t>
        </is>
      </c>
      <c r="B6" s="73" t="inlineStr">
        <is>
          <t>Có yêu cầu điện dự kiến trước khi container vào</t>
        </is>
      </c>
      <c r="C6" s="74" t="inlineStr">
        <is>
          <t>Đã chốt</t>
        </is>
      </c>
      <c r="D6" s="73" t="inlineStr">
        <is>
          <t>CCKB nhận từ khách trước danh sách cont A/B/C, được ghi yêu cầu ngay.</t>
        </is>
      </c>
      <c r="E6" s="73" t="inlineStr">
        <is>
          <t>Lưu bản ghi dự kiến, không tự tạo lượt container vào, không ghi giờ vào và không tính phí.</t>
        </is>
      </c>
      <c r="F6" s="73" t="inlineStr">
        <is>
          <t>Cách nhóm A/B/C vào phiếu</t>
        </is>
      </c>
      <c r="G6" s="57" t="n"/>
      <c r="H6" s="57" t="n"/>
      <c r="I6" s="57" t="n"/>
      <c r="J6" s="57" t="n"/>
      <c r="K6" s="57" t="n"/>
      <c r="L6" s="57" t="n"/>
      <c r="M6" s="57" t="n"/>
      <c r="N6" s="57" t="n"/>
      <c r="O6" s="57" t="n"/>
      <c r="P6" s="57" t="n"/>
      <c r="Q6" s="57" t="n"/>
      <c r="R6" s="57" t="n"/>
      <c r="S6" s="57" t="n"/>
      <c r="T6" s="57" t="n"/>
      <c r="U6" s="57" t="n"/>
      <c r="V6" s="57" t="n"/>
      <c r="W6" s="57" t="n"/>
      <c r="X6" s="57" t="n"/>
      <c r="Y6" s="57" t="n"/>
      <c r="Z6" s="57" t="n"/>
    </row>
    <row r="7" ht="64.5" customHeight="1" s="94">
      <c r="A7" s="75" t="inlineStr">
        <is>
          <t>CN-02</t>
        </is>
      </c>
      <c r="B7" s="75" t="inlineStr">
        <is>
          <t>An ninh nhìn thấy dự kiến lúc tiếp nhận</t>
        </is>
      </c>
      <c r="C7" s="74" t="inlineStr">
        <is>
          <t>Đã chốt</t>
        </is>
      </c>
      <c r="D7" s="75" t="inlineStr">
        <is>
          <t>Khi nhập số cont tại cổng, An ninh phải chú ý thông tin yêu cầu điện dự kiến.</t>
        </is>
      </c>
      <c r="E7" s="75" t="inlineStr">
        <is>
          <t>Hiển thị thẻ Chờ cắm điện / Đã đặt trước; gợi ý ghép và đối chiếu số thật.</t>
        </is>
      </c>
      <c r="F7" s="75" t="inlineStr">
        <is>
          <t>Quy tắc ghép số đầy đủ/7 số cuối</t>
        </is>
      </c>
      <c r="G7" s="57" t="n"/>
      <c r="H7" s="57" t="n"/>
      <c r="I7" s="57" t="n"/>
      <c r="J7" s="57" t="n"/>
      <c r="K7" s="57" t="n"/>
      <c r="L7" s="57" t="n"/>
      <c r="M7" s="57" t="n"/>
      <c r="N7" s="57" t="n"/>
      <c r="O7" s="57" t="n"/>
      <c r="P7" s="57" t="n"/>
      <c r="Q7" s="57" t="n"/>
      <c r="R7" s="57" t="n"/>
      <c r="S7" s="57" t="n"/>
      <c r="T7" s="57" t="n"/>
      <c r="U7" s="57" t="n"/>
      <c r="V7" s="57" t="n"/>
      <c r="W7" s="57" t="n"/>
      <c r="X7" s="57" t="n"/>
      <c r="Y7" s="57" t="n"/>
      <c r="Z7" s="57" t="n"/>
    </row>
    <row r="8" ht="64.5" customHeight="1" s="94">
      <c r="A8" s="73" t="inlineStr">
        <is>
          <t>CN-03</t>
        </is>
      </c>
      <c r="B8" s="73" t="inlineStr">
        <is>
          <t>An ninh sửa số cont sai và báo lại CCKB</t>
        </is>
      </c>
      <c r="C8" s="74" t="inlineStr">
        <is>
          <t>Đã chốt</t>
        </is>
      </c>
      <c r="D8" s="73" t="inlineStr">
        <is>
          <t>Sai có thể xuất phát từ khách, CCKB hoặc hiện trường. Ảnh/video giúp phát hiện sai.</t>
        </is>
      </c>
      <c r="E8" s="73" t="inlineStr">
        <is>
          <t>Thao tác Sửa số container, ghi cũ/mới/lý do/người sửa; tạo cảnh báo CCKB.</t>
        </is>
      </c>
      <c r="F8" s="73" t="inlineStr">
        <is>
          <t>Quy trình sau khi thu/đã ra, bằng chứng bắt buộc?</t>
        </is>
      </c>
      <c r="G8" s="57" t="n"/>
      <c r="H8" s="57" t="n"/>
      <c r="I8" s="57" t="n"/>
      <c r="J8" s="57" t="n"/>
      <c r="K8" s="57" t="n"/>
      <c r="L8" s="57" t="n"/>
      <c r="M8" s="57" t="n"/>
      <c r="N8" s="57" t="n"/>
      <c r="O8" s="57" t="n"/>
      <c r="P8" s="57" t="n"/>
      <c r="Q8" s="57" t="n"/>
      <c r="R8" s="57" t="n"/>
      <c r="S8" s="57" t="n"/>
      <c r="T8" s="57" t="n"/>
      <c r="U8" s="57" t="n"/>
      <c r="V8" s="57" t="n"/>
      <c r="W8" s="57" t="n"/>
      <c r="X8" s="57" t="n"/>
      <c r="Y8" s="57" t="n"/>
      <c r="Z8" s="57" t="n"/>
    </row>
    <row r="9" ht="64.5" customHeight="1" s="94">
      <c r="A9" s="75" t="inlineStr">
        <is>
          <t>CN-04</t>
        </is>
      </c>
      <c r="B9" s="75" t="inlineStr">
        <is>
          <t>Tách dự kiến khỏi thực tế</t>
        </is>
      </c>
      <c r="C9" s="76" t="inlineStr">
        <is>
          <t>Đề xuất chờ chốt</t>
        </is>
      </c>
      <c r="D9" s="75" t="inlineStr">
        <is>
          <t>Tạo yêu cầu điện trước không được làm tăng số cont thật đang nằm bãi.</t>
        </is>
      </c>
      <c r="E9" s="75" t="inlineStr">
        <is>
          <t>Mỗi dòng dự kiến chỉ liên kết tới ID lượt container khi xe/cont được ghi nhận vào cổng.</t>
        </is>
      </c>
      <c r="F9" s="75" t="inlineStr">
        <is>
          <t>Cách xác nhận liên kết và hết hạn dự kiến</t>
        </is>
      </c>
      <c r="G9" s="57" t="n"/>
      <c r="H9" s="57" t="n"/>
      <c r="I9" s="57" t="n"/>
      <c r="J9" s="57" t="n"/>
      <c r="K9" s="57" t="n"/>
      <c r="L9" s="57" t="n"/>
      <c r="M9" s="57" t="n"/>
      <c r="N9" s="57" t="n"/>
      <c r="O9" s="57" t="n"/>
      <c r="P9" s="57" t="n"/>
      <c r="Q9" s="57" t="n"/>
      <c r="R9" s="57" t="n"/>
      <c r="S9" s="57" t="n"/>
      <c r="T9" s="57" t="n"/>
      <c r="U9" s="57" t="n"/>
      <c r="V9" s="57" t="n"/>
      <c r="W9" s="57" t="n"/>
      <c r="X9" s="57" t="n"/>
      <c r="Y9" s="57" t="n"/>
      <c r="Z9" s="57" t="n"/>
    </row>
    <row r="10">
      <c r="A10" s="57" t="n"/>
      <c r="B10" s="57" t="n"/>
      <c r="C10" s="57" t="n"/>
      <c r="D10" s="57" t="n"/>
      <c r="E10" s="57" t="n"/>
      <c r="F10" s="57" t="n"/>
      <c r="G10" s="57" t="n"/>
      <c r="H10" s="57" t="n"/>
      <c r="I10" s="57" t="n"/>
      <c r="J10" s="57" t="n"/>
      <c r="K10" s="57" t="n"/>
      <c r="L10" s="57" t="n"/>
      <c r="M10" s="57" t="n"/>
      <c r="N10" s="57" t="n"/>
      <c r="O10" s="57" t="n"/>
      <c r="P10" s="57" t="n"/>
      <c r="Q10" s="57" t="n"/>
      <c r="R10" s="57" t="n"/>
      <c r="S10" s="57" t="n"/>
      <c r="T10" s="57" t="n"/>
      <c r="U10" s="57" t="n"/>
      <c r="V10" s="57" t="n"/>
      <c r="W10" s="57" t="n"/>
      <c r="X10" s="57" t="n"/>
      <c r="Y10" s="57" t="n"/>
      <c r="Z10" s="57" t="n"/>
    </row>
    <row r="11">
      <c r="A11" s="57" t="n"/>
      <c r="B11" s="57" t="n"/>
      <c r="C11" s="57" t="n"/>
      <c r="D11" s="57" t="n"/>
      <c r="E11" s="57" t="n"/>
      <c r="F11" s="57" t="n"/>
      <c r="G11" s="57" t="n"/>
      <c r="H11" s="57" t="n"/>
      <c r="I11" s="57" t="n"/>
      <c r="J11" s="57" t="n"/>
      <c r="K11" s="57" t="n"/>
      <c r="L11" s="57" t="n"/>
      <c r="M11" s="57" t="n"/>
      <c r="N11" s="57" t="n"/>
      <c r="O11" s="57" t="n"/>
      <c r="P11" s="57" t="n"/>
      <c r="Q11" s="57" t="n"/>
      <c r="R11" s="57" t="n"/>
      <c r="S11" s="57" t="n"/>
      <c r="T11" s="57" t="n"/>
      <c r="U11" s="57" t="n"/>
      <c r="V11" s="57" t="n"/>
      <c r="W11" s="57" t="n"/>
      <c r="X11" s="57" t="n"/>
      <c r="Y11" s="57" t="n"/>
      <c r="Z11" s="57" t="n"/>
    </row>
    <row r="12" ht="27" customHeight="1" s="94">
      <c r="A12" s="122" t="inlineStr">
        <is>
          <t>II. LUỒNG NHẬN YÊU CẦU ĐIỆN TRƯỚC KHI XE VÀO</t>
        </is>
      </c>
      <c r="G12" s="57" t="n"/>
      <c r="H12" s="57" t="n"/>
      <c r="I12" s="57" t="n"/>
      <c r="J12" s="57" t="n"/>
      <c r="K12" s="57" t="n"/>
      <c r="L12" s="57" t="n"/>
      <c r="M12" s="57" t="n"/>
      <c r="N12" s="57" t="n"/>
      <c r="O12" s="57" t="n"/>
      <c r="P12" s="57" t="n"/>
      <c r="Q12" s="57" t="n"/>
      <c r="R12" s="57" t="n"/>
      <c r="S12" s="57" t="n"/>
      <c r="T12" s="57" t="n"/>
      <c r="U12" s="57" t="n"/>
      <c r="V12" s="57" t="n"/>
      <c r="W12" s="57" t="n"/>
      <c r="X12" s="57" t="n"/>
      <c r="Y12" s="57" t="n"/>
      <c r="Z12" s="57" t="n"/>
    </row>
    <row r="13" ht="33.75" customHeight="1" s="94">
      <c r="A13" s="45" t="inlineStr">
        <is>
          <t>Bước</t>
        </is>
      </c>
      <c r="B13" s="45" t="inlineStr">
        <is>
          <t>Bộ phận</t>
        </is>
      </c>
      <c r="C13" s="45" t="inlineStr">
        <is>
          <t>Trạng thái đề xuất</t>
        </is>
      </c>
      <c r="D13" s="45" t="inlineStr">
        <is>
          <t>Thao tác nghiệp vụ</t>
        </is>
      </c>
      <c r="E13" s="45" t="inlineStr">
        <is>
          <t>Dữ liệu hiển thị/được lưu</t>
        </is>
      </c>
      <c r="F13" s="45" t="inlineStr">
        <is>
          <t>Lưu ý</t>
        </is>
      </c>
      <c r="G13" s="57" t="n"/>
      <c r="H13" s="57" t="n"/>
      <c r="I13" s="57" t="n"/>
      <c r="J13" s="57" t="n"/>
      <c r="K13" s="57" t="n"/>
      <c r="L13" s="57" t="n"/>
      <c r="M13" s="57" t="n"/>
      <c r="N13" s="57" t="n"/>
      <c r="O13" s="57" t="n"/>
      <c r="P13" s="57" t="n"/>
      <c r="Q13" s="57" t="n"/>
      <c r="R13" s="57" t="n"/>
      <c r="S13" s="57" t="n"/>
      <c r="T13" s="57" t="n"/>
      <c r="U13" s="57" t="n"/>
      <c r="V13" s="57" t="n"/>
      <c r="W13" s="57" t="n"/>
      <c r="X13" s="57" t="n"/>
      <c r="Y13" s="57" t="n"/>
      <c r="Z13" s="57" t="n"/>
    </row>
    <row r="14" ht="64.5" customHeight="1" s="94">
      <c r="A14" s="73" t="inlineStr">
        <is>
          <t>1</t>
        </is>
      </c>
      <c r="B14" s="73" t="inlineStr">
        <is>
          <t>CCKB</t>
        </is>
      </c>
      <c r="C14" s="73" t="inlineStr">
        <is>
          <t>Dự kiến / Chờ container vào</t>
        </is>
      </c>
      <c r="D14" s="73" t="inlineStr">
        <is>
          <t>Nhận thông tin khách hàng cho A, B, C; tạo yêu cầu cắm điện dự kiến.</t>
        </is>
      </c>
      <c r="E14" s="73" t="inlineStr">
        <is>
          <t>Số cont dự kiến, khách hàng, hình thức, người ghi nhận, giờ tiếp nhận; giờ dự kiến nếu có.</t>
        </is>
      </c>
      <c r="F14" s="73" t="inlineStr">
        <is>
          <t>Không cần GIO_CONT_VAO</t>
        </is>
      </c>
      <c r="G14" s="57" t="n"/>
      <c r="H14" s="57" t="n"/>
      <c r="I14" s="57" t="n"/>
      <c r="J14" s="57" t="n"/>
      <c r="K14" s="57" t="n"/>
      <c r="L14" s="57" t="n"/>
      <c r="M14" s="57" t="n"/>
      <c r="N14" s="57" t="n"/>
      <c r="O14" s="57" t="n"/>
      <c r="P14" s="57" t="n"/>
      <c r="Q14" s="57" t="n"/>
      <c r="R14" s="57" t="n"/>
      <c r="S14" s="57" t="n"/>
      <c r="T14" s="57" t="n"/>
      <c r="U14" s="57" t="n"/>
      <c r="V14" s="57" t="n"/>
      <c r="W14" s="57" t="n"/>
      <c r="X14" s="57" t="n"/>
      <c r="Y14" s="57" t="n"/>
      <c r="Z14" s="57" t="n"/>
    </row>
    <row r="15" ht="64.5" customHeight="1" s="94">
      <c r="A15" s="75" t="inlineStr">
        <is>
          <t>2</t>
        </is>
      </c>
      <c r="B15" s="75" t="inlineStr">
        <is>
          <t>An ninh</t>
        </is>
      </c>
      <c r="C15" s="75" t="inlineStr">
        <is>
          <t>Kiểm tra yêu cầu dự kiến</t>
        </is>
      </c>
      <c r="D15" s="75" t="inlineStr">
        <is>
          <t>Nhập loại xe, biển số, số cont thực tế lúc xe đến; xem cảnh báo các yêu cầu chờ.</t>
        </is>
      </c>
      <c r="E15" s="75" t="inlineStr">
        <is>
          <t>Hiển thị đúng số cont và các mã gần giống; tránh nhầm lẫn khi nhập 11 ký tự.</t>
        </is>
      </c>
      <c r="F15" s="75" t="inlineStr">
        <is>
          <t>Khi mã khác nhau phải đối chiếu ảnh/video timestamp; không tự ghép hai mã gần giống.</t>
        </is>
      </c>
      <c r="G15" s="57" t="n"/>
      <c r="H15" s="57" t="n"/>
      <c r="I15" s="57" t="n"/>
      <c r="J15" s="57" t="n"/>
      <c r="K15" s="57" t="n"/>
      <c r="L15" s="57" t="n"/>
      <c r="M15" s="57" t="n"/>
      <c r="N15" s="57" t="n"/>
      <c r="O15" s="57" t="n"/>
      <c r="P15" s="57" t="n"/>
      <c r="Q15" s="57" t="n"/>
      <c r="R15" s="57" t="n"/>
      <c r="S15" s="57" t="n"/>
      <c r="T15" s="57" t="n"/>
      <c r="U15" s="57" t="n"/>
      <c r="V15" s="57" t="n"/>
      <c r="W15" s="57" t="n"/>
      <c r="X15" s="57" t="n"/>
      <c r="Y15" s="57" t="n"/>
      <c r="Z15" s="57" t="n"/>
    </row>
    <row r="16" ht="64.5" customHeight="1" s="94">
      <c r="A16" s="73" t="inlineStr">
        <is>
          <t>3</t>
        </is>
      </c>
      <c r="B16" s="73" t="inlineStr">
        <is>
          <t>An ninh + CCKB</t>
        </is>
      </c>
      <c r="C16" s="73" t="inlineStr">
        <is>
          <t>Đã vào / Chờ cắm</t>
        </is>
      </c>
      <c r="D16" s="73" t="inlineStr">
        <is>
          <t>Đối chiếu số cont thực tế, xác nhận ghép với dòng dự kiến A (nếu phù hợp).</t>
        </is>
      </c>
      <c r="E16" s="73" t="inlineStr">
        <is>
          <t>ID lượt cont thực tế được liên kết với dòng yêu cầu A; B/C vẫn chờ.</t>
        </is>
      </c>
      <c r="F16" s="73" t="inlineStr">
        <is>
          <t>Chỉ tạo giờ vào khi cont thực vào</t>
        </is>
      </c>
      <c r="G16" s="57" t="n"/>
      <c r="H16" s="57" t="n"/>
      <c r="I16" s="57" t="n"/>
      <c r="J16" s="57" t="n"/>
      <c r="K16" s="57" t="n"/>
      <c r="L16" s="57" t="n"/>
      <c r="M16" s="57" t="n"/>
      <c r="N16" s="57" t="n"/>
      <c r="O16" s="57" t="n"/>
      <c r="P16" s="57" t="n"/>
      <c r="Q16" s="57" t="n"/>
      <c r="R16" s="57" t="n"/>
      <c r="S16" s="57" t="n"/>
      <c r="T16" s="57" t="n"/>
      <c r="U16" s="57" t="n"/>
      <c r="V16" s="57" t="n"/>
      <c r="W16" s="57" t="n"/>
      <c r="X16" s="57" t="n"/>
      <c r="Y16" s="57" t="n"/>
      <c r="Z16" s="57" t="n"/>
    </row>
    <row r="17" ht="64.5" customHeight="1" s="94">
      <c r="A17" s="75" t="inlineStr">
        <is>
          <t>4</t>
        </is>
      </c>
      <c r="B17" s="75" t="inlineStr">
        <is>
          <t>An ninh</t>
        </is>
      </c>
      <c r="C17" s="75" t="inlineStr">
        <is>
          <t>Đã thực hiện cắm (ngoài hiện trường)</t>
        </is>
      </c>
      <c r="D17" s="75" t="inlineStr">
        <is>
          <t>Thực hiện cắm theo yêu cầu; báo giờ thực tế qua Zalo/nhóm.</t>
        </is>
      </c>
      <c r="E17" s="75" t="inlineStr">
        <is>
          <t>Ảnh/video nếu có; người thực hiện thực tế; giờ báo.</t>
        </is>
      </c>
      <c r="F17" s="75" t="inlineStr">
        <is>
          <t>Không ép An ninh tự nhập giờ cắm PWA</t>
        </is>
      </c>
      <c r="G17" s="57"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ht="64.5" customHeight="1" s="94">
      <c r="A18" s="73" t="inlineStr">
        <is>
          <t>5</t>
        </is>
      </c>
      <c r="B18" s="73" t="inlineStr">
        <is>
          <t>CCKB</t>
        </is>
      </c>
      <c r="C18" s="73" t="inlineStr">
        <is>
          <t>Đang cắm / Đã rút / Chờ thu</t>
        </is>
      </c>
      <c r="D18" s="73" t="inlineStr">
        <is>
          <t>Nhập giờ cắm/rút từ thông tin An ninh báo, sửa được khi xác minh sai.</t>
        </is>
      </c>
      <c r="E18" s="73" t="inlineStr">
        <is>
          <t>Phiên điện liên kết với ID lượt cont, tính phí tròn mỗi 15 phút.</t>
        </is>
      </c>
      <c r="F18" s="73" t="inlineStr">
        <is>
          <t>Thu sau rút hoặc khi cont xuất theo phương án C</t>
        </is>
      </c>
      <c r="G18" s="57" t="n"/>
      <c r="H18" s="57" t="n"/>
      <c r="I18" s="57" t="n"/>
      <c r="J18" s="57" t="n"/>
      <c r="K18" s="57" t="n"/>
      <c r="L18" s="57" t="n"/>
      <c r="M18" s="57" t="n"/>
      <c r="N18" s="57" t="n"/>
      <c r="O18" s="57" t="n"/>
      <c r="P18" s="57" t="n"/>
      <c r="Q18" s="57" t="n"/>
      <c r="R18" s="57" t="n"/>
      <c r="S18" s="57" t="n"/>
      <c r="T18" s="57" t="n"/>
      <c r="U18" s="57" t="n"/>
      <c r="V18" s="57" t="n"/>
      <c r="W18" s="57" t="n"/>
      <c r="X18" s="57" t="n"/>
      <c r="Y18" s="57" t="n"/>
      <c r="Z18" s="57" t="n"/>
    </row>
    <row r="19" ht="64.5" customHeight="1" s="94">
      <c r="A19" s="75" t="inlineStr">
        <is>
          <t>6</t>
        </is>
      </c>
      <c r="B19" s="75" t="inlineStr">
        <is>
          <t>CCKB + An ninh</t>
        </is>
      </c>
      <c r="C19" s="75" t="inlineStr">
        <is>
          <t>Đủ điều kiện thanh toán → Đã xuất</t>
        </is>
      </c>
      <c r="D19" s="75" t="inlineStr">
        <is>
          <t>CCKB chốt phí hợp lệ, An ninh xác nhận xe/container thực ra.</t>
        </is>
      </c>
      <c r="E19" s="75" t="inlineStr">
        <is>
          <t>Chốt GIO_CONT_RA, lịch sử phí điện/lưu và người thực hiện.</t>
        </is>
      </c>
      <c r="F19" s="75" t="inlineStr">
        <is>
          <t>Tách duyệt tài chính và xác nhận thực ra</t>
        </is>
      </c>
      <c r="G19" s="57" t="n"/>
      <c r="H19" s="57" t="n"/>
      <c r="I19" s="57" t="n"/>
      <c r="J19" s="57" t="n"/>
      <c r="K19" s="57" t="n"/>
      <c r="L19" s="57" t="n"/>
      <c r="M19" s="57" t="n"/>
      <c r="N19" s="57" t="n"/>
      <c r="O19" s="57" t="n"/>
      <c r="P19" s="57" t="n"/>
      <c r="Q19" s="57" t="n"/>
      <c r="R19" s="57" t="n"/>
      <c r="S19" s="57" t="n"/>
      <c r="T19" s="57" t="n"/>
      <c r="U19" s="57" t="n"/>
      <c r="V19" s="57" t="n"/>
      <c r="W19" s="57" t="n"/>
      <c r="X19" s="57" t="n"/>
      <c r="Y19" s="57" t="n"/>
      <c r="Z19" s="57" t="n"/>
    </row>
    <row r="20">
      <c r="A20" s="57" t="n"/>
      <c r="B20" s="57" t="n"/>
      <c r="C20" s="57" t="n"/>
      <c r="D20" s="57" t="n"/>
      <c r="E20" s="57" t="n"/>
      <c r="F20" s="57" t="n"/>
      <c r="G20" s="57" t="n"/>
      <c r="H20" s="57" t="n"/>
      <c r="I20" s="57" t="n"/>
      <c r="J20" s="57" t="n"/>
      <c r="K20" s="57" t="n"/>
      <c r="L20" s="57" t="n"/>
      <c r="M20" s="57" t="n"/>
      <c r="N20" s="57" t="n"/>
      <c r="O20" s="57" t="n"/>
      <c r="P20" s="57" t="n"/>
      <c r="Q20" s="57" t="n"/>
      <c r="R20" s="57" t="n"/>
      <c r="S20" s="57" t="n"/>
      <c r="T20" s="57" t="n"/>
      <c r="U20" s="57" t="n"/>
      <c r="V20" s="57" t="n"/>
      <c r="W20" s="57" t="n"/>
      <c r="X20" s="57" t="n"/>
      <c r="Y20" s="57" t="n"/>
      <c r="Z20" s="57" t="n"/>
    </row>
    <row r="21" ht="15.75" customHeight="1" s="94">
      <c r="A21" s="57" t="n"/>
      <c r="B21" s="57" t="n"/>
      <c r="C21" s="57" t="n"/>
      <c r="D21" s="57" t="n"/>
      <c r="E21" s="57" t="n"/>
      <c r="F21" s="57" t="n"/>
      <c r="G21" s="57" t="n"/>
      <c r="H21" s="57" t="n"/>
      <c r="I21" s="57" t="n"/>
      <c r="J21" s="57" t="n"/>
      <c r="K21" s="57" t="n"/>
      <c r="L21" s="57" t="n"/>
      <c r="M21" s="57" t="n"/>
      <c r="N21" s="57" t="n"/>
      <c r="O21" s="57" t="n"/>
      <c r="P21" s="57" t="n"/>
      <c r="Q21" s="57" t="n"/>
      <c r="R21" s="57" t="n"/>
      <c r="S21" s="57" t="n"/>
      <c r="T21" s="57" t="n"/>
      <c r="U21" s="57" t="n"/>
      <c r="V21" s="57" t="n"/>
      <c r="W21" s="57" t="n"/>
      <c r="X21" s="57" t="n"/>
      <c r="Y21" s="57" t="n"/>
      <c r="Z21" s="57" t="n"/>
    </row>
    <row r="22" ht="27" customHeight="1" s="94">
      <c r="A22" s="122" t="inlineStr">
        <is>
          <t>III. LUỒNG SỬA SAI SỐ CONTAINER KHI CÓ ẢNH/VIDEO HOẶC KHÁCH BÁO NHẦM</t>
        </is>
      </c>
      <c r="G22" s="57" t="n"/>
      <c r="H22" s="57" t="n"/>
      <c r="I22" s="57" t="n"/>
      <c r="J22" s="57" t="n"/>
      <c r="K22" s="57" t="n"/>
      <c r="L22" s="57" t="n"/>
      <c r="M22" s="57" t="n"/>
      <c r="N22" s="57" t="n"/>
      <c r="O22" s="57" t="n"/>
      <c r="P22" s="57" t="n"/>
      <c r="Q22" s="57" t="n"/>
      <c r="R22" s="57" t="n"/>
      <c r="S22" s="57" t="n"/>
      <c r="T22" s="57" t="n"/>
      <c r="U22" s="57" t="n"/>
      <c r="V22" s="57" t="n"/>
      <c r="W22" s="57" t="n"/>
      <c r="X22" s="57" t="n"/>
      <c r="Y22" s="57" t="n"/>
      <c r="Z22" s="57" t="n"/>
    </row>
    <row r="23" ht="33.75" customHeight="1" s="94">
      <c r="A23" s="45" t="inlineStr">
        <is>
          <t>Bước</t>
        </is>
      </c>
      <c r="B23" s="45" t="inlineStr">
        <is>
          <t>Người phát hiện</t>
        </is>
      </c>
      <c r="C23" s="45" t="inlineStr">
        <is>
          <t>Trạng thái đề xuất</t>
        </is>
      </c>
      <c r="D23" s="45" t="inlineStr">
        <is>
          <t>Thao tác sửa/xác minh</t>
        </is>
      </c>
      <c r="E23" s="45" t="inlineStr">
        <is>
          <t>Dữ liệu bắt buộc đề xuất</t>
        </is>
      </c>
      <c r="F23" s="45" t="inlineStr">
        <is>
          <t>Điểm kiểm soát</t>
        </is>
      </c>
      <c r="G23" s="57" t="n"/>
      <c r="H23" s="57" t="n"/>
      <c r="I23" s="57" t="n"/>
      <c r="J23" s="57" t="n"/>
      <c r="K23" s="57" t="n"/>
      <c r="L23" s="57" t="n"/>
      <c r="M23" s="57" t="n"/>
      <c r="N23" s="57" t="n"/>
      <c r="O23" s="57" t="n"/>
      <c r="P23" s="57" t="n"/>
      <c r="Q23" s="57" t="n"/>
      <c r="R23" s="57" t="n"/>
      <c r="S23" s="57" t="n"/>
      <c r="T23" s="57" t="n"/>
      <c r="U23" s="57" t="n"/>
      <c r="V23" s="57" t="n"/>
      <c r="W23" s="57" t="n"/>
      <c r="X23" s="57" t="n"/>
      <c r="Y23" s="57" t="n"/>
      <c r="Z23" s="57" t="n"/>
    </row>
    <row r="24" ht="64.5" customHeight="1" s="94">
      <c r="A24" s="73" t="inlineStr">
        <is>
          <t>1</t>
        </is>
      </c>
      <c r="B24" s="73" t="inlineStr">
        <is>
          <t>An ninh / CCKB</t>
        </is>
      </c>
      <c r="C24" s="73" t="inlineStr">
        <is>
          <t>Phát hiện sai</t>
        </is>
      </c>
      <c r="D24" s="73" t="inlineStr">
        <is>
          <t>Đối chiếu mã 11 ký tự trên container hoặc chứng cứ hiện trường với dữ liệu dự kiến/đang lưu.</t>
        </is>
      </c>
      <c r="E24" s="73" t="inlineStr">
        <is>
          <t>Số cũ, số quan sát, nguồn đối chiếu; ảnh/video nếu có.</t>
        </is>
      </c>
      <c r="F24" s="73" t="inlineStr">
        <is>
          <t>Không âm thầm đổi liên kết sang container khác</t>
        </is>
      </c>
      <c r="G24" s="57" t="n"/>
      <c r="H24" s="57" t="n"/>
      <c r="I24" s="57" t="n"/>
      <c r="J24" s="57" t="n"/>
      <c r="K24" s="57" t="n"/>
      <c r="L24" s="57" t="n"/>
      <c r="M24" s="57" t="n"/>
      <c r="N24" s="57" t="n"/>
      <c r="O24" s="57" t="n"/>
      <c r="P24" s="57" t="n"/>
      <c r="Q24" s="57" t="n"/>
      <c r="R24" s="57" t="n"/>
      <c r="S24" s="57" t="n"/>
      <c r="T24" s="57" t="n"/>
      <c r="U24" s="57" t="n"/>
      <c r="V24" s="57" t="n"/>
      <c r="W24" s="57" t="n"/>
      <c r="X24" s="57" t="n"/>
      <c r="Y24" s="57" t="n"/>
      <c r="Z24" s="57" t="n"/>
    </row>
    <row r="25" ht="64.5" customHeight="1" s="94">
      <c r="A25" s="75" t="inlineStr">
        <is>
          <t>2</t>
        </is>
      </c>
      <c r="B25" s="75" t="inlineStr">
        <is>
          <t>An ninh</t>
        </is>
      </c>
      <c r="C25" s="75" t="inlineStr">
        <is>
          <t>Báo sửa số cont</t>
        </is>
      </c>
      <c r="D25" s="75" t="inlineStr">
        <is>
          <t>Chọn lượt cont đang có; nhập số đúng + lý do; lưu và báo CCKB.</t>
        </is>
      </c>
      <c r="E25" s="75" t="inlineStr">
        <is>
          <t>Người sửa, thời gian, số trước/sau, nguồn báo.</t>
        </is>
      </c>
      <c r="F25" s="75" t="inlineStr">
        <is>
          <t>V1 D06: TBP sửa trực tiếp; người dùng yêu cầu An ninh sửa và báo CCKB, nhưng quyền sửa sau thu còn mở.</t>
        </is>
      </c>
      <c r="G25" s="57" t="n"/>
      <c r="H25" s="57" t="n"/>
      <c r="I25" s="57" t="n"/>
      <c r="J25" s="57" t="n"/>
      <c r="K25" s="57" t="n"/>
      <c r="L25" s="57" t="n"/>
      <c r="M25" s="57" t="n"/>
      <c r="N25" s="57" t="n"/>
      <c r="O25" s="57" t="n"/>
      <c r="P25" s="57" t="n"/>
      <c r="Q25" s="57" t="n"/>
      <c r="R25" s="57" t="n"/>
      <c r="S25" s="57" t="n"/>
      <c r="T25" s="57" t="n"/>
      <c r="U25" s="57" t="n"/>
      <c r="V25" s="57" t="n"/>
      <c r="W25" s="57" t="n"/>
      <c r="X25" s="57" t="n"/>
      <c r="Y25" s="57" t="n"/>
      <c r="Z25" s="57" t="n"/>
    </row>
    <row r="26" ht="64.5" customHeight="1" s="94">
      <c r="A26" s="73" t="inlineStr">
        <is>
          <t>3</t>
        </is>
      </c>
      <c r="B26" s="73" t="inlineStr">
        <is>
          <t>PWA</t>
        </is>
      </c>
      <c r="C26" s="73" t="inlineStr">
        <is>
          <t>Chờ CCKB kiểm tra</t>
        </is>
      </c>
      <c r="D26" s="73" t="inlineStr">
        <is>
          <t>Sinh thông báo trong PWA về số cont đã sửa cho CCKB; gắn với yêu cầu điện/phiên điện.</t>
        </is>
      </c>
      <c r="E26" s="73" t="inlineStr">
        <is>
          <t>Mã cảnh báo, số cũ/mới, ID lượt cont, ảnh/video, người sửa.</t>
        </is>
      </c>
      <c r="F26" s="73" t="inlineStr">
        <is>
          <t>Zalo tự động là tính năng phải chốt riêng</t>
        </is>
      </c>
      <c r="G26" s="57" t="n"/>
      <c r="H26" s="57" t="n"/>
      <c r="I26" s="57" t="n"/>
      <c r="J26" s="57" t="n"/>
      <c r="K26" s="57" t="n"/>
      <c r="L26" s="57" t="n"/>
      <c r="M26" s="57" t="n"/>
      <c r="N26" s="57" t="n"/>
      <c r="O26" s="57" t="n"/>
      <c r="P26" s="57" t="n"/>
      <c r="Q26" s="57" t="n"/>
      <c r="R26" s="57" t="n"/>
      <c r="S26" s="57" t="n"/>
      <c r="T26" s="57" t="n"/>
      <c r="U26" s="57" t="n"/>
      <c r="V26" s="57" t="n"/>
      <c r="W26" s="57" t="n"/>
      <c r="X26" s="57" t="n"/>
      <c r="Y26" s="57" t="n"/>
      <c r="Z26" s="57" t="n"/>
    </row>
    <row r="27" ht="64.5" customHeight="1" s="94">
      <c r="A27" s="75" t="inlineStr">
        <is>
          <t>4</t>
        </is>
      </c>
      <c r="B27" s="75" t="inlineStr">
        <is>
          <t>CCKB</t>
        </is>
      </c>
      <c r="C27" s="75" t="inlineStr">
        <is>
          <t>Đã xác minh / Cần bổ sung</t>
        </is>
      </c>
      <c r="D27" s="75" t="inlineStr">
        <is>
          <t>Đối chiếu yêu cầu khách, cập nhật số cont dự kiến và liên kết đúng phiên điện.</t>
        </is>
      </c>
      <c r="E27" s="75" t="inlineStr">
        <is>
          <t>Người xác minh, ghi chú, lịch sử thay đổi.</t>
        </is>
      </c>
      <c r="F27" s="75" t="inlineStr">
        <is>
          <t>Không tạo lượt lưu/phiên cắm trùng</t>
        </is>
      </c>
      <c r="G27" s="57" t="n"/>
      <c r="H27" s="57" t="n"/>
      <c r="I27" s="57" t="n"/>
      <c r="J27" s="57" t="n"/>
      <c r="K27" s="57" t="n"/>
      <c r="L27" s="57" t="n"/>
      <c r="M27" s="57" t="n"/>
      <c r="N27" s="57" t="n"/>
      <c r="O27" s="57" t="n"/>
      <c r="P27" s="57" t="n"/>
      <c r="Q27" s="57" t="n"/>
      <c r="R27" s="57" t="n"/>
      <c r="S27" s="57" t="n"/>
      <c r="T27" s="57" t="n"/>
      <c r="U27" s="57" t="n"/>
      <c r="V27" s="57" t="n"/>
      <c r="W27" s="57" t="n"/>
      <c r="X27" s="57" t="n"/>
      <c r="Y27" s="57" t="n"/>
      <c r="Z27" s="57" t="n"/>
    </row>
    <row r="28" ht="64.5" customHeight="1" s="94">
      <c r="A28" s="73" t="inlineStr">
        <is>
          <t>5</t>
        </is>
      </c>
      <c r="B28" s="73" t="inlineStr">
        <is>
          <t>TBP có thẩm quyền</t>
        </is>
      </c>
      <c r="C28" s="73" t="inlineStr">
        <is>
          <t>Ngoại lệ sau thu / đã xuất</t>
        </is>
      </c>
      <c r="D28" s="73" t="inlineStr">
        <is>
          <t>Nếu tiền đã thu hoặc đã phê duyệt ra, tạo xử lý chênh lệch/đối soát.</t>
        </is>
      </c>
      <c r="E28" s="73" t="inlineStr">
        <is>
          <t>Giữ giao dịch cũ; ghi bút toán điều chỉnh nếu có.</t>
        </is>
      </c>
      <c r="F28" s="73" t="inlineStr">
        <is>
          <t>T08 cho duyệt xuất ngoại lệ khi chưa thu; nếu sai cont phải báo CCKB đối chiếu, không tự đổi khoản đã thu.</t>
        </is>
      </c>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ht="15.75" customHeight="1" s="94">
      <c r="A29" s="57" t="n"/>
      <c r="B29" s="57" t="n"/>
      <c r="C29" s="57" t="n"/>
      <c r="D29" s="57" t="n"/>
      <c r="E29" s="57" t="n"/>
      <c r="F29" s="57" t="n"/>
      <c r="G29" s="57" t="n"/>
      <c r="H29" s="57" t="n"/>
      <c r="I29" s="57" t="n"/>
      <c r="J29" s="57" t="n"/>
      <c r="K29" s="57" t="n"/>
      <c r="L29" s="57" t="n"/>
      <c r="M29" s="57" t="n"/>
      <c r="N29" s="57" t="n"/>
      <c r="O29" s="57" t="n"/>
      <c r="P29" s="57" t="n"/>
      <c r="Q29" s="57" t="n"/>
      <c r="R29" s="57" t="n"/>
      <c r="S29" s="57" t="n"/>
      <c r="T29" s="57" t="n"/>
      <c r="U29" s="57" t="n"/>
      <c r="V29" s="57" t="n"/>
      <c r="W29" s="57" t="n"/>
      <c r="X29" s="57" t="n"/>
      <c r="Y29" s="57" t="n"/>
      <c r="Z29" s="57" t="n"/>
    </row>
    <row r="30" ht="15.75" customHeight="1" s="94">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27" customHeight="1" s="94">
      <c r="A31" s="122" t="inlineStr">
        <is>
          <t>IV. MÔ HÌNH DỮ LIỆU GỢI Ý — KHÔNG TẠO CONTAINER GIẢ</t>
        </is>
      </c>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33.75" customHeight="1" s="94">
      <c r="A32" s="45" t="inlineStr">
        <is>
          <t>Bảng / đối tượng</t>
        </is>
      </c>
      <c r="B32" s="45" t="inlineStr">
        <is>
          <t>Vai trò</t>
        </is>
      </c>
      <c r="C32" s="45" t="inlineStr">
        <is>
          <t>Trạng thái</t>
        </is>
      </c>
      <c r="D32" s="45" t="inlineStr">
        <is>
          <t>Liên kết</t>
        </is>
      </c>
      <c r="E32" s="45" t="inlineStr">
        <is>
          <t>Các trường trọng yếu</t>
        </is>
      </c>
      <c r="F32" s="45" t="inlineStr">
        <is>
          <t>Lưu ý</t>
        </is>
      </c>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64.5" customHeight="1" s="94">
      <c r="A33" s="73" t="inlineStr">
        <is>
          <t>CAM_DIEN_REQUESTS</t>
        </is>
      </c>
      <c r="B33" s="73" t="inlineStr">
        <is>
          <t>Phiếu khách yêu cầu điện</t>
        </is>
      </c>
      <c r="C33" s="73" t="inlineStr">
        <is>
          <t>Dự kiến</t>
        </is>
      </c>
      <c r="D33" s="73" t="inlineStr">
        <is>
          <t>Yêu cầu chung của khách hàng</t>
        </is>
      </c>
      <c r="E33" s="73" t="inlineStr">
        <is>
          <t>ID, khách hàng, người tiếp nhận, giờ tiếp nhận, yêu cầu chung</t>
        </is>
      </c>
      <c r="F33" s="73" t="inlineStr">
        <is>
          <t>Có thể có nhiều container A/B/C</t>
        </is>
      </c>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64.5" customHeight="1" s="94">
      <c r="A34" s="75" t="inlineStr">
        <is>
          <t>CAM_DIEN_REQUEST_ITEMS</t>
        </is>
      </c>
      <c r="B34" s="75" t="inlineStr">
        <is>
          <t>Các dòng container dự kiến</t>
        </is>
      </c>
      <c r="C34" s="75" t="inlineStr">
        <is>
          <t>Chờ vào / Đã vào / Hủy</t>
        </is>
      </c>
      <c r="D34" s="75" t="inlineStr">
        <is>
          <t>ID_REQUEST; ID_CONTAINER_VISIT có thể rỗng trước khi cont vào</t>
        </is>
      </c>
      <c r="E34" s="75" t="inlineStr">
        <is>
          <t>SO_CONTAINER_DU_KIEN, loại cắm, ghi chú, trạng thái khớp</t>
        </is>
      </c>
      <c r="F34" s="75" t="inlineStr">
        <is>
          <t>Một dòng dự kiến không phải một lượt cont vào thật</t>
        </is>
      </c>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64.5" customHeight="1" s="94">
      <c r="A35" s="73" t="inlineStr">
        <is>
          <t>CONTAINER / CONTAINER_VISITS</t>
        </is>
      </c>
      <c r="B35" s="73" t="inlineStr">
        <is>
          <t>Container và lượt vào thực tế</t>
        </is>
      </c>
      <c r="C35" s="73" t="inlineStr">
        <is>
          <t>Đang trong bãi / Đã xuất</t>
        </is>
      </c>
      <c r="D35" s="73" t="inlineStr">
        <is>
          <t>ID lượt xe vào/ra + ID lượt container</t>
        </is>
      </c>
      <c r="E35" s="73" t="inlineStr">
        <is>
          <t>SO_CONTAINER_THUC_TE, GIO_CONT_VAO, GIO_CONT_RA</t>
        </is>
      </c>
      <c r="F35" s="73" t="inlineStr">
        <is>
          <t>Dùng giờ thực tế để tính phí lưu</t>
        </is>
      </c>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64.5" customHeight="1" s="94">
      <c r="A36" s="75" t="inlineStr">
        <is>
          <t>CAM_DIEN_CONT</t>
        </is>
      </c>
      <c r="B36" s="75" t="inlineStr">
        <is>
          <t>Phiên cắm/rút thực tế</t>
        </is>
      </c>
      <c r="C36" s="75" t="inlineStr">
        <is>
          <t>Tiếp nhận / Đang cắm / Đã rút</t>
        </is>
      </c>
      <c r="D36" s="75" t="inlineStr">
        <is>
          <t>ID_CONTAINER_VISIT; có thể biết yêu cầu điện nguồn</t>
        </is>
      </c>
      <c r="E36" s="75" t="inlineStr">
        <is>
          <t>GIO_CAM_THUC_TE, GIO_RUT_THUC_TE, TONG_PHUT_TINH_TIEN</t>
        </is>
      </c>
      <c r="F36" s="75" t="inlineStr">
        <is>
          <t>CCKB nhập/sửa; làm tròn lên 15 phút</t>
        </is>
      </c>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64.5" customHeight="1" s="94">
      <c r="A37" s="73" t="inlineStr">
        <is>
          <t>CONTAINER_CORRECTIONS</t>
        </is>
      </c>
      <c r="B37" s="73" t="inlineStr">
        <is>
          <t>Đề nghị/sự kiện sửa số cont</t>
        </is>
      </c>
      <c r="C37" s="73" t="inlineStr">
        <is>
          <t>Báo sửa / Chờ xác minh / Đã xác minh</t>
        </is>
      </c>
      <c r="D37" s="73" t="inlineStr">
        <is>
          <t>ID_CONTAINER_VISIT, ID_REQUEST_ITEM</t>
        </is>
      </c>
      <c r="E37" s="73" t="inlineStr">
        <is>
          <t>SO_CU, SO_MOI, LY_DO, NGUOI_SUA, THOI_GIAN, BANG_CHUNG</t>
        </is>
      </c>
      <c r="F37" s="73" t="inlineStr">
        <is>
          <t>Giữ lịch sử &amp; phản hồi CCKB</t>
        </is>
      </c>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64.5" customHeight="1" s="94">
      <c r="A38" s="75" t="inlineStr">
        <is>
          <t>APP_NOTIFICATIONS</t>
        </is>
      </c>
      <c r="B38" s="75" t="inlineStr">
        <is>
          <t>Thông báo liên bộ phận</t>
        </is>
      </c>
      <c r="C38" s="75" t="inlineStr">
        <is>
          <t>Chưa xem / Đã xem / Đã xử lý</t>
        </is>
      </c>
      <c r="D38" s="75" t="inlineStr">
        <is>
          <t>Tham chiếu sự kiện cont/yêu cầu</t>
        </is>
      </c>
      <c r="E38" s="75" t="inlineStr">
        <is>
          <t>Nguồn thông báo, người nhận, loại cảnh báo, giờ đọc</t>
        </is>
      </c>
      <c r="F38" s="75" t="inlineStr">
        <is>
          <t>Không tự coi tin nhắn Zalo là đồng bộ PWA</t>
        </is>
      </c>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s="94">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s="94">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27" customHeight="1" s="94">
      <c r="A41" s="122" t="inlineStr">
        <is>
          <t>V. DANH SÁCH CÂU HỎI CẦN TRẢ LỜI Ở TAB 01_CAU_HOI</t>
        </is>
      </c>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46.5" customHeight="1" s="94">
      <c r="A42" s="123" t="inlineStr">
        <is>
          <t>PR01/PR02/SC01 đã xác nhận. PR03–PR07, SC02–SC08 vẫn mở. D06/V09/T08/T15 ở bản V1 đã trả lời và cần đối chiếu khi xử lý sửa số cont.</t>
        </is>
      </c>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s="94">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42.75" customHeight="1" s="94">
      <c r="A44" s="78" t="inlineStr">
        <is>
          <t>Nguyên tắc an toàn: sửa số container không làm thay đổi ID lượt; tiền đã thu không bị ghi đè âm thầm; thông báo CCKB cần có trạng thái đã xem/đã xử lý.</t>
        </is>
      </c>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s="94">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s="94">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s="94">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s="94">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s="94">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s="94">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s="94">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s="94">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s="94">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s="94">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s="94">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s="94">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s="94">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s="94">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s="94">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s="94">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mergeCells count="9">
    <mergeCell ref="A41:F41"/>
    <mergeCell ref="A2:F2"/>
    <mergeCell ref="A42:F42"/>
    <mergeCell ref="A44:F44"/>
    <mergeCell ref="A1:F1"/>
    <mergeCell ref="A31:F31"/>
    <mergeCell ref="A22:F22"/>
    <mergeCell ref="A12:F12"/>
    <mergeCell ref="A4:F4"/>
  </mergeCells>
  <pageMargins left="0.75" right="0.75" top="1" bottom="1" header="0" footer="0"/>
  <pageSetup orientation="landscape" paperSize="8"/>
</worksheet>
</file>

<file path=xl/worksheets/sheet14.xml><?xml version="1.0" encoding="utf-8"?>
<worksheet xmlns="http://schemas.openxmlformats.org/spreadsheetml/2006/main">
  <sheetPr>
    <outlinePr summaryBelow="1" summaryRight="1"/>
    <pageSetUpPr fitToPage="1"/>
  </sheetPr>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7" customWidth="1" style="94" min="1" max="1"/>
    <col width="14" customWidth="1" style="94" min="2" max="2"/>
    <col width="11" customWidth="1" style="94" min="3" max="3"/>
    <col width="25" customWidth="1" style="94" min="4" max="4"/>
    <col width="73" customWidth="1" style="94" min="5" max="5"/>
    <col width="14" customWidth="1" style="94" min="6" max="6"/>
    <col width="68" customWidth="1" style="94" min="7" max="7"/>
    <col width="88" customWidth="1" style="94" min="8" max="8"/>
    <col width="62" customWidth="1" style="94" min="9" max="9"/>
    <col width="24" customWidth="1" style="94" min="10" max="10"/>
  </cols>
  <sheetData>
    <row r="1" ht="33.75" customHeight="1" s="94">
      <c r="A1" s="124" t="inlineStr">
        <is>
          <t>CÁC ĐIỂM CẦN LÀM RÕ SAU KHI ĐỌC FILE V1 ĐÃ TRẢ LỜI</t>
        </is>
      </c>
      <c r="K1" s="57" t="n"/>
      <c r="L1" s="57" t="n"/>
      <c r="M1" s="57" t="n"/>
      <c r="N1" s="57" t="n"/>
      <c r="O1" s="57" t="n"/>
      <c r="P1" s="57" t="n"/>
      <c r="Q1" s="57" t="n"/>
      <c r="R1" s="57" t="n"/>
      <c r="S1" s="57" t="n"/>
      <c r="T1" s="57" t="n"/>
      <c r="U1" s="57" t="n"/>
      <c r="V1" s="57" t="n"/>
      <c r="W1" s="57" t="n"/>
      <c r="X1" s="57" t="n"/>
      <c r="Y1" s="57" t="n"/>
      <c r="Z1" s="57" t="n"/>
    </row>
    <row r="2" ht="51.75" customHeight="1" s="94">
      <c r="A2" s="125" t="inlineStr">
        <is>
          <t>Không tự sửa câu trả lời của người dùng. Lọc P0 để ưu tiên những điểm ảnh hưởng tiền, quyền ra cổng và điều chỉnh số container.</t>
        </is>
      </c>
      <c r="K2" s="57" t="n"/>
      <c r="L2" s="57" t="n"/>
      <c r="M2" s="57" t="n"/>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49.5" customHeight="1" s="94">
      <c r="A4" s="7" t="inlineStr">
        <is>
          <t>STT</t>
        </is>
      </c>
      <c r="B4" s="7" t="inlineStr">
        <is>
          <t>Mã câu hỏi</t>
        </is>
      </c>
      <c r="C4" s="7" t="inlineStr">
        <is>
          <t>Ưu tiên</t>
        </is>
      </c>
      <c r="D4" s="7" t="inlineStr">
        <is>
          <t>Nhóm nghiệp vụ</t>
        </is>
      </c>
      <c r="E4" s="7" t="inlineStr">
        <is>
          <t>Nội dung cần chốt</t>
        </is>
      </c>
      <c r="F4" s="7" t="inlineStr">
        <is>
          <t>Người dùng đã chọn</t>
        </is>
      </c>
      <c r="G4" s="7" t="inlineStr">
        <is>
          <t>Ghi chú trả lời nguyên văn</t>
        </is>
      </c>
      <c r="H4" s="7" t="inlineStr">
        <is>
          <t>Điểm cần làm rõ / mâu thuẫn</t>
        </is>
      </c>
      <c r="I4" s="7" t="inlineStr">
        <is>
          <t>Ý kiến bổ sung (điền)</t>
        </is>
      </c>
      <c r="J4" s="7" t="inlineStr">
        <is>
          <t>Trạng thái rà soát (điền)</t>
        </is>
      </c>
      <c r="K4" s="57" t="n"/>
      <c r="L4" s="57" t="n"/>
      <c r="M4" s="57" t="n"/>
      <c r="N4" s="57" t="n"/>
      <c r="O4" s="57" t="n"/>
      <c r="P4" s="57" t="n"/>
      <c r="Q4" s="57" t="n"/>
      <c r="R4" s="57" t="n"/>
      <c r="S4" s="57" t="n"/>
      <c r="T4" s="57" t="n"/>
      <c r="U4" s="57" t="n"/>
      <c r="V4" s="57" t="n"/>
      <c r="W4" s="57" t="n"/>
      <c r="X4" s="57" t="n"/>
      <c r="Y4" s="57" t="n"/>
      <c r="Z4" s="57" t="n"/>
    </row>
    <row r="5" ht="72" customHeight="1" s="94">
      <c r="A5" s="81" t="n">
        <v>1</v>
      </c>
      <c r="B5" s="81" t="inlineStr">
        <is>
          <t>CNT01</t>
        </is>
      </c>
      <c r="C5" s="82" t="inlineStr">
        <is>
          <t>P0</t>
        </is>
      </c>
      <c r="D5" s="81" t="inlineStr">
        <is>
          <t>02. Lưu container</t>
        </is>
      </c>
      <c r="E5" s="81" t="inlineStr">
        <is>
          <t>Phí lưu chốt theo giờ CCKB duyệt/thu hay giờ container ra thật? Ai kiểm tra tiền cuối cùng: An ninh hay CCKB?</t>
        </is>
      </c>
      <c r="F5" s="81" t="n"/>
      <c r="G5" s="81" t="n"/>
      <c r="H5" s="81" t="inlineStr">
        <is>
          <t>Câu hỏi mới từ phần nghiệp vụ phát sinh; chờ bạn trả lời.</t>
        </is>
      </c>
      <c r="I5" s="25" t="n"/>
      <c r="J5" s="25" t="inlineStr">
        <is>
          <t>Chờ bổ sung</t>
        </is>
      </c>
      <c r="K5" s="57" t="n"/>
      <c r="L5" s="57" t="n"/>
      <c r="M5" s="57" t="n"/>
      <c r="N5" s="57" t="n"/>
      <c r="O5" s="57" t="n"/>
      <c r="P5" s="57" t="n"/>
      <c r="Q5" s="57" t="n"/>
      <c r="R5" s="57" t="n"/>
      <c r="S5" s="57" t="n"/>
      <c r="T5" s="57" t="n"/>
      <c r="U5" s="57" t="n"/>
      <c r="V5" s="57" t="n"/>
      <c r="W5" s="57" t="n"/>
      <c r="X5" s="57" t="n"/>
      <c r="Y5" s="57" t="n"/>
      <c r="Z5" s="57" t="n"/>
    </row>
    <row r="6" ht="72" customHeight="1" s="94">
      <c r="A6" s="83" t="n">
        <v>2</v>
      </c>
      <c r="B6" s="83" t="inlineStr">
        <is>
          <t>D06</t>
        </is>
      </c>
      <c r="C6" s="82" t="inlineStr">
        <is>
          <t>P0</t>
        </is>
      </c>
      <c r="D6" s="83" t="inlineStr">
        <is>
          <t>06. Điều phối / container</t>
        </is>
      </c>
      <c r="E6" s="83" t="inlineStr">
        <is>
          <t>Khi số container gõ nhầm hoặc khác so với trên vé, người nào được xác nhận sửa thông tin?</t>
        </is>
      </c>
      <c r="F6" s="83" t="inlineStr">
        <is>
          <t>A</t>
        </is>
      </c>
      <c r="G6" s="83" t="inlineStr">
        <is>
          <t>TBP thì sửa trực tiếp</t>
        </is>
      </c>
      <c r="H6" s="83" t="inlineStr">
        <is>
          <t>F=A NV An ninh sửa; G TBP được sửa trực tiếp; yêu cầu mới An ninh sửa và báo CCKB. Cần ngưỡng quyền sau thu/ra.</t>
        </is>
      </c>
      <c r="I6" s="25" t="n"/>
      <c r="J6" s="25" t="inlineStr">
        <is>
          <t>Chờ bổ sung</t>
        </is>
      </c>
      <c r="K6" s="57" t="n"/>
      <c r="L6" s="57" t="n"/>
      <c r="M6" s="57" t="n"/>
      <c r="N6" s="57" t="n"/>
      <c r="O6" s="57" t="n"/>
      <c r="P6" s="57" t="n"/>
      <c r="Q6" s="57" t="n"/>
      <c r="R6" s="57" t="n"/>
      <c r="S6" s="57" t="n"/>
      <c r="T6" s="57" t="n"/>
      <c r="U6" s="57" t="n"/>
      <c r="V6" s="57" t="n"/>
      <c r="W6" s="57" t="n"/>
      <c r="X6" s="57" t="n"/>
      <c r="Y6" s="57" t="n"/>
      <c r="Z6" s="57" t="n"/>
    </row>
    <row r="7" ht="72" customHeight="1" s="94">
      <c r="A7" s="81" t="n">
        <v>3</v>
      </c>
      <c r="B7" s="81" t="inlineStr">
        <is>
          <t>E06</t>
        </is>
      </c>
      <c r="C7" s="82" t="inlineStr">
        <is>
          <t>P0</t>
        </is>
      </c>
      <c r="D7" s="81" t="inlineStr">
        <is>
          <t>03. Cắm/rút điện</t>
        </is>
      </c>
      <c r="E7" s="81" t="inlineStr">
        <is>
          <t>Sau khi đã thu tiền điện, CCKB được sửa giờ tới mức nào và quy trình phê duyệt chênh lệch?</t>
        </is>
      </c>
      <c r="F7" s="81" t="inlineStr">
        <is>
          <t>B</t>
        </is>
      </c>
      <c r="G7" s="81" t="inlineStr">
        <is>
          <t>A Và B</t>
        </is>
      </c>
      <c r="H7" s="81" t="inlineStr">
        <is>
          <t>F=B nhưng G=A và B: vừa NV đề nghị/TBP duyệt vừa TBP sửa trực tiếp; cần điều kiện khi nào mỗi cách.</t>
        </is>
      </c>
      <c r="I7" s="25" t="n"/>
      <c r="J7" s="25" t="inlineStr">
        <is>
          <t>Chờ bổ sung</t>
        </is>
      </c>
      <c r="K7" s="57" t="n"/>
      <c r="L7" s="57" t="n"/>
      <c r="M7" s="57" t="n"/>
      <c r="N7" s="57" t="n"/>
      <c r="O7" s="57" t="n"/>
      <c r="P7" s="57" t="n"/>
      <c r="Q7" s="57" t="n"/>
      <c r="R7" s="57" t="n"/>
      <c r="S7" s="57" t="n"/>
      <c r="T7" s="57" t="n"/>
      <c r="U7" s="57" t="n"/>
      <c r="V7" s="57" t="n"/>
      <c r="W7" s="57" t="n"/>
      <c r="X7" s="57" t="n"/>
      <c r="Y7" s="57" t="n"/>
      <c r="Z7" s="57" t="n"/>
    </row>
    <row r="8" ht="72" customHeight="1" s="94">
      <c r="A8" s="83" t="n">
        <v>4</v>
      </c>
      <c r="B8" s="83" t="inlineStr">
        <is>
          <t>E07</t>
        </is>
      </c>
      <c r="C8" s="82" t="inlineStr">
        <is>
          <t>P0</t>
        </is>
      </c>
      <c r="D8" s="83" t="inlineStr">
        <is>
          <t>03. Cắm/rút điện</t>
        </is>
      </c>
      <c r="E8" s="83" t="inlineStr">
        <is>
          <t>Phiên điện còn trạng thái Đang cắm trên PWA nhưng thực tế đã rút, container có được xuất không?</t>
        </is>
      </c>
      <c r="F8" s="83" t="inlineStr">
        <is>
          <t>A</t>
        </is>
      </c>
      <c r="G8" s="83" t="inlineStr">
        <is>
          <t xml:space="preserve">Làm cách nào thoai r mái hon, CCKB cứ xác định xe đã được ra thì ra, nếu xe ra đến cổng mà chưa thấy được ra thì gọi hoặc nhắn nhóm có CCKB </t>
        </is>
      </c>
      <c r="H8" s="83" t="inlineStr">
        <is>
          <t>F=A buộc cập nhật xong trước ra, nhưng G ưu tiên CCKB xác nhận bằng tay và Zalo khi cần; cần cơ chế override có audit.</t>
        </is>
      </c>
      <c r="I8" s="25" t="n"/>
      <c r="J8" s="25" t="inlineStr">
        <is>
          <t>Chờ bổ sung</t>
        </is>
      </c>
      <c r="K8" s="57" t="n"/>
      <c r="L8" s="57" t="n"/>
      <c r="M8" s="57" t="n"/>
      <c r="N8" s="57" t="n"/>
      <c r="O8" s="57" t="n"/>
      <c r="P8" s="57" t="n"/>
      <c r="Q8" s="57" t="n"/>
      <c r="R8" s="57" t="n"/>
      <c r="S8" s="57" t="n"/>
      <c r="T8" s="57" t="n"/>
      <c r="U8" s="57" t="n"/>
      <c r="V8" s="57" t="n"/>
      <c r="W8" s="57" t="n"/>
      <c r="X8" s="57" t="n"/>
      <c r="Y8" s="57" t="n"/>
      <c r="Z8" s="57" t="n"/>
    </row>
    <row r="9" ht="72" customHeight="1" s="94">
      <c r="A9" s="81" t="n">
        <v>5</v>
      </c>
      <c r="B9" s="81" t="inlineStr">
        <is>
          <t>E08</t>
        </is>
      </c>
      <c r="C9" s="82" t="inlineStr">
        <is>
          <t>P0</t>
        </is>
      </c>
      <c r="D9" s="81" t="inlineStr">
        <is>
          <t>03. Cắm/rút điện</t>
        </is>
      </c>
      <c r="E9" s="81" t="inlineStr">
        <is>
          <t>Khi không có mạng/không thể cập nhật giờ rút, cần quy trình bàn giao ngoài hệ thống và bổ sung dữ liệu như thế nào?</t>
        </is>
      </c>
      <c r="F9" s="81" t="inlineStr">
        <is>
          <t>A</t>
        </is>
      </c>
      <c r="G9" s="81" t="inlineStr">
        <is>
          <t>chỗ này chưa hiểu</t>
        </is>
      </c>
      <c r="H9" s="81" t="inlineStr">
        <is>
          <t>G ghi “chỗ này chưa hiểu”; không thể coi là quyết định đã chốt dù F=A. Cần giải thích quy trình offline và nhập bù.</t>
        </is>
      </c>
      <c r="I9" s="25" t="n"/>
      <c r="J9" s="25" t="inlineStr">
        <is>
          <t>Chờ bổ sung</t>
        </is>
      </c>
      <c r="K9" s="57" t="n"/>
      <c r="L9" s="57" t="n"/>
      <c r="M9" s="57" t="n"/>
      <c r="N9" s="57" t="n"/>
      <c r="O9" s="57" t="n"/>
      <c r="P9" s="57" t="n"/>
      <c r="Q9" s="57" t="n"/>
      <c r="R9" s="57" t="n"/>
      <c r="S9" s="57" t="n"/>
      <c r="T9" s="57" t="n"/>
      <c r="U9" s="57" t="n"/>
      <c r="V9" s="57" t="n"/>
      <c r="W9" s="57" t="n"/>
      <c r="X9" s="57" t="n"/>
      <c r="Y9" s="57" t="n"/>
      <c r="Z9" s="57" t="n"/>
    </row>
    <row r="10" ht="72" customHeight="1" s="94">
      <c r="A10" s="83" t="n">
        <v>6</v>
      </c>
      <c r="B10" s="83" t="inlineStr">
        <is>
          <t>E09</t>
        </is>
      </c>
      <c r="C10" s="82" t="inlineStr">
        <is>
          <t>P0</t>
        </is>
      </c>
      <c r="D10" s="83" t="inlineStr">
        <is>
          <t>03. Cắm/rút điện</t>
        </is>
      </c>
      <c r="E10" s="83" t="inlineStr">
        <is>
          <t>Tổng thời gian thực tế tính bằng giây hay phút? Ví dụ 4 giờ 00 phút 01 giây có làm tròn thành 4 giờ 15 phút không?</t>
        </is>
      </c>
      <c r="F10" s="83" t="inlineStr">
        <is>
          <t>Khác</t>
        </is>
      </c>
      <c r="G10" s="83" t="inlineStr">
        <is>
          <t>Hieện tại CCKB tự làm tròn</t>
        </is>
      </c>
      <c r="H10" s="83" t="inlineStr">
        <is>
          <t>G: CCKB tự làm tròn, trong khi đã chốt tính tròn lên mỗi 15 phút. Cần xác nhận tự tính mặc định + cho điều chỉnh thủ công.</t>
        </is>
      </c>
      <c r="I10" s="25" t="n"/>
      <c r="J10" s="25" t="inlineStr">
        <is>
          <t>Chờ bổ sung</t>
        </is>
      </c>
      <c r="K10" s="57" t="n"/>
      <c r="L10" s="57" t="n"/>
      <c r="M10" s="57" t="n"/>
      <c r="N10" s="57" t="n"/>
      <c r="O10" s="57" t="n"/>
      <c r="P10" s="57" t="n"/>
      <c r="Q10" s="57" t="n"/>
      <c r="R10" s="57" t="n"/>
      <c r="S10" s="57" t="n"/>
      <c r="T10" s="57" t="n"/>
      <c r="U10" s="57" t="n"/>
      <c r="V10" s="57" t="n"/>
      <c r="W10" s="57" t="n"/>
      <c r="X10" s="57" t="n"/>
      <c r="Y10" s="57" t="n"/>
      <c r="Z10" s="57" t="n"/>
    </row>
    <row r="11" ht="72" customHeight="1" s="94">
      <c r="A11" s="81" t="n">
        <v>7</v>
      </c>
      <c r="B11" s="81" t="inlineStr">
        <is>
          <t>INV01</t>
        </is>
      </c>
      <c r="C11" s="82" t="inlineStr">
        <is>
          <t>P0</t>
        </is>
      </c>
      <c r="D11" s="81" t="inlineStr">
        <is>
          <t>04. Thanh toán</t>
        </is>
      </c>
      <c r="E11" s="81" t="inlineStr">
        <is>
          <t>Khi An ninh nhận thông tin xuất hóa đơn tại cổng vào, những trường nào bắt buộc theo từng loại khách hàng?</t>
        </is>
      </c>
      <c r="F11" s="81" t="n"/>
      <c r="G11" s="81" t="n"/>
      <c r="H11" s="81" t="inlineStr">
        <is>
          <t>Câu hỏi mới từ phần nghiệp vụ phát sinh; chờ bạn trả lời.</t>
        </is>
      </c>
      <c r="I11" s="25" t="n"/>
      <c r="J11" s="25" t="inlineStr">
        <is>
          <t>Chờ bổ sung</t>
        </is>
      </c>
      <c r="K11" s="57" t="n"/>
      <c r="L11" s="57" t="n"/>
      <c r="M11" s="57" t="n"/>
      <c r="N11" s="57" t="n"/>
      <c r="O11" s="57" t="n"/>
      <c r="P11" s="57" t="n"/>
      <c r="Q11" s="57" t="n"/>
      <c r="R11" s="57" t="n"/>
      <c r="S11" s="57" t="n"/>
      <c r="T11" s="57" t="n"/>
      <c r="U11" s="57" t="n"/>
      <c r="V11" s="57" t="n"/>
      <c r="W11" s="57" t="n"/>
      <c r="X11" s="57" t="n"/>
      <c r="Y11" s="57" t="n"/>
      <c r="Z11" s="57" t="n"/>
    </row>
    <row r="12" ht="72" customHeight="1" s="94">
      <c r="A12" s="83" t="n">
        <v>8</v>
      </c>
      <c r="B12" s="83" t="inlineStr">
        <is>
          <t>K01</t>
        </is>
      </c>
      <c r="C12" s="82" t="inlineStr">
        <is>
          <t>P0</t>
        </is>
      </c>
      <c r="D12" s="83" t="inlineStr">
        <is>
          <t>08. Kỹ thuật / bảo mật</t>
        </is>
      </c>
      <c r="E12" s="83" t="inlineStr">
        <is>
          <t>Phần mềm chạy trên tên miền/subdomain nào và ai chịu trách nhiệm quản trị máy chủ?</t>
        </is>
      </c>
      <c r="F12" s="83" t="n"/>
      <c r="G12" s="83" t="n"/>
      <c r="H12" s="83" t="inlineStr">
        <is>
          <t>K01: ô lựa chọn thật sự để trống trong file V1, dù cột H được đánh dấu Đã chốt. Cần chọn tên miền/subdomain.</t>
        </is>
      </c>
      <c r="I12" s="25" t="n"/>
      <c r="J12" s="25" t="inlineStr">
        <is>
          <t>Chờ bổ sung</t>
        </is>
      </c>
      <c r="K12" s="57" t="n"/>
      <c r="L12" s="57" t="n"/>
      <c r="M12" s="57" t="n"/>
      <c r="N12" s="57" t="n"/>
      <c r="O12" s="57" t="n"/>
      <c r="P12" s="57" t="n"/>
      <c r="Q12" s="57" t="n"/>
      <c r="R12" s="57" t="n"/>
      <c r="S12" s="57" t="n"/>
      <c r="T12" s="57" t="n"/>
      <c r="U12" s="57" t="n"/>
      <c r="V12" s="57" t="n"/>
      <c r="W12" s="57" t="n"/>
      <c r="X12" s="57" t="n"/>
      <c r="Y12" s="57" t="n"/>
      <c r="Z12" s="57" t="n"/>
    </row>
    <row r="13" ht="72" customHeight="1" s="94">
      <c r="A13" s="81" t="n">
        <v>9</v>
      </c>
      <c r="B13" s="81" t="inlineStr">
        <is>
          <t>L04</t>
        </is>
      </c>
      <c r="C13" s="82" t="inlineStr">
        <is>
          <t>P0</t>
        </is>
      </c>
      <c r="D13" s="81" t="inlineStr">
        <is>
          <t>02. Lưu container</t>
        </is>
      </c>
      <c r="E13" s="81" t="inlineStr">
        <is>
          <t>CCKB đã duyệt thanh toán trước 22:00, nhưng container thực tế xuất sau 22:00 và phát sinh thêm kỳ đêm: quy trình cập nhật phí?</t>
        </is>
      </c>
      <c r="F13" s="81" t="inlineStr">
        <is>
          <t>B</t>
        </is>
      </c>
      <c r="G13" s="81" t="inlineStr">
        <is>
          <t>Vì nhiều lúc thanh toán và rút rồi nhưng chưa ra nhé</t>
        </is>
      </c>
      <c r="H13" s="81" t="inlineStr">
        <is>
          <t>F=B khóa phí tại giờ CCKB duyệt; T09 lại chọn tính lại tại lúc cont thực ra. Cần xác định mốc chốt phí sau 22:00.</t>
        </is>
      </c>
      <c r="I13" s="25" t="n"/>
      <c r="J13" s="25" t="inlineStr">
        <is>
          <t>Chờ bổ sung</t>
        </is>
      </c>
      <c r="K13" s="57" t="n"/>
      <c r="L13" s="57" t="n"/>
      <c r="M13" s="57" t="n"/>
      <c r="N13" s="57" t="n"/>
      <c r="O13" s="57" t="n"/>
      <c r="P13" s="57" t="n"/>
      <c r="Q13" s="57" t="n"/>
      <c r="R13" s="57" t="n"/>
      <c r="S13" s="57" t="n"/>
      <c r="T13" s="57" t="n"/>
      <c r="U13" s="57" t="n"/>
      <c r="V13" s="57" t="n"/>
      <c r="W13" s="57" t="n"/>
      <c r="X13" s="57" t="n"/>
      <c r="Y13" s="57" t="n"/>
      <c r="Z13" s="57" t="n"/>
    </row>
    <row r="14" ht="72" customHeight="1" s="94">
      <c r="A14" s="83" t="n">
        <v>10</v>
      </c>
      <c r="B14" s="83" t="inlineStr">
        <is>
          <t>M03</t>
        </is>
      </c>
      <c r="C14" s="82" t="inlineStr">
        <is>
          <t>P0</t>
        </is>
      </c>
      <c r="D14" s="83" t="inlineStr">
        <is>
          <t>09. Chuyển dữ liệu</t>
        </is>
      </c>
      <c r="E14" s="83" t="inlineStr">
        <is>
          <t>Các dòng dữ liệu cũ có ghi chú tiền thực thu khác tiền phải thu: ai là người kiểm tra, xác nhận kết quả trước chuyển?</t>
        </is>
      </c>
      <c r="F14" s="83" t="inlineStr">
        <is>
          <t>Khác</t>
        </is>
      </c>
      <c r="G14" s="83" t="inlineStr">
        <is>
          <t>Tiền thì tạm thời bỏ qua vò giờ trên hệ thống nhiều xe quên chưa cho ra lắ</t>
        </is>
      </c>
      <c r="H14" s="83" t="inlineStr">
        <is>
          <t>G: tạm bỏ qua đối soát tài chính lịch sử do còn nhiều xe quên chốt ra; cần đánh dấu dữ liệu cũ chưa xác minh, không đưa vào công nợ V1.</t>
        </is>
      </c>
      <c r="I14" s="25" t="n"/>
      <c r="J14" s="25" t="inlineStr">
        <is>
          <t>Chờ bổ sung</t>
        </is>
      </c>
      <c r="K14" s="57" t="n"/>
      <c r="L14" s="57" t="n"/>
      <c r="M14" s="57" t="n"/>
      <c r="N14" s="57" t="n"/>
      <c r="O14" s="57" t="n"/>
      <c r="P14" s="57" t="n"/>
      <c r="Q14" s="57" t="n"/>
      <c r="R14" s="57" t="n"/>
      <c r="S14" s="57" t="n"/>
      <c r="T14" s="57" t="n"/>
      <c r="U14" s="57" t="n"/>
      <c r="V14" s="57" t="n"/>
      <c r="W14" s="57" t="n"/>
      <c r="X14" s="57" t="n"/>
      <c r="Y14" s="57" t="n"/>
      <c r="Z14" s="57" t="n"/>
    </row>
    <row r="15" ht="72" customHeight="1" s="94">
      <c r="A15" s="81" t="n">
        <v>11</v>
      </c>
      <c r="B15" s="81" t="inlineStr">
        <is>
          <t>M04</t>
        </is>
      </c>
      <c r="C15" s="82" t="inlineStr">
        <is>
          <t>P0</t>
        </is>
      </c>
      <c r="D15" s="81" t="inlineStr">
        <is>
          <t>09. Chuyển dữ liệu</t>
        </is>
      </c>
      <c r="E15" s="81" t="inlineStr">
        <is>
          <t>Giờ ra xe/container thực tế khác dữ liệu nhập do bổ sung muộn: dùng mốc nào làm dữ liệu gốc khi chuyển?</t>
        </is>
      </c>
      <c r="F15" s="81" t="inlineStr">
        <is>
          <t>A</t>
        </is>
      </c>
      <c r="G15" s="81" t="inlineStr">
        <is>
          <t>quan trị viên cấp cao có thể sửa trực tiếp hết nhé, vì hiện tại tôi thấy lỗi nhieuf chính trên GG sheets đang đễ sau này sửa thì vào db sửa lại khó hơn</t>
        </is>
      </c>
      <c r="H15" s="81" t="inlineStr">
        <is>
          <t>G: Quản trị cấp cao được sửa mọi dữ liệu sai, nhưng cần công cụ sửa trong app kèm audit, tránh sửa DB trực tiếp không lưu lịch sử.</t>
        </is>
      </c>
      <c r="I15" s="25" t="n"/>
      <c r="J15" s="25" t="inlineStr">
        <is>
          <t>Chờ bổ sung</t>
        </is>
      </c>
      <c r="K15" s="57" t="n"/>
      <c r="L15" s="57" t="n"/>
      <c r="M15" s="57" t="n"/>
      <c r="N15" s="57" t="n"/>
      <c r="O15" s="57" t="n"/>
      <c r="P15" s="57" t="n"/>
      <c r="Q15" s="57" t="n"/>
      <c r="R15" s="57" t="n"/>
      <c r="S15" s="57" t="n"/>
      <c r="T15" s="57" t="n"/>
      <c r="U15" s="57" t="n"/>
      <c r="V15" s="57" t="n"/>
      <c r="W15" s="57" t="n"/>
      <c r="X15" s="57" t="n"/>
      <c r="Y15" s="57" t="n"/>
      <c r="Z15" s="57" t="n"/>
    </row>
    <row r="16" ht="72" customHeight="1" s="94">
      <c r="A16" s="83" t="n">
        <v>12</v>
      </c>
      <c r="B16" s="83" t="inlineStr">
        <is>
          <t>OUT01</t>
        </is>
      </c>
      <c r="C16" s="82" t="inlineStr">
        <is>
          <t>P0</t>
        </is>
      </c>
      <c r="D16" s="83" t="inlineStr">
        <is>
          <t>04. Thanh toán</t>
        </is>
      </c>
      <c r="E16" s="83" t="inlineStr">
        <is>
          <t>Khi CCKB xác nhận cho container ra dù chưa ghi nhận đủ tiền, ai có quyền và có bắt buộc ghi lý do/cảnh báo công nợ không?</t>
        </is>
      </c>
      <c r="F16" s="83" t="n"/>
      <c r="G16" s="83" t="n"/>
      <c r="H16" s="83" t="inlineStr">
        <is>
          <t>Câu hỏi mới từ phần nghiệp vụ phát sinh; chờ bạn trả lời.</t>
        </is>
      </c>
      <c r="I16" s="25" t="n"/>
      <c r="J16" s="25" t="inlineStr">
        <is>
          <t>Chờ bổ sung</t>
        </is>
      </c>
      <c r="K16" s="57" t="n"/>
      <c r="L16" s="57" t="n"/>
      <c r="M16" s="57" t="n"/>
      <c r="N16" s="57" t="n"/>
      <c r="O16" s="57" t="n"/>
      <c r="P16" s="57" t="n"/>
      <c r="Q16" s="57" t="n"/>
      <c r="R16" s="57" t="n"/>
      <c r="S16" s="57" t="n"/>
      <c r="T16" s="57" t="n"/>
      <c r="U16" s="57" t="n"/>
      <c r="V16" s="57" t="n"/>
      <c r="W16" s="57" t="n"/>
      <c r="X16" s="57" t="n"/>
      <c r="Y16" s="57" t="n"/>
      <c r="Z16" s="57" t="n"/>
    </row>
    <row r="17" ht="72" customHeight="1" s="94">
      <c r="A17" s="81" t="n">
        <v>13</v>
      </c>
      <c r="B17" s="81" t="inlineStr">
        <is>
          <t>P07</t>
        </is>
      </c>
      <c r="C17" s="82" t="inlineStr">
        <is>
          <t>P0</t>
        </is>
      </c>
      <c r="D17" s="81" t="inlineStr">
        <is>
          <t>05. Phân quyền</t>
        </is>
      </c>
      <c r="E17" s="81" t="inlineStr">
        <is>
          <t>Một nhân viên có thể kiêm 2 bộ phận/vai trò trên một tài khoản không?</t>
        </is>
      </c>
      <c r="F17" s="81" t="inlineStr">
        <is>
          <t>Khác</t>
        </is>
      </c>
      <c r="G17" s="81" t="inlineStr">
        <is>
          <t>Cài này có lúc theo ca có lúc 1 tk nhiêu role nhưng cứ xây dựng giai đoạn đầu máy sẽ cố định tại bốt cont CCKB thì sẽ đăng nhập tk cá nhân(Sau này muốn phát triển ai có ca mới được vào)</t>
        </is>
      </c>
      <c r="H17" s="81" t="inlineStr">
        <is>
          <t>PWA tại bốt An ninh có thể dùng thiết bị cố định; CCKB dùng tài khoản cá nhân, phân vai theo ca sau. Cần audit cá nhân khi dùng thiết bị chung.</t>
        </is>
      </c>
      <c r="I17" s="25" t="n"/>
      <c r="J17" s="25" t="inlineStr">
        <is>
          <t>Chờ bổ sung</t>
        </is>
      </c>
      <c r="K17" s="57" t="n"/>
      <c r="L17" s="57" t="n"/>
      <c r="M17" s="57" t="n"/>
      <c r="N17" s="57" t="n"/>
      <c r="O17" s="57" t="n"/>
      <c r="P17" s="57" t="n"/>
      <c r="Q17" s="57" t="n"/>
      <c r="R17" s="57" t="n"/>
      <c r="S17" s="57" t="n"/>
      <c r="T17" s="57" t="n"/>
      <c r="U17" s="57" t="n"/>
      <c r="V17" s="57" t="n"/>
      <c r="W17" s="57" t="n"/>
      <c r="X17" s="57" t="n"/>
      <c r="Y17" s="57" t="n"/>
      <c r="Z17" s="57" t="n"/>
    </row>
    <row r="18" ht="72" customHeight="1" s="94">
      <c r="A18" s="83" t="n">
        <v>14</v>
      </c>
      <c r="B18" s="83" t="inlineStr">
        <is>
          <t>PR03</t>
        </is>
      </c>
      <c r="C18" s="82" t="inlineStr">
        <is>
          <t>P0</t>
        </is>
      </c>
      <c r="D18" s="83" t="inlineStr">
        <is>
          <t>03. Cắm/rút điện</t>
        </is>
      </c>
      <c r="E18" s="83" t="inlineStr">
        <is>
          <t>Khách gửi một yêu cầu gồm 3 container A, B, C: tạo một phiếu chung có 3 dòng container hay 3 phiếu riêng?</t>
        </is>
      </c>
      <c r="F18" s="83" t="n"/>
      <c r="G18" s="83" t="n"/>
      <c r="H18" s="83" t="inlineStr">
        <is>
          <t>Câu hỏi mới từ phần nghiệp vụ phát sinh; chờ bạn trả lời.</t>
        </is>
      </c>
      <c r="I18" s="25" t="n"/>
      <c r="J18" s="25" t="inlineStr">
        <is>
          <t>Chờ bổ sung</t>
        </is>
      </c>
      <c r="K18" s="57" t="n"/>
      <c r="L18" s="57" t="n"/>
      <c r="M18" s="57" t="n"/>
      <c r="N18" s="57" t="n"/>
      <c r="O18" s="57" t="n"/>
      <c r="P18" s="57" t="n"/>
      <c r="Q18" s="57" t="n"/>
      <c r="R18" s="57" t="n"/>
      <c r="S18" s="57" t="n"/>
      <c r="T18" s="57" t="n"/>
      <c r="U18" s="57" t="n"/>
      <c r="V18" s="57" t="n"/>
      <c r="W18" s="57" t="n"/>
      <c r="X18" s="57" t="n"/>
      <c r="Y18" s="57" t="n"/>
      <c r="Z18" s="57" t="n"/>
    </row>
    <row r="19" ht="72" customHeight="1" s="94">
      <c r="A19" s="81" t="n">
        <v>15</v>
      </c>
      <c r="B19" s="81" t="inlineStr">
        <is>
          <t>PR04</t>
        </is>
      </c>
      <c r="C19" s="82" t="inlineStr">
        <is>
          <t>P0</t>
        </is>
      </c>
      <c r="D19" s="81" t="inlineStr">
        <is>
          <t>03. Cắm/rút điện</t>
        </is>
      </c>
      <c r="E19" s="81" t="inlineStr">
        <is>
          <t>Khi An ninh ghi số cont lúc vào, hệ thống ghép yêu cầu dự kiến và lượt cont thực tế theo cách nào?</t>
        </is>
      </c>
      <c r="F19" s="81" t="n"/>
      <c r="G19" s="81" t="n"/>
      <c r="H19" s="81" t="inlineStr">
        <is>
          <t>Câu hỏi mới từ phần nghiệp vụ phát sinh; chờ bạn trả lời.</t>
        </is>
      </c>
      <c r="I19" s="25" t="n"/>
      <c r="J19" s="25" t="inlineStr">
        <is>
          <t>Chờ bổ sung</t>
        </is>
      </c>
      <c r="K19" s="57" t="n"/>
      <c r="L19" s="57" t="n"/>
      <c r="M19" s="57" t="n"/>
      <c r="N19" s="57" t="n"/>
      <c r="O19" s="57" t="n"/>
      <c r="P19" s="57" t="n"/>
      <c r="Q19" s="57" t="n"/>
      <c r="R19" s="57" t="n"/>
      <c r="S19" s="57" t="n"/>
      <c r="T19" s="57" t="n"/>
      <c r="U19" s="57" t="n"/>
      <c r="V19" s="57" t="n"/>
      <c r="W19" s="57" t="n"/>
      <c r="X19" s="57" t="n"/>
      <c r="Y19" s="57" t="n"/>
      <c r="Z19" s="57" t="n"/>
    </row>
    <row r="20" ht="72" customHeight="1" s="94">
      <c r="A20" s="83" t="n">
        <v>16</v>
      </c>
      <c r="B20" s="83" t="inlineStr">
        <is>
          <t>PR07</t>
        </is>
      </c>
      <c r="C20" s="82" t="inlineStr">
        <is>
          <t>P0</t>
        </is>
      </c>
      <c r="D20" s="83" t="inlineStr">
        <is>
          <t>03. Cắm/rút điện</t>
        </is>
      </c>
      <c r="E20" s="83" t="inlineStr">
        <is>
          <t>Khi khách đổi số cont A thành B trước khi xe vào, ai được phép sửa thông tin dự kiến và có thông báo An ninh không?</t>
        </is>
      </c>
      <c r="F20" s="83" t="n"/>
      <c r="G20" s="83" t="n"/>
      <c r="H20" s="83" t="inlineStr">
        <is>
          <t>Câu hỏi mới từ phần nghiệp vụ phát sinh; chờ bạn trả lời.</t>
        </is>
      </c>
      <c r="I20" s="25" t="n"/>
      <c r="J20" s="25" t="inlineStr">
        <is>
          <t>Chờ bổ sung</t>
        </is>
      </c>
      <c r="K20" s="57" t="n"/>
      <c r="L20" s="57" t="n"/>
      <c r="M20" s="57" t="n"/>
      <c r="N20" s="57" t="n"/>
      <c r="O20" s="57" t="n"/>
      <c r="P20" s="57" t="n"/>
      <c r="Q20" s="57" t="n"/>
      <c r="R20" s="57" t="n"/>
      <c r="S20" s="57" t="n"/>
      <c r="T20" s="57" t="n"/>
      <c r="U20" s="57" t="n"/>
      <c r="V20" s="57" t="n"/>
      <c r="W20" s="57" t="n"/>
      <c r="X20" s="57" t="n"/>
      <c r="Y20" s="57" t="n"/>
      <c r="Z20" s="57" t="n"/>
    </row>
    <row r="21" ht="72" customHeight="1" s="94">
      <c r="A21" s="81" t="n">
        <v>17</v>
      </c>
      <c r="B21" s="81" t="inlineStr">
        <is>
          <t>SC02</t>
        </is>
      </c>
      <c r="C21" s="82" t="inlineStr">
        <is>
          <t>P0</t>
        </is>
      </c>
      <c r="D21" s="81" t="inlineStr">
        <is>
          <t>06. Điều phối / container</t>
        </is>
      </c>
      <c r="E21" s="81" t="inlineStr">
        <is>
          <t>Nếu phát hiện sai số container SAU khi cắm/rút điện hoặc đã thu tiền, có cho sửa trực tiếp hay phải trình duyệt?</t>
        </is>
      </c>
      <c r="F21" s="81" t="n"/>
      <c r="G21" s="81" t="n"/>
      <c r="H21" s="81" t="inlineStr">
        <is>
          <t>Câu hỏi mới từ phần nghiệp vụ phát sinh; chờ bạn trả lời.</t>
        </is>
      </c>
      <c r="I21" s="25" t="n"/>
      <c r="J21" s="25" t="inlineStr">
        <is>
          <t>Chờ bổ sung</t>
        </is>
      </c>
      <c r="K21" s="57" t="n"/>
      <c r="L21" s="57" t="n"/>
      <c r="M21" s="57" t="n"/>
      <c r="N21" s="57" t="n"/>
      <c r="O21" s="57" t="n"/>
      <c r="P21" s="57" t="n"/>
      <c r="Q21" s="57" t="n"/>
      <c r="R21" s="57" t="n"/>
      <c r="S21" s="57" t="n"/>
      <c r="T21" s="57" t="n"/>
      <c r="U21" s="57" t="n"/>
      <c r="V21" s="57" t="n"/>
      <c r="W21" s="57" t="n"/>
      <c r="X21" s="57" t="n"/>
      <c r="Y21" s="57" t="n"/>
      <c r="Z21" s="57" t="n"/>
    </row>
    <row r="22" ht="72" customHeight="1" s="94">
      <c r="A22" s="83" t="n">
        <v>18</v>
      </c>
      <c r="B22" s="83" t="inlineStr">
        <is>
          <t>SC04</t>
        </is>
      </c>
      <c r="C22" s="82" t="inlineStr">
        <is>
          <t>P0</t>
        </is>
      </c>
      <c r="D22" s="83" t="inlineStr">
        <is>
          <t>06. Điều phối / container</t>
        </is>
      </c>
      <c r="E22" s="83" t="inlineStr">
        <is>
          <t>Sau khi An ninh sửa số cont, CCKB nhận thông báo và xác nhận lại bằng cách nào?</t>
        </is>
      </c>
      <c r="F22" s="83" t="n"/>
      <c r="G22" s="83" t="n"/>
      <c r="H22" s="83" t="inlineStr">
        <is>
          <t>Câu hỏi mới từ phần nghiệp vụ phát sinh; chờ bạn trả lời.</t>
        </is>
      </c>
      <c r="I22" s="25" t="n"/>
      <c r="J22" s="25" t="inlineStr">
        <is>
          <t>Chờ bổ sung</t>
        </is>
      </c>
      <c r="K22" s="57" t="n"/>
      <c r="L22" s="57" t="n"/>
      <c r="M22" s="57" t="n"/>
      <c r="N22" s="57" t="n"/>
      <c r="O22" s="57" t="n"/>
      <c r="P22" s="57" t="n"/>
      <c r="Q22" s="57" t="n"/>
      <c r="R22" s="57" t="n"/>
      <c r="S22" s="57" t="n"/>
      <c r="T22" s="57" t="n"/>
      <c r="U22" s="57" t="n"/>
      <c r="V22" s="57" t="n"/>
      <c r="W22" s="57" t="n"/>
      <c r="X22" s="57" t="n"/>
      <c r="Y22" s="57" t="n"/>
      <c r="Z22" s="57" t="n"/>
    </row>
    <row r="23" ht="72" customHeight="1" s="94">
      <c r="A23" s="81" t="n">
        <v>19</v>
      </c>
      <c r="B23" s="81" t="inlineStr">
        <is>
          <t>SC05</t>
        </is>
      </c>
      <c r="C23" s="82" t="inlineStr">
        <is>
          <t>P0</t>
        </is>
      </c>
      <c r="D23" s="81" t="inlineStr">
        <is>
          <t>06. Điều phối / container</t>
        </is>
      </c>
      <c r="E23" s="81" t="inlineStr">
        <is>
          <t>Khi cont thực tế khác số cont CCKB đã ghi dự kiến, cần cập nhật phiếu dự kiến hay tạo yêu cầu mới?</t>
        </is>
      </c>
      <c r="F23" s="81" t="n"/>
      <c r="G23" s="81" t="n"/>
      <c r="H23" s="81" t="inlineStr">
        <is>
          <t>Câu hỏi mới từ phần nghiệp vụ phát sinh; chờ bạn trả lời.</t>
        </is>
      </c>
      <c r="I23" s="25" t="n"/>
      <c r="J23" s="25" t="inlineStr">
        <is>
          <t>Chờ bổ sung</t>
        </is>
      </c>
      <c r="K23" s="57" t="n"/>
      <c r="L23" s="57" t="n"/>
      <c r="M23" s="57" t="n"/>
      <c r="N23" s="57" t="n"/>
      <c r="O23" s="57" t="n"/>
      <c r="P23" s="57" t="n"/>
      <c r="Q23" s="57" t="n"/>
      <c r="R23" s="57" t="n"/>
      <c r="S23" s="57" t="n"/>
      <c r="T23" s="57" t="n"/>
      <c r="U23" s="57" t="n"/>
      <c r="V23" s="57" t="n"/>
      <c r="W23" s="57" t="n"/>
      <c r="X23" s="57" t="n"/>
      <c r="Y23" s="57" t="n"/>
      <c r="Z23" s="57" t="n"/>
    </row>
    <row r="24" ht="72" customHeight="1" s="94">
      <c r="A24" s="83" t="n">
        <v>20</v>
      </c>
      <c r="B24" s="83" t="inlineStr">
        <is>
          <t>SC06</t>
        </is>
      </c>
      <c r="C24" s="82" t="inlineStr">
        <is>
          <t>P0</t>
        </is>
      </c>
      <c r="D24" s="83" t="inlineStr">
        <is>
          <t>06. Điều phối / container</t>
        </is>
      </c>
      <c r="E24" s="83" t="inlineStr">
        <is>
          <t>Nếu số cont sửa thành số đang thuộc một lượt container khác đang trong bãi, có cho lưu không?</t>
        </is>
      </c>
      <c r="F24" s="83" t="n"/>
      <c r="G24" s="83" t="n"/>
      <c r="H24" s="83" t="inlineStr">
        <is>
          <t>Câu hỏi mới từ phần nghiệp vụ phát sinh; chờ bạn trả lời.</t>
        </is>
      </c>
      <c r="I24" s="25" t="n"/>
      <c r="J24" s="25" t="inlineStr">
        <is>
          <t>Chờ bổ sung</t>
        </is>
      </c>
      <c r="K24" s="57" t="n"/>
      <c r="L24" s="57" t="n"/>
      <c r="M24" s="57" t="n"/>
      <c r="N24" s="57" t="n"/>
      <c r="O24" s="57" t="n"/>
      <c r="P24" s="57" t="n"/>
      <c r="Q24" s="57" t="n"/>
      <c r="R24" s="57" t="n"/>
      <c r="S24" s="57" t="n"/>
      <c r="T24" s="57" t="n"/>
      <c r="U24" s="57" t="n"/>
      <c r="V24" s="57" t="n"/>
      <c r="W24" s="57" t="n"/>
      <c r="X24" s="57" t="n"/>
      <c r="Y24" s="57" t="n"/>
      <c r="Z24" s="57" t="n"/>
    </row>
    <row r="25" ht="72" customHeight="1" s="94">
      <c r="A25" s="81" t="n">
        <v>21</v>
      </c>
      <c r="B25" s="81" t="inlineStr">
        <is>
          <t>SC08</t>
        </is>
      </c>
      <c r="C25" s="82" t="inlineStr">
        <is>
          <t>P0</t>
        </is>
      </c>
      <c r="D25" s="81" t="inlineStr">
        <is>
          <t>06. Điều phối / container</t>
        </is>
      </c>
      <c r="E25" s="81" t="inlineStr">
        <is>
          <t>Nếu đã cấp đủ điều kiện tài chính rồi phát hiện sai số cont, cần thu hồi duyệt xuất và kiểm tra lại phí không?</t>
        </is>
      </c>
      <c r="F25" s="81" t="n"/>
      <c r="G25" s="81" t="n"/>
      <c r="H25" s="81" t="inlineStr">
        <is>
          <t>Câu hỏi mới từ phần nghiệp vụ phát sinh; chờ bạn trả lời.</t>
        </is>
      </c>
      <c r="I25" s="25" t="n"/>
      <c r="J25" s="25" t="inlineStr">
        <is>
          <t>Chờ bổ sung</t>
        </is>
      </c>
      <c r="K25" s="57" t="n"/>
      <c r="L25" s="57" t="n"/>
      <c r="M25" s="57" t="n"/>
      <c r="N25" s="57" t="n"/>
      <c r="O25" s="57" t="n"/>
      <c r="P25" s="57" t="n"/>
      <c r="Q25" s="57" t="n"/>
      <c r="R25" s="57" t="n"/>
      <c r="S25" s="57" t="n"/>
      <c r="T25" s="57" t="n"/>
      <c r="U25" s="57" t="n"/>
      <c r="V25" s="57" t="n"/>
      <c r="W25" s="57" t="n"/>
      <c r="X25" s="57" t="n"/>
      <c r="Y25" s="57" t="n"/>
      <c r="Z25" s="57" t="n"/>
    </row>
    <row r="26" ht="72" customHeight="1" s="94">
      <c r="A26" s="83" t="n">
        <v>22</v>
      </c>
      <c r="B26" s="83" t="inlineStr">
        <is>
          <t>T03</t>
        </is>
      </c>
      <c r="C26" s="82" t="inlineStr">
        <is>
          <t>P0</t>
        </is>
      </c>
      <c r="D26" s="83" t="inlineStr">
        <is>
          <t>04. Thanh toán</t>
        </is>
      </c>
      <c r="E26" s="83" t="inlineStr">
        <is>
          <t>Xác nhận chuyển khoản dựa trên ảnh khách gửi hay bắt buộc kiểm tra tài khoản công ty thực nhận?</t>
        </is>
      </c>
      <c r="F26" s="83" t="inlineStr">
        <is>
          <t>A</t>
        </is>
      </c>
      <c r="G26" s="83" t="inlineStr">
        <is>
          <t>CCKB tự xác định tiền cắm còn Lưu đêm và vé vào thì an ninh</t>
        </is>
      </c>
      <c r="H26" s="83" t="inlineStr">
        <is>
          <t>G: CCKB kiểm tra tiền cắm, AN NINH nhận lưu đêm và vé; mâu thuẫn phân công CCKB thu phí lưu đã nói trước.</t>
        </is>
      </c>
      <c r="I26" s="25" t="n"/>
      <c r="J26" s="25" t="inlineStr">
        <is>
          <t>Chờ bổ sung</t>
        </is>
      </c>
      <c r="K26" s="57" t="n"/>
      <c r="L26" s="57" t="n"/>
      <c r="M26" s="57" t="n"/>
      <c r="N26" s="57" t="n"/>
      <c r="O26" s="57" t="n"/>
      <c r="P26" s="57" t="n"/>
      <c r="Q26" s="57" t="n"/>
      <c r="R26" s="57" t="n"/>
      <c r="S26" s="57" t="n"/>
      <c r="T26" s="57" t="n"/>
      <c r="U26" s="57" t="n"/>
      <c r="V26" s="57" t="n"/>
      <c r="W26" s="57" t="n"/>
      <c r="X26" s="57" t="n"/>
      <c r="Y26" s="57" t="n"/>
      <c r="Z26" s="57" t="n"/>
    </row>
    <row r="27" ht="72" customHeight="1" s="94">
      <c r="A27" s="81" t="n">
        <v>23</v>
      </c>
      <c r="B27" s="81" t="inlineStr">
        <is>
          <t>T08</t>
        </is>
      </c>
      <c r="C27" s="82" t="inlineStr">
        <is>
          <t>P0</t>
        </is>
      </c>
      <c r="D27" s="81" t="inlineStr">
        <is>
          <t>04. Thanh toán</t>
        </is>
      </c>
      <c r="E27" s="81" t="inlineStr">
        <is>
          <t>Có cho xuất container khi còn nợ phí hoặc đã gửi chứng từ nhưng chưa xác minh nhận tiền không?</t>
        </is>
      </c>
      <c r="F27" s="81" t="inlineStr">
        <is>
          <t>Khác</t>
        </is>
      </c>
      <c r="G27" s="81" t="inlineStr">
        <is>
          <t>CCKB sẽ xác nhận cho ra hay k và có thể báo cho ra nhưng tiền chưa thusex hiện cảnh báo, 1 là tự động nếu cckb đã điền đủ thanh toán và có cái xác nhận cho xe ra bằng tay mà tiền chưa ghi nhận</t>
        </is>
      </c>
      <c r="H27" s="81" t="inlineStr">
        <is>
          <t>Cho CCKB duyệt xuất khi chưa thu tiền bằng tay và cảnh báo; cần vai trò, lý do và xử lý khoản nợ sau ra.</t>
        </is>
      </c>
      <c r="I27" s="25" t="n"/>
      <c r="J27" s="25" t="inlineStr">
        <is>
          <t>Chờ bổ sung</t>
        </is>
      </c>
      <c r="K27" s="57" t="n"/>
      <c r="L27" s="57" t="n"/>
      <c r="M27" s="57" t="n"/>
      <c r="N27" s="57" t="n"/>
      <c r="O27" s="57" t="n"/>
      <c r="P27" s="57" t="n"/>
      <c r="Q27" s="57" t="n"/>
      <c r="R27" s="57" t="n"/>
      <c r="S27" s="57" t="n"/>
      <c r="T27" s="57" t="n"/>
      <c r="U27" s="57" t="n"/>
      <c r="V27" s="57" t="n"/>
      <c r="W27" s="57" t="n"/>
      <c r="X27" s="57" t="n"/>
      <c r="Y27" s="57" t="n"/>
      <c r="Z27" s="57" t="n"/>
    </row>
    <row r="28" ht="72" customHeight="1" s="94">
      <c r="A28" s="83" t="n">
        <v>24</v>
      </c>
      <c r="B28" s="83" t="inlineStr">
        <is>
          <t>T09</t>
        </is>
      </c>
      <c r="C28" s="82" t="inlineStr">
        <is>
          <t>P0</t>
        </is>
      </c>
      <c r="D28" s="83" t="inlineStr">
        <is>
          <t>04. Thanh toán</t>
        </is>
      </c>
      <c r="E28" s="83" t="inlineStr">
        <is>
          <t>Tại cổng ra, trạng thái tài chính hợp lệ có thời hạn bao lâu trước khi phải tính lại phí lưu?</t>
        </is>
      </c>
      <c r="F28" s="83" t="inlineStr">
        <is>
          <t>A</t>
        </is>
      </c>
      <c r="G28" s="83" t="inlineStr">
        <is>
          <t>Phí lưu chỉ có AN ninh tính tại lúc ra</t>
        </is>
      </c>
      <c r="H28" s="83" t="inlineStr">
        <is>
          <t>G: An ninh tính phí lưu khi ra, trong khi phân công CCKB tính/thu phí lưu. Đồng thời mâu thuẫn L04.</t>
        </is>
      </c>
      <c r="I28" s="25" t="n"/>
      <c r="J28" s="25" t="inlineStr">
        <is>
          <t>Chờ bổ sung</t>
        </is>
      </c>
      <c r="K28" s="57" t="n"/>
      <c r="L28" s="57" t="n"/>
      <c r="M28" s="57" t="n"/>
      <c r="N28" s="57" t="n"/>
      <c r="O28" s="57" t="n"/>
      <c r="P28" s="57" t="n"/>
      <c r="Q28" s="57" t="n"/>
      <c r="R28" s="57" t="n"/>
      <c r="S28" s="57" t="n"/>
      <c r="T28" s="57" t="n"/>
      <c r="U28" s="57" t="n"/>
      <c r="V28" s="57" t="n"/>
      <c r="W28" s="57" t="n"/>
      <c r="X28" s="57" t="n"/>
      <c r="Y28" s="57" t="n"/>
      <c r="Z28" s="57" t="n"/>
    </row>
    <row r="29" ht="72" customHeight="1" s="94">
      <c r="A29" s="81" t="n">
        <v>25</v>
      </c>
      <c r="B29" s="81" t="inlineStr">
        <is>
          <t>T12</t>
        </is>
      </c>
      <c r="C29" s="82" t="inlineStr">
        <is>
          <t>P0</t>
        </is>
      </c>
      <c r="D29" s="81" t="inlineStr">
        <is>
          <t>04. Thanh toán</t>
        </is>
      </c>
      <c r="E29" s="81" t="inlineStr">
        <is>
          <t>Khi có khách hàng thường xuyên: có quản lý hồ sơ khách, mã số thuế, công nợ/hóa đơn không?</t>
        </is>
      </c>
      <c r="F29" s="81" t="inlineStr">
        <is>
          <t>Không áp dụng</t>
        </is>
      </c>
      <c r="G29" s="81"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29" s="81" t="inlineStr">
        <is>
          <t>Chọn Không áp dụng nhưng G yêu cầu nhập thông tin lái xe/công ty để phục vụ hóa đơn; Kế toán phát triển sau. Cần tách V1/V2.</t>
        </is>
      </c>
      <c r="I29" s="25" t="n"/>
      <c r="J29" s="25" t="inlineStr">
        <is>
          <t>Chờ bổ sung</t>
        </is>
      </c>
      <c r="K29" s="57" t="n"/>
      <c r="L29" s="57" t="n"/>
      <c r="M29" s="57" t="n"/>
      <c r="N29" s="57" t="n"/>
      <c r="O29" s="57" t="n"/>
      <c r="P29" s="57" t="n"/>
      <c r="Q29" s="57" t="n"/>
      <c r="R29" s="57" t="n"/>
      <c r="S29" s="57" t="n"/>
      <c r="T29" s="57" t="n"/>
      <c r="U29" s="57" t="n"/>
      <c r="V29" s="57" t="n"/>
      <c r="W29" s="57" t="n"/>
      <c r="X29" s="57" t="n"/>
      <c r="Y29" s="57" t="n"/>
      <c r="Z29" s="57" t="n"/>
    </row>
    <row r="30" ht="72" customHeight="1" s="94">
      <c r="A30" s="83" t="n">
        <v>26</v>
      </c>
      <c r="B30" s="83" t="inlineStr">
        <is>
          <t>T15</t>
        </is>
      </c>
      <c r="C30" s="82" t="inlineStr">
        <is>
          <t>P0</t>
        </is>
      </c>
      <c r="D30" s="83" t="inlineStr">
        <is>
          <t>04. Thanh toán</t>
        </is>
      </c>
      <c r="E30" s="83" t="inlineStr">
        <is>
          <t>Sau khi CCKB đã cấp đủ điều kiện thanh toán, An ninh phát hiện sai số cont/biển số: có quyền hủy xác nhận và gửi duyệt lại không?</t>
        </is>
      </c>
      <c r="F30" s="83" t="inlineStr">
        <is>
          <t>Không áp dụng</t>
        </is>
      </c>
      <c r="G30" s="83" t="n"/>
      <c r="H30" s="83" t="inlineStr">
        <is>
          <t>F=Không áp dụng việc thu hồi duyệt khi phát hiện sai cont; SC08 cần cơ chế xử lý khi sai cont sau duyệt.</t>
        </is>
      </c>
      <c r="I30" s="25" t="n"/>
      <c r="J30" s="25" t="inlineStr">
        <is>
          <t>Chờ bổ sung</t>
        </is>
      </c>
      <c r="K30" s="57" t="n"/>
      <c r="L30" s="57" t="n"/>
      <c r="M30" s="57" t="n"/>
      <c r="N30" s="57" t="n"/>
      <c r="O30" s="57" t="n"/>
      <c r="P30" s="57" t="n"/>
      <c r="Q30" s="57" t="n"/>
      <c r="R30" s="57" t="n"/>
      <c r="S30" s="57" t="n"/>
      <c r="T30" s="57" t="n"/>
      <c r="U30" s="57" t="n"/>
      <c r="V30" s="57" t="n"/>
      <c r="W30" s="57" t="n"/>
      <c r="X30" s="57" t="n"/>
      <c r="Y30" s="57" t="n"/>
      <c r="Z30" s="57" t="n"/>
    </row>
    <row r="31" ht="72" customHeight="1" s="94">
      <c r="A31" s="81" t="n">
        <v>27</v>
      </c>
      <c r="B31" s="81" t="inlineStr">
        <is>
          <t>V02</t>
        </is>
      </c>
      <c r="C31" s="82" t="inlineStr">
        <is>
          <t>P0</t>
        </is>
      </c>
      <c r="D31" s="81" t="inlineStr">
        <is>
          <t>01. Vé xe / cổng</t>
        </is>
      </c>
      <c r="E31" s="81" t="inlineStr">
        <is>
          <t>Vé vào có bắt buộc thu ngay trước khi cho xe qua cổng vào, hay được phép ghi Chưa thu để bổ sung sau?</t>
        </is>
      </c>
      <c r="F31" s="81" t="inlineStr">
        <is>
          <t>A</t>
        </is>
      </c>
      <c r="G31" s="81" t="inlineStr">
        <is>
          <t>Nhưng cũng có trường họp thu sau(ít)</t>
        </is>
      </c>
      <c r="H31" s="81" t="inlineStr">
        <is>
          <t>Thu vé ngay là mặc định, nhưng ghi chú cho phép thu sau (ít). Cần xác định ai cho phép và cách báo Chưa thu.</t>
        </is>
      </c>
      <c r="I31" s="25" t="n"/>
      <c r="J31" s="25" t="inlineStr">
        <is>
          <t>Chờ bổ sung</t>
        </is>
      </c>
      <c r="K31" s="57" t="n"/>
      <c r="L31" s="57" t="n"/>
      <c r="M31" s="57" t="n"/>
      <c r="N31" s="57" t="n"/>
      <c r="O31" s="57" t="n"/>
      <c r="P31" s="57" t="n"/>
      <c r="Q31" s="57" t="n"/>
      <c r="R31" s="57" t="n"/>
      <c r="S31" s="57" t="n"/>
      <c r="T31" s="57" t="n"/>
      <c r="U31" s="57" t="n"/>
      <c r="V31" s="57" t="n"/>
      <c r="W31" s="57" t="n"/>
      <c r="X31" s="57" t="n"/>
      <c r="Y31" s="57" t="n"/>
      <c r="Z31" s="57" t="n"/>
    </row>
    <row r="32" ht="72" customHeight="1" s="94">
      <c r="A32" s="83" t="n">
        <v>28</v>
      </c>
      <c r="B32" s="83" t="inlineStr">
        <is>
          <t>V04</t>
        </is>
      </c>
      <c r="C32" s="82" t="inlineStr">
        <is>
          <t>P0</t>
        </is>
      </c>
      <c r="D32" s="83" t="inlineStr">
        <is>
          <t>01. Vé xe / cổng</t>
        </is>
      </c>
      <c r="E32" s="83" t="inlineStr">
        <is>
          <t>Xe bo ba bánh không có biển số được phân biệt lượt bằng mã vé; có cần thêm tên lái xe/đặc điểm xe/ảnh xe không?</t>
        </is>
      </c>
      <c r="F32" s="83" t="inlineStr">
        <is>
          <t>A</t>
        </is>
      </c>
      <c r="G32" s="83" t="inlineStr">
        <is>
          <t>chỉ sinh cũng được nhưng đến lúc ra cũng chịu à, hoặc có thể sinh mã r điền vào vé thôi</t>
        </is>
      </c>
      <c r="H32" s="83" t="inlineStr">
        <is>
          <t>Không có biển số; người dùng lo không biết đối chiếu khi ra. Cần quy trình mã vé/tìm lượt.</t>
        </is>
      </c>
      <c r="I32" s="25" t="n"/>
      <c r="J32" s="25" t="inlineStr">
        <is>
          <t>Chờ bổ sung</t>
        </is>
      </c>
      <c r="K32" s="57" t="n"/>
      <c r="L32" s="57" t="n"/>
      <c r="M32" s="57" t="n"/>
      <c r="N32" s="57" t="n"/>
      <c r="O32" s="57" t="n"/>
      <c r="P32" s="57" t="n"/>
      <c r="Q32" s="57" t="n"/>
      <c r="R32" s="57" t="n"/>
      <c r="S32" s="57" t="n"/>
      <c r="T32" s="57" t="n"/>
      <c r="U32" s="57" t="n"/>
      <c r="V32" s="57" t="n"/>
      <c r="W32" s="57" t="n"/>
      <c r="X32" s="57" t="n"/>
      <c r="Y32" s="57" t="n"/>
      <c r="Z32" s="57" t="n"/>
    </row>
    <row r="33" ht="72" customHeight="1" s="94">
      <c r="A33" s="81" t="n">
        <v>29</v>
      </c>
      <c r="B33" s="81" t="inlineStr">
        <is>
          <t>V09</t>
        </is>
      </c>
      <c r="C33" s="82" t="inlineStr">
        <is>
          <t>P0</t>
        </is>
      </c>
      <c r="D33" s="81" t="inlineStr">
        <is>
          <t>01. Vé xe / cổng</t>
        </is>
      </c>
      <c r="E33" s="81" t="inlineStr">
        <is>
          <t>Khi xe vào có kéo container, được phép nhập số container tạm/chưa rõ chính xác hay luôn bắt buộc số hợp lệ?</t>
        </is>
      </c>
      <c r="F33" s="81" t="inlineStr">
        <is>
          <t>A</t>
        </is>
      </c>
      <c r="G33" s="81" t="n"/>
      <c r="H33" s="81" t="inlineStr">
        <is>
          <t>Chọn số container chính xác khi vào, nhưng nghiệp vụ thực tế thường nhập nhầm; cần cơ chế sửa có lịch sử và đối chiếu.</t>
        </is>
      </c>
      <c r="I33" s="25" t="n"/>
      <c r="J33" s="25" t="inlineStr">
        <is>
          <t>Chờ bổ sung</t>
        </is>
      </c>
      <c r="K33" s="57" t="n"/>
      <c r="L33" s="57" t="n"/>
      <c r="M33" s="57" t="n"/>
      <c r="N33" s="57" t="n"/>
      <c r="O33" s="57" t="n"/>
      <c r="P33" s="57" t="n"/>
      <c r="Q33" s="57" t="n"/>
      <c r="R33" s="57" t="n"/>
      <c r="S33" s="57" t="n"/>
      <c r="T33" s="57" t="n"/>
      <c r="U33" s="57" t="n"/>
      <c r="V33" s="57" t="n"/>
      <c r="W33" s="57" t="n"/>
      <c r="X33" s="57" t="n"/>
      <c r="Y33" s="57" t="n"/>
      <c r="Z33" s="57" t="n"/>
    </row>
    <row r="34" ht="72" customHeight="1" s="94">
      <c r="A34" s="83" t="n">
        <v>30</v>
      </c>
      <c r="B34" s="83" t="inlineStr">
        <is>
          <t>V12</t>
        </is>
      </c>
      <c r="C34" s="82" t="inlineStr">
        <is>
          <t>P0</t>
        </is>
      </c>
      <c r="D34" s="83" t="inlineStr">
        <is>
          <t>01. Vé xe / cổng</t>
        </is>
      </c>
      <c r="E34" s="83" t="inlineStr">
        <is>
          <t>Sửa GIO_VAO/GIO_RA, biển số hoặc loại xe: ai được sửa, giới hạn thời gian và cần bằng chứng gì?</t>
        </is>
      </c>
      <c r="F34" s="83" t="inlineStr">
        <is>
          <t>C</t>
        </is>
      </c>
      <c r="G34" s="83" t="inlineStr">
        <is>
          <t>cho phép sửa linh hoạt nhưng có log</t>
        </is>
      </c>
      <c r="H34" s="83" t="inlineStr">
        <is>
          <t>F=C (mọi sửa qua TBP) nhưng G=cho sửa linh hoạt, có log; cần chốt quyền riêng trước và sau khi xe đã ra.</t>
        </is>
      </c>
      <c r="I34" s="25" t="n"/>
      <c r="J34" s="25" t="inlineStr">
        <is>
          <t>Chờ bổ sung</t>
        </is>
      </c>
      <c r="K34" s="57" t="n"/>
      <c r="L34" s="57" t="n"/>
      <c r="M34" s="57" t="n"/>
      <c r="N34" s="57" t="n"/>
      <c r="O34" s="57" t="n"/>
      <c r="P34" s="57" t="n"/>
      <c r="Q34" s="57" t="n"/>
      <c r="R34" s="57" t="n"/>
      <c r="S34" s="57" t="n"/>
      <c r="T34" s="57" t="n"/>
      <c r="U34" s="57" t="n"/>
      <c r="V34" s="57" t="n"/>
      <c r="W34" s="57" t="n"/>
      <c r="X34" s="57" t="n"/>
      <c r="Y34" s="57" t="n"/>
      <c r="Z34" s="57" t="n"/>
    </row>
    <row r="35" ht="72" customHeight="1" s="94">
      <c r="A35" s="81" t="n">
        <v>31</v>
      </c>
      <c r="B35" s="81" t="inlineStr">
        <is>
          <t>D02</t>
        </is>
      </c>
      <c r="C35" s="81" t="inlineStr">
        <is>
          <t>P1</t>
        </is>
      </c>
      <c r="D35" s="81" t="inlineStr">
        <is>
          <t>06. Điều phối / container</t>
        </is>
      </c>
      <c r="E35" s="81" t="inlineStr">
        <is>
          <t>Nếu Điều phối thay đổi HÀNG thành RỖNG (hoặc ngược lại), có cần ghi lý do/người xác nhận không?</t>
        </is>
      </c>
      <c r="F35" s="81" t="inlineStr">
        <is>
          <t>A</t>
        </is>
      </c>
      <c r="G35" s="81" t="inlineStr">
        <is>
          <t>ghi lí do k bắt bược</t>
        </is>
      </c>
      <c r="H35" s="81" t="inlineStr">
        <is>
          <t>F=A ghi lý do nhưng G nói không bắt buộc. Chốt việc đổi HÀNG/RỖNG có bắt buộc lý do hay chỉ lưu audit.</t>
        </is>
      </c>
      <c r="I35" s="25" t="n"/>
      <c r="J35" s="25" t="inlineStr">
        <is>
          <t>Chờ bổ sung</t>
        </is>
      </c>
      <c r="K35" s="57" t="n"/>
      <c r="L35" s="57" t="n"/>
      <c r="M35" s="57" t="n"/>
      <c r="N35" s="57" t="n"/>
      <c r="O35" s="57" t="n"/>
      <c r="P35" s="57" t="n"/>
      <c r="Q35" s="57" t="n"/>
      <c r="R35" s="57" t="n"/>
      <c r="S35" s="57" t="n"/>
      <c r="T35" s="57" t="n"/>
      <c r="U35" s="57" t="n"/>
      <c r="V35" s="57" t="n"/>
      <c r="W35" s="57" t="n"/>
      <c r="X35" s="57" t="n"/>
      <c r="Y35" s="57" t="n"/>
      <c r="Z35" s="57" t="n"/>
    </row>
    <row r="36" ht="72" customHeight="1" s="94">
      <c r="A36" s="83" t="n">
        <v>32</v>
      </c>
      <c r="B36" s="83" t="inlineStr">
        <is>
          <t>E02</t>
        </is>
      </c>
      <c r="C36" s="83" t="inlineStr">
        <is>
          <t>P1</t>
        </is>
      </c>
      <c r="D36" s="83" t="inlineStr">
        <is>
          <t>03. Cắm/rút điện</t>
        </is>
      </c>
      <c r="E36" s="83" t="inlineStr">
        <is>
          <t>Trường hợp khách yêu cầu cắm/rút trực tiếp với An ninh mà chưa báo CCKB: xử lý nhập và xác minh ra sao?</t>
        </is>
      </c>
      <c r="F36" s="83" t="inlineStr">
        <is>
          <t>Khác</t>
        </is>
      </c>
      <c r="G36" s="83" t="inlineStr">
        <is>
          <t>A và B</t>
        </is>
      </c>
      <c r="H36" s="83" t="inlineStr">
        <is>
          <t>G=A và B: yêu cầu khách đi thẳng tới An ninh, vừa cho làm trước vừa muốn chờ CCKB; cần luồng ngoại lệ rõ.</t>
        </is>
      </c>
      <c r="I36" s="25" t="n"/>
      <c r="J36" s="25" t="inlineStr">
        <is>
          <t>Chờ bổ sung</t>
        </is>
      </c>
      <c r="K36" s="57" t="n"/>
      <c r="L36" s="57" t="n"/>
      <c r="M36" s="57" t="n"/>
      <c r="N36" s="57" t="n"/>
      <c r="O36" s="57" t="n"/>
      <c r="P36" s="57" t="n"/>
      <c r="Q36" s="57" t="n"/>
      <c r="R36" s="57" t="n"/>
      <c r="S36" s="57" t="n"/>
      <c r="T36" s="57" t="n"/>
      <c r="U36" s="57" t="n"/>
      <c r="V36" s="57" t="n"/>
      <c r="W36" s="57" t="n"/>
      <c r="X36" s="57" t="n"/>
      <c r="Y36" s="57" t="n"/>
      <c r="Z36" s="57" t="n"/>
    </row>
    <row r="37" ht="72" customHeight="1" s="94">
      <c r="A37" s="81" t="n">
        <v>33</v>
      </c>
      <c r="B37" s="81" t="inlineStr">
        <is>
          <t>E03</t>
        </is>
      </c>
      <c r="C37" s="81" t="inlineStr">
        <is>
          <t>P1</t>
        </is>
      </c>
      <c r="D37" s="81" t="inlineStr">
        <is>
          <t>03. Cắm/rút điện</t>
        </is>
      </c>
      <c r="E37" s="81" t="inlineStr">
        <is>
          <t>Hình thức Theo giờ và Cắm liên tục có khác nhau ở cách vận hành/thanh toán hay hiện chỉ khác danh mục yêu cầu?</t>
        </is>
      </c>
      <c r="F37" s="81" t="inlineStr">
        <is>
          <t>A</t>
        </is>
      </c>
      <c r="G37" s="81" t="inlineStr">
        <is>
          <t>CHỉ khác là 1 cái biết giờ rút 1 cái chưa</t>
        </is>
      </c>
      <c r="H37" s="81" t="inlineStr">
        <is>
          <t>G xác định theo giờ biết giờ rút dự kiến, liên tục chưa biết; trước đó form không yêu cầu giờ rút dự kiến. Cần là trường tùy chọn.</t>
        </is>
      </c>
      <c r="I37" s="25" t="n"/>
      <c r="J37" s="25" t="inlineStr">
        <is>
          <t>Chờ bổ sung</t>
        </is>
      </c>
      <c r="K37" s="57" t="n"/>
      <c r="L37" s="57" t="n"/>
      <c r="M37" s="57" t="n"/>
      <c r="N37" s="57" t="n"/>
      <c r="O37" s="57" t="n"/>
      <c r="P37" s="57" t="n"/>
      <c r="Q37" s="57" t="n"/>
      <c r="R37" s="57" t="n"/>
      <c r="S37" s="57" t="n"/>
      <c r="T37" s="57" t="n"/>
      <c r="U37" s="57" t="n"/>
      <c r="V37" s="57" t="n"/>
      <c r="W37" s="57" t="n"/>
      <c r="X37" s="57" t="n"/>
      <c r="Y37" s="57" t="n"/>
      <c r="Z37" s="57" t="n"/>
    </row>
    <row r="38" ht="72" customHeight="1" s="94">
      <c r="A38" s="83" t="n">
        <v>34</v>
      </c>
      <c r="B38" s="83" t="inlineStr">
        <is>
          <t>E10</t>
        </is>
      </c>
      <c r="C38" s="83" t="inlineStr">
        <is>
          <t>P1</t>
        </is>
      </c>
      <c r="D38" s="83" t="inlineStr">
        <is>
          <t>03. Cắm/rút điện</t>
        </is>
      </c>
      <c r="E38" s="83" t="inlineStr">
        <is>
          <t>Phiên cắm ngắn dưới 15 phút hoặc vô tình cắm 0 phút: tính tối thiểu 15 phút khi có cắm thực tế không?</t>
        </is>
      </c>
      <c r="F38" s="83" t="inlineStr">
        <is>
          <t>Khác</t>
        </is>
      </c>
      <c r="G38" s="83" t="inlineStr">
        <is>
          <t>Hieện tại CCKB tự làm tròn</t>
        </is>
      </c>
      <c r="H38" s="83" t="inlineStr">
        <is>
          <t>G: CCKB tự làm tròn; chưa khóa khoản phí tối thiểu cho phiên ngắn dưới 15 phút và 0 phút.</t>
        </is>
      </c>
      <c r="I38" s="25" t="n"/>
      <c r="J38" s="25" t="inlineStr">
        <is>
          <t>Chờ bổ sung</t>
        </is>
      </c>
      <c r="K38" s="57" t="n"/>
      <c r="L38" s="57" t="n"/>
      <c r="M38" s="57" t="n"/>
      <c r="N38" s="57" t="n"/>
      <c r="O38" s="57" t="n"/>
      <c r="P38" s="57" t="n"/>
      <c r="Q38" s="57" t="n"/>
      <c r="R38" s="57" t="n"/>
      <c r="S38" s="57" t="n"/>
      <c r="T38" s="57" t="n"/>
      <c r="U38" s="57" t="n"/>
      <c r="V38" s="57" t="n"/>
      <c r="W38" s="57" t="n"/>
      <c r="X38" s="57" t="n"/>
      <c r="Y38" s="57" t="n"/>
      <c r="Z38" s="57" t="n"/>
    </row>
    <row r="39" ht="72" customHeight="1" s="94">
      <c r="A39" s="81" t="n">
        <v>35</v>
      </c>
      <c r="B39" s="81" t="inlineStr">
        <is>
          <t>E13</t>
        </is>
      </c>
      <c r="C39" s="81" t="inlineStr">
        <is>
          <t>P1</t>
        </is>
      </c>
      <c r="D39" s="81" t="inlineStr">
        <is>
          <t>03. Cắm/rút điện</t>
        </is>
      </c>
      <c r="E39" s="81" t="inlineStr">
        <is>
          <t>Khi cập nhật giá điện trong lúc phiên cắm đang chạy: giữ giá lúc bắt đầu hay áp giá mới khi rút?</t>
        </is>
      </c>
      <c r="F39" s="81" t="inlineStr">
        <is>
          <t>B</t>
        </is>
      </c>
      <c r="G39" s="81" t="inlineStr">
        <is>
          <t>tùy A và B</t>
        </is>
      </c>
      <c r="H39" s="81" t="inlineStr">
        <is>
          <t>F=B tính giá mới khi rút, nhưng G “tùy A và B”; cần chính sách mặc định theo phiên và lựa chọn điều chỉnh giá.</t>
        </is>
      </c>
      <c r="I39" s="25" t="n"/>
      <c r="J39" s="25" t="inlineStr">
        <is>
          <t>Chờ bổ sung</t>
        </is>
      </c>
      <c r="K39" s="57" t="n"/>
      <c r="L39" s="57" t="n"/>
      <c r="M39" s="57" t="n"/>
      <c r="N39" s="57" t="n"/>
      <c r="O39" s="57" t="n"/>
      <c r="P39" s="57" t="n"/>
      <c r="Q39" s="57" t="n"/>
      <c r="R39" s="57" t="n"/>
      <c r="S39" s="57" t="n"/>
      <c r="T39" s="57" t="n"/>
      <c r="U39" s="57" t="n"/>
      <c r="V39" s="57" t="n"/>
      <c r="W39" s="57" t="n"/>
      <c r="X39" s="57" t="n"/>
      <c r="Y39" s="57" t="n"/>
      <c r="Z39" s="57" t="n"/>
    </row>
    <row r="40" ht="72" customHeight="1" s="94">
      <c r="A40" s="83" t="n">
        <v>36</v>
      </c>
      <c r="B40" s="83" t="inlineStr">
        <is>
          <t>INV02</t>
        </is>
      </c>
      <c r="C40" s="83" t="inlineStr">
        <is>
          <t>P1</t>
        </is>
      </c>
      <c r="D40" s="83" t="inlineStr">
        <is>
          <t>04. Thanh toán</t>
        </is>
      </c>
      <c r="E40" s="83" t="inlineStr">
        <is>
          <t>V1 cần chuyển yêu cầu xuất hóa đơn sang Kế toán và thống kê báo cáo hay chỉ lưu thông tin để làm sau?</t>
        </is>
      </c>
      <c r="F40" s="83" t="n"/>
      <c r="G40" s="83" t="n"/>
      <c r="H40" s="83" t="inlineStr">
        <is>
          <t>Câu hỏi mới từ phần nghiệp vụ phát sinh; chờ bạn trả lời.</t>
        </is>
      </c>
      <c r="I40" s="25" t="n"/>
      <c r="J40" s="25" t="inlineStr">
        <is>
          <t>Chờ bổ sung</t>
        </is>
      </c>
      <c r="K40" s="57" t="n"/>
      <c r="L40" s="57" t="n"/>
      <c r="M40" s="57" t="n"/>
      <c r="N40" s="57" t="n"/>
      <c r="O40" s="57" t="n"/>
      <c r="P40" s="57" t="n"/>
      <c r="Q40" s="57" t="n"/>
      <c r="R40" s="57" t="n"/>
      <c r="S40" s="57" t="n"/>
      <c r="T40" s="57" t="n"/>
      <c r="U40" s="57" t="n"/>
      <c r="V40" s="57" t="n"/>
      <c r="W40" s="57" t="n"/>
      <c r="X40" s="57" t="n"/>
      <c r="Y40" s="57" t="n"/>
      <c r="Z40" s="57" t="n"/>
    </row>
    <row r="41" ht="72" customHeight="1" s="94">
      <c r="A41" s="81" t="n">
        <v>37</v>
      </c>
      <c r="B41" s="81" t="inlineStr">
        <is>
          <t>K04</t>
        </is>
      </c>
      <c r="C41" s="81" t="inlineStr">
        <is>
          <t>P1</t>
        </is>
      </c>
      <c r="D41" s="81" t="inlineStr">
        <is>
          <t>08. Kỹ thuật / bảo mật</t>
        </is>
      </c>
      <c r="E41" s="81" t="inlineStr">
        <is>
          <t>PWA dùng điện thoại cá nhân hay thiết bị công ty? Có yêu cầu camera chụp chứng từ/quét QR số container không?</t>
        </is>
      </c>
      <c r="F41" s="81" t="inlineStr">
        <is>
          <t>A</t>
        </is>
      </c>
      <c r="G41" s="81" t="inlineStr">
        <is>
          <t>A và B</t>
        </is>
      </c>
      <c r="H41" s="81" t="inlineStr">
        <is>
          <t>F=A, G=A và B: hỗ trợ điện thoại/PC và cả thiết bị công ty; cần phân biệt cấu hình ưu tiên.</t>
        </is>
      </c>
      <c r="I41" s="25" t="n"/>
      <c r="J41" s="25" t="inlineStr">
        <is>
          <t>Chờ bổ sung</t>
        </is>
      </c>
      <c r="K41" s="57" t="n"/>
      <c r="L41" s="57" t="n"/>
      <c r="M41" s="57" t="n"/>
      <c r="N41" s="57" t="n"/>
      <c r="O41" s="57" t="n"/>
      <c r="P41" s="57" t="n"/>
      <c r="Q41" s="57" t="n"/>
      <c r="R41" s="57" t="n"/>
      <c r="S41" s="57" t="n"/>
      <c r="T41" s="57" t="n"/>
      <c r="U41" s="57" t="n"/>
      <c r="V41" s="57" t="n"/>
      <c r="W41" s="57" t="n"/>
      <c r="X41" s="57" t="n"/>
      <c r="Y41" s="57" t="n"/>
      <c r="Z41" s="57" t="n"/>
    </row>
    <row r="42" ht="72" customHeight="1" s="94">
      <c r="A42" s="83" t="n">
        <v>38</v>
      </c>
      <c r="B42" s="83" t="inlineStr">
        <is>
          <t>K06</t>
        </is>
      </c>
      <c r="C42" s="83" t="inlineStr">
        <is>
          <t>P1</t>
        </is>
      </c>
      <c r="D42" s="83" t="inlineStr">
        <is>
          <t>08. Kỹ thuật / bảo mật</t>
        </is>
      </c>
      <c r="E42" s="83" t="inlineStr">
        <is>
          <t>Ảnh thu tiền và chứng từ cần lưu bao lâu, dung lượng giới hạn, ai có quyền xem/xóa?</t>
        </is>
      </c>
      <c r="F42" s="83" t="inlineStr">
        <is>
          <t>A</t>
        </is>
      </c>
      <c r="G42" s="83" t="inlineStr">
        <is>
          <t>Chưa áp dụng, lưu trên đâu đó free, cloudflrae R2 10G</t>
        </is>
      </c>
      <c r="H42" s="83" t="inlineStr">
        <is>
          <t>G: “chưa áp dụng”, muốn lưu rẻ/miễn phí, gợi ý Cloudflare R2 10GB; thời gian giữ file và quota còn mở.</t>
        </is>
      </c>
      <c r="I42" s="25" t="n"/>
      <c r="J42" s="25" t="inlineStr">
        <is>
          <t>Chờ bổ sung</t>
        </is>
      </c>
      <c r="K42" s="57" t="n"/>
      <c r="L42" s="57" t="n"/>
      <c r="M42" s="57" t="n"/>
      <c r="N42" s="57" t="n"/>
      <c r="O42" s="57" t="n"/>
      <c r="P42" s="57" t="n"/>
      <c r="Q42" s="57" t="n"/>
      <c r="R42" s="57" t="n"/>
      <c r="S42" s="57" t="n"/>
      <c r="T42" s="57" t="n"/>
      <c r="U42" s="57" t="n"/>
      <c r="V42" s="57" t="n"/>
      <c r="W42" s="57" t="n"/>
      <c r="X42" s="57" t="n"/>
      <c r="Y42" s="57" t="n"/>
      <c r="Z42" s="57" t="n"/>
    </row>
    <row r="43" ht="72" customHeight="1" s="94">
      <c r="A43" s="81" t="n">
        <v>39</v>
      </c>
      <c r="B43" s="81" t="inlineStr">
        <is>
          <t>L06</t>
        </is>
      </c>
      <c r="C43" s="81" t="inlineStr">
        <is>
          <t>P1</t>
        </is>
      </c>
      <c r="D43" s="81" t="inlineStr">
        <is>
          <t>02. Lưu container</t>
        </is>
      </c>
      <c r="E43" s="81" t="inlineStr">
        <is>
          <t>Ai được sửa GIO_CONT_VAO/GIO_CONT_RA khi nhập muộn hoặc phát hiện sai? Việc sửa đã thu cần xử lý ra sao?</t>
        </is>
      </c>
      <c r="F43" s="81" t="inlineStr">
        <is>
          <t>A</t>
        </is>
      </c>
      <c r="G43" s="81" t="inlineStr">
        <is>
          <t>A và B luôn</t>
        </is>
      </c>
      <c r="H43" s="81" t="inlineStr">
        <is>
          <t>G=A và B: NV đề xuất/TBP duyệt hoặc TBP sửa trực tiếp; cần tách quyền theo trạng thái đã thu/chưa thu.</t>
        </is>
      </c>
      <c r="I43" s="25" t="n"/>
      <c r="J43" s="25" t="inlineStr">
        <is>
          <t>Chờ bổ sung</t>
        </is>
      </c>
      <c r="K43" s="57" t="n"/>
      <c r="L43" s="57" t="n"/>
      <c r="M43" s="57" t="n"/>
      <c r="N43" s="57" t="n"/>
      <c r="O43" s="57" t="n"/>
      <c r="P43" s="57" t="n"/>
      <c r="Q43" s="57" t="n"/>
      <c r="R43" s="57" t="n"/>
      <c r="S43" s="57" t="n"/>
      <c r="T43" s="57" t="n"/>
      <c r="U43" s="57" t="n"/>
      <c r="V43" s="57" t="n"/>
      <c r="W43" s="57" t="n"/>
      <c r="X43" s="57" t="n"/>
      <c r="Y43" s="57" t="n"/>
      <c r="Z43" s="57" t="n"/>
    </row>
    <row r="44" ht="72" customHeight="1" s="94">
      <c r="A44" s="83" t="n">
        <v>40</v>
      </c>
      <c r="B44" s="83" t="inlineStr">
        <is>
          <t>L09</t>
        </is>
      </c>
      <c r="C44" s="83" t="inlineStr">
        <is>
          <t>P1</t>
        </is>
      </c>
      <c r="D44" s="83" t="inlineStr">
        <is>
          <t>02. Lưu container</t>
        </is>
      </c>
      <c r="E44" s="83" t="inlineStr">
        <is>
          <t>Đơn giá phí lưu khi thay PRICE_LIST trong thời gian một container đang lưu: giữ giá lúc vào hay áp dụng theo từng kỳ ngày?</t>
        </is>
      </c>
      <c r="F44" s="83" t="inlineStr">
        <is>
          <t>B</t>
        </is>
      </c>
      <c r="G44" s="83" t="inlineStr">
        <is>
          <t xml:space="preserve">Cái này khó nhỉ? A và B đi cho linh hoạt </t>
        </is>
      </c>
      <c r="H44" s="83" t="inlineStr">
        <is>
          <t>F=B tính giá theo từng đêm nhưng G muốn cả A và B linh hoạt; cần chính sách mặc định và ngoại lệ theo quyền.</t>
        </is>
      </c>
      <c r="I44" s="25" t="n"/>
      <c r="J44" s="25" t="inlineStr">
        <is>
          <t>Chờ bổ sung</t>
        </is>
      </c>
      <c r="K44" s="57" t="n"/>
      <c r="L44" s="57" t="n"/>
      <c r="M44" s="57" t="n"/>
      <c r="N44" s="57" t="n"/>
      <c r="O44" s="57" t="n"/>
      <c r="P44" s="57" t="n"/>
      <c r="Q44" s="57" t="n"/>
      <c r="R44" s="57" t="n"/>
      <c r="S44" s="57" t="n"/>
      <c r="T44" s="57" t="n"/>
      <c r="U44" s="57" t="n"/>
      <c r="V44" s="57" t="n"/>
      <c r="W44" s="57" t="n"/>
      <c r="X44" s="57" t="n"/>
      <c r="Y44" s="57" t="n"/>
      <c r="Z44" s="57" t="n"/>
    </row>
    <row r="45" ht="72" customHeight="1" s="94">
      <c r="A45" s="81" t="n">
        <v>41</v>
      </c>
      <c r="B45" s="81" t="inlineStr">
        <is>
          <t>M08</t>
        </is>
      </c>
      <c r="C45" s="81" t="inlineStr">
        <is>
          <t>P1</t>
        </is>
      </c>
      <c r="D45" s="81" t="inlineStr">
        <is>
          <t>09. Chuyển dữ liệu</t>
        </is>
      </c>
      <c r="E45" s="81" t="inlineStr">
        <is>
          <t>Dữ liệu cắm điện AppSheet trước đây có nhập vào PWA cùng lúc không, hay triển khai riêng từ ngày vận hành mới?</t>
        </is>
      </c>
      <c r="F45" s="81" t="inlineStr">
        <is>
          <t>Khác</t>
        </is>
      </c>
      <c r="G45" s="81" t="inlineStr">
        <is>
          <t>CHưa có những sẽ chuyneenr 1 số cái tồn</t>
        </is>
      </c>
      <c r="H45" s="81" t="inlineStr">
        <is>
          <t>G: chưa có nhiều dữ liệu điện, sẽ chuyển một số phiên đang tồn; cần tiêu chí nhận diện các phiên phải chuyển.</t>
        </is>
      </c>
      <c r="I45" s="25" t="n"/>
      <c r="J45" s="25" t="inlineStr">
        <is>
          <t>Chờ bổ sung</t>
        </is>
      </c>
      <c r="K45" s="57" t="n"/>
      <c r="L45" s="57" t="n"/>
      <c r="M45" s="57" t="n"/>
      <c r="N45" s="57" t="n"/>
      <c r="O45" s="57" t="n"/>
      <c r="P45" s="57" t="n"/>
      <c r="Q45" s="57" t="n"/>
      <c r="R45" s="57" t="n"/>
      <c r="S45" s="57" t="n"/>
      <c r="T45" s="57" t="n"/>
      <c r="U45" s="57" t="n"/>
      <c r="V45" s="57" t="n"/>
      <c r="W45" s="57" t="n"/>
      <c r="X45" s="57" t="n"/>
      <c r="Y45" s="57" t="n"/>
      <c r="Z45" s="57" t="n"/>
    </row>
    <row r="46" ht="72" customHeight="1" s="94">
      <c r="A46" s="83" t="n">
        <v>42</v>
      </c>
      <c r="B46" s="83" t="inlineStr">
        <is>
          <t>P01</t>
        </is>
      </c>
      <c r="C46" s="83" t="inlineStr">
        <is>
          <t>P1</t>
        </is>
      </c>
      <c r="D46" s="83" t="inlineStr">
        <is>
          <t>05. Phân quyền</t>
        </is>
      </c>
      <c r="E46" s="83" t="inlineStr">
        <is>
          <t>Các vai trò chính xác cần tạo là 6 vai trò NV/TBP của 3 bộ phận + Quản trị, hay bổ sung Nhà cân/Kế toán?</t>
        </is>
      </c>
      <c r="F46" s="83" t="inlineStr">
        <is>
          <t>C</t>
        </is>
      </c>
      <c r="G46" s="83" t="n"/>
      <c r="H46" s="83" t="inlineStr">
        <is>
          <t>F=C đề xuất thêm Kế toán, nhưng các tính năng Kế toán ghi giai đoạn sau. Cần xác định vai trò kế toán có ở V1 không.</t>
        </is>
      </c>
      <c r="I46" s="25" t="n"/>
      <c r="J46" s="25" t="inlineStr">
        <is>
          <t>Chờ bổ sung</t>
        </is>
      </c>
      <c r="K46" s="57" t="n"/>
      <c r="L46" s="57" t="n"/>
      <c r="M46" s="57" t="n"/>
      <c r="N46" s="57" t="n"/>
      <c r="O46" s="57" t="n"/>
      <c r="P46" s="57" t="n"/>
      <c r="Q46" s="57" t="n"/>
      <c r="R46" s="57" t="n"/>
      <c r="S46" s="57" t="n"/>
      <c r="T46" s="57" t="n"/>
      <c r="U46" s="57" t="n"/>
      <c r="V46" s="57" t="n"/>
      <c r="W46" s="57" t="n"/>
      <c r="X46" s="57" t="n"/>
      <c r="Y46" s="57" t="n"/>
      <c r="Z46" s="57" t="n"/>
    </row>
    <row r="47" ht="72" customHeight="1" s="94">
      <c r="A47" s="81" t="n">
        <v>43</v>
      </c>
      <c r="B47" s="81" t="inlineStr">
        <is>
          <t>PR05</t>
        </is>
      </c>
      <c r="C47" s="81" t="inlineStr">
        <is>
          <t>P1</t>
        </is>
      </c>
      <c r="D47" s="81" t="inlineStr">
        <is>
          <t>03. Cắm/rút điện</t>
        </is>
      </c>
      <c r="E47" s="81" t="inlineStr">
        <is>
          <t>Yêu cầu cắm điện dự kiến bắt buộc nhập những trường nào khi cont chưa vào bãi?</t>
        </is>
      </c>
      <c r="F47" s="81" t="n"/>
      <c r="G47" s="81" t="n"/>
      <c r="H47" s="81" t="inlineStr">
        <is>
          <t>Câu hỏi mới từ phần nghiệp vụ phát sinh; chờ bạn trả lời.</t>
        </is>
      </c>
      <c r="I47" s="25" t="n"/>
      <c r="J47" s="25" t="inlineStr">
        <is>
          <t>Chờ bổ sung</t>
        </is>
      </c>
      <c r="K47" s="57" t="n"/>
      <c r="L47" s="57" t="n"/>
      <c r="M47" s="57" t="n"/>
      <c r="N47" s="57" t="n"/>
      <c r="O47" s="57" t="n"/>
      <c r="P47" s="57" t="n"/>
      <c r="Q47" s="57" t="n"/>
      <c r="R47" s="57" t="n"/>
      <c r="S47" s="57" t="n"/>
      <c r="T47" s="57" t="n"/>
      <c r="U47" s="57" t="n"/>
      <c r="V47" s="57" t="n"/>
      <c r="W47" s="57" t="n"/>
      <c r="X47" s="57" t="n"/>
      <c r="Y47" s="57" t="n"/>
      <c r="Z47" s="57" t="n"/>
    </row>
    <row r="48" ht="72" customHeight="1" s="94">
      <c r="A48" s="83" t="n">
        <v>44</v>
      </c>
      <c r="B48" s="83" t="inlineStr">
        <is>
          <t>PR06</t>
        </is>
      </c>
      <c r="C48" s="83" t="inlineStr">
        <is>
          <t>P1</t>
        </is>
      </c>
      <c r="D48" s="83" t="inlineStr">
        <is>
          <t>03. Cắm/rút điện</t>
        </is>
      </c>
      <c r="E48" s="83" t="inlineStr">
        <is>
          <t>Nếu container dự kiến không tới, tới muộn nhiều ngày hoặc khách hủy, xử lý yêu cầu dự kiến ra sao?</t>
        </is>
      </c>
      <c r="F48" s="83" t="n"/>
      <c r="G48" s="83" t="n"/>
      <c r="H48" s="83" t="inlineStr">
        <is>
          <t>Câu hỏi mới từ phần nghiệp vụ phát sinh; chờ bạn trả lời.</t>
        </is>
      </c>
      <c r="I48" s="25" t="n"/>
      <c r="J48" s="25" t="inlineStr">
        <is>
          <t>Chờ bổ sung</t>
        </is>
      </c>
      <c r="K48" s="57" t="n"/>
      <c r="L48" s="57" t="n"/>
      <c r="M48" s="57" t="n"/>
      <c r="N48" s="57" t="n"/>
      <c r="O48" s="57" t="n"/>
      <c r="P48" s="57" t="n"/>
      <c r="Q48" s="57" t="n"/>
      <c r="R48" s="57" t="n"/>
      <c r="S48" s="57" t="n"/>
      <c r="T48" s="57" t="n"/>
      <c r="U48" s="57" t="n"/>
      <c r="V48" s="57" t="n"/>
      <c r="W48" s="57" t="n"/>
      <c r="X48" s="57" t="n"/>
      <c r="Y48" s="57" t="n"/>
      <c r="Z48" s="57" t="n"/>
    </row>
    <row r="49" ht="72" customHeight="1" s="94">
      <c r="A49" s="81" t="n">
        <v>45</v>
      </c>
      <c r="B49" s="81" t="inlineStr">
        <is>
          <t>SC03</t>
        </is>
      </c>
      <c r="C49" s="81" t="inlineStr">
        <is>
          <t>P1</t>
        </is>
      </c>
      <c r="D49" s="81" t="inlineStr">
        <is>
          <t>06. Điều phối / container</t>
        </is>
      </c>
      <c r="E49" s="81" t="inlineStr">
        <is>
          <t>Khi An ninh sửa số cont vì ảnh/video tại hiện trường cho thấy sai, có bắt buộc đính kèm ảnh hoặc video không?</t>
        </is>
      </c>
      <c r="F49" s="81" t="n"/>
      <c r="G49" s="81" t="n"/>
      <c r="H49" s="81" t="inlineStr">
        <is>
          <t>Câu hỏi mới từ phần nghiệp vụ phát sinh; chờ bạn trả lời.</t>
        </is>
      </c>
      <c r="I49" s="25" t="n"/>
      <c r="J49" s="25" t="inlineStr">
        <is>
          <t>Chờ bổ sung</t>
        </is>
      </c>
      <c r="K49" s="57" t="n"/>
      <c r="L49" s="57" t="n"/>
      <c r="M49" s="57" t="n"/>
      <c r="N49" s="57" t="n"/>
      <c r="O49" s="57" t="n"/>
      <c r="P49" s="57" t="n"/>
      <c r="Q49" s="57" t="n"/>
      <c r="R49" s="57" t="n"/>
      <c r="S49" s="57" t="n"/>
      <c r="T49" s="57" t="n"/>
      <c r="U49" s="57" t="n"/>
      <c r="V49" s="57" t="n"/>
      <c r="W49" s="57" t="n"/>
      <c r="X49" s="57" t="n"/>
      <c r="Y49" s="57" t="n"/>
      <c r="Z49" s="57" t="n"/>
    </row>
    <row r="50" ht="72" customHeight="1" s="94">
      <c r="A50" s="83" t="n">
        <v>46</v>
      </c>
      <c r="B50" s="83" t="inlineStr">
        <is>
          <t>SC07</t>
        </is>
      </c>
      <c r="C50" s="83" t="inlineStr">
        <is>
          <t>P1</t>
        </is>
      </c>
      <c r="D50" s="83" t="inlineStr">
        <is>
          <t>06. Điều phối / container</t>
        </is>
      </c>
      <c r="E50" s="83" t="inlineStr">
        <is>
          <t>An ninh/CCKB cần hỗ trợ tra cứu số cont bằng 7 số cuối và gợi ý mã gần giống (không tự thay mã) không?</t>
        </is>
      </c>
      <c r="F50" s="83" t="n"/>
      <c r="G50" s="83" t="n"/>
      <c r="H50" s="83" t="inlineStr">
        <is>
          <t>Câu hỏi mới từ phần nghiệp vụ phát sinh; chờ bạn trả lời.</t>
        </is>
      </c>
      <c r="I50" s="25" t="n"/>
      <c r="J50" s="25" t="inlineStr">
        <is>
          <t>Chờ bổ sung</t>
        </is>
      </c>
      <c r="K50" s="57" t="n"/>
      <c r="L50" s="57" t="n"/>
      <c r="M50" s="57" t="n"/>
      <c r="N50" s="57" t="n"/>
      <c r="O50" s="57" t="n"/>
      <c r="P50" s="57" t="n"/>
      <c r="Q50" s="57" t="n"/>
      <c r="R50" s="57" t="n"/>
      <c r="S50" s="57" t="n"/>
      <c r="T50" s="57" t="n"/>
      <c r="U50" s="57" t="n"/>
      <c r="V50" s="57" t="n"/>
      <c r="W50" s="57" t="n"/>
      <c r="X50" s="57" t="n"/>
      <c r="Y50" s="57" t="n"/>
      <c r="Z50" s="57" t="n"/>
    </row>
    <row r="51" ht="72" customHeight="1" s="94">
      <c r="A51" s="81" t="n">
        <v>47</v>
      </c>
      <c r="B51" s="81" t="inlineStr">
        <is>
          <t>T01</t>
        </is>
      </c>
      <c r="C51" s="81" t="inlineStr">
        <is>
          <t>P1</t>
        </is>
      </c>
      <c r="D51" s="81" t="inlineStr">
        <is>
          <t>04. Thanh toán</t>
        </is>
      </c>
      <c r="E51" s="81" t="inlineStr">
        <is>
          <t>Có cho thanh toán từng phần phí điện/lưu hoặc nộp trước khi container xuất không?</t>
        </is>
      </c>
      <c r="F51" s="81" t="inlineStr">
        <is>
          <t>B</t>
        </is>
      </c>
      <c r="G51" s="81" t="inlineStr">
        <is>
          <t>Linh hoạt thu cả hoặc thu từng phần</t>
        </is>
      </c>
      <c r="H51" s="81" t="inlineStr">
        <is>
          <t>F=B chỉ cho trả một phần, G cho cả trả đủ và trả một phần; cần xác định dữ liệu phân bổ giao dịch.</t>
        </is>
      </c>
      <c r="I51" s="25" t="n"/>
      <c r="J51" s="25" t="inlineStr">
        <is>
          <t>Chờ bổ sung</t>
        </is>
      </c>
      <c r="K51" s="57" t="n"/>
      <c r="L51" s="57" t="n"/>
      <c r="M51" s="57" t="n"/>
      <c r="N51" s="57" t="n"/>
      <c r="O51" s="57" t="n"/>
      <c r="P51" s="57" t="n"/>
      <c r="Q51" s="57" t="n"/>
      <c r="R51" s="57" t="n"/>
      <c r="S51" s="57" t="n"/>
      <c r="T51" s="57" t="n"/>
      <c r="U51" s="57" t="n"/>
      <c r="V51" s="57" t="n"/>
      <c r="W51" s="57" t="n"/>
      <c r="X51" s="57" t="n"/>
      <c r="Y51" s="57" t="n"/>
      <c r="Z51" s="57" t="n"/>
    </row>
    <row r="52" ht="72" customHeight="1" s="94">
      <c r="A52" s="83" t="n">
        <v>48</v>
      </c>
      <c r="B52" s="83" t="inlineStr">
        <is>
          <t>T04</t>
        </is>
      </c>
      <c r="C52" s="83" t="inlineStr">
        <is>
          <t>P1</t>
        </is>
      </c>
      <c r="D52" s="83" t="inlineStr">
        <is>
          <t>04. Thanh toán</t>
        </is>
      </c>
      <c r="E52" s="83" t="inlineStr">
        <is>
          <t>Ảnh bằng chứng thu tiền cần bắt buộc với giao dịch nào (vé, lưu cont, điện, mất vé)?</t>
        </is>
      </c>
      <c r="F52" s="83" t="inlineStr">
        <is>
          <t>Khác</t>
        </is>
      </c>
      <c r="G52" s="83" t="inlineStr">
        <is>
          <t>Xây dưng nhưng chưa ap dụng</t>
        </is>
      </c>
      <c r="H52" s="83" t="inlineStr">
        <is>
          <t>G: “Xây dựng nhưng chưa áp dụng”; cần tách tính năng ảnh chứng từ triển khai V1 hay để tùy chọn.</t>
        </is>
      </c>
      <c r="I52" s="25" t="n"/>
      <c r="J52" s="25" t="inlineStr">
        <is>
          <t>Chờ bổ sung</t>
        </is>
      </c>
      <c r="K52" s="57" t="n"/>
      <c r="L52" s="57" t="n"/>
      <c r="M52" s="57" t="n"/>
      <c r="N52" s="57" t="n"/>
      <c r="O52" s="57" t="n"/>
      <c r="P52" s="57" t="n"/>
      <c r="Q52" s="57" t="n"/>
      <c r="R52" s="57" t="n"/>
      <c r="S52" s="57" t="n"/>
      <c r="T52" s="57" t="n"/>
      <c r="U52" s="57" t="n"/>
      <c r="V52" s="57" t="n"/>
      <c r="W52" s="57" t="n"/>
      <c r="X52" s="57" t="n"/>
      <c r="Y52" s="57" t="n"/>
      <c r="Z52" s="57" t="n"/>
    </row>
    <row r="53" ht="72" customHeight="1" s="94">
      <c r="A53" s="81" t="n">
        <v>49</v>
      </c>
      <c r="B53" s="81" t="inlineStr">
        <is>
          <t>T06</t>
        </is>
      </c>
      <c r="C53" s="81" t="inlineStr">
        <is>
          <t>P1</t>
        </is>
      </c>
      <c r="D53" s="81" t="inlineStr">
        <is>
          <t>04. Thanh toán</t>
        </is>
      </c>
      <c r="E53" s="81" t="inlineStr">
        <is>
          <t>Nếu đã thu thiếu hoặc thừa tiền so với hệ thống: cách điều chỉnh/hoàn trả, ai duyệt?</t>
        </is>
      </c>
      <c r="F53" s="81" t="inlineStr">
        <is>
          <t>Khác</t>
        </is>
      </c>
      <c r="G53" s="81" t="inlineStr">
        <is>
          <t>Xây dưng nhưng chưa ap dụng</t>
        </is>
      </c>
      <c r="H53" s="81" t="inlineStr">
        <is>
          <t>G: xây dựng nhưng chưa áp dụng; hệ thống thu/hoàn tiền cần quy định tối thiểu để không mất dấu chênh lệch.</t>
        </is>
      </c>
      <c r="I53" s="25" t="n"/>
      <c r="J53" s="25" t="inlineStr">
        <is>
          <t>Chờ bổ sung</t>
        </is>
      </c>
      <c r="K53" s="57" t="n"/>
      <c r="L53" s="57" t="n"/>
      <c r="M53" s="57" t="n"/>
      <c r="N53" s="57" t="n"/>
      <c r="O53" s="57" t="n"/>
      <c r="P53" s="57" t="n"/>
      <c r="Q53" s="57" t="n"/>
      <c r="R53" s="57" t="n"/>
      <c r="S53" s="57" t="n"/>
      <c r="T53" s="57" t="n"/>
      <c r="U53" s="57" t="n"/>
      <c r="V53" s="57" t="n"/>
      <c r="W53" s="57" t="n"/>
      <c r="X53" s="57" t="n"/>
      <c r="Y53" s="57" t="n"/>
      <c r="Z53" s="57" t="n"/>
    </row>
    <row r="54" ht="72" customHeight="1" s="94">
      <c r="A54" s="83" t="n">
        <v>50</v>
      </c>
      <c r="B54" s="83" t="inlineStr">
        <is>
          <t>T07</t>
        </is>
      </c>
      <c r="C54" s="83" t="inlineStr">
        <is>
          <t>P1</t>
        </is>
      </c>
      <c r="D54" s="83" t="inlineStr">
        <is>
          <t>04. Thanh toán</t>
        </is>
      </c>
      <c r="E54" s="83" t="inlineStr">
        <is>
          <t>Có được miễn/giảm giá vé, phí lưu, tiền điện? Ai là người có quyền duyệt?</t>
        </is>
      </c>
      <c r="F54" s="83" t="inlineStr">
        <is>
          <t>Khác</t>
        </is>
      </c>
      <c r="G54" s="83" t="inlineStr">
        <is>
          <t>Xây dưng nhưng chưa ap dụng</t>
        </is>
      </c>
      <c r="H54" s="83" t="inlineStr">
        <is>
          <t>G: xây dựng nhưng chưa áp dụng; xác định có cho phát sinh ngoại lệ ngay V1 không.</t>
        </is>
      </c>
      <c r="I54" s="25" t="n"/>
      <c r="J54" s="25" t="inlineStr">
        <is>
          <t>Chờ bổ sung</t>
        </is>
      </c>
      <c r="K54" s="57" t="n"/>
      <c r="L54" s="57" t="n"/>
      <c r="M54" s="57" t="n"/>
      <c r="N54" s="57" t="n"/>
      <c r="O54" s="57" t="n"/>
      <c r="P54" s="57" t="n"/>
      <c r="Q54" s="57" t="n"/>
      <c r="R54" s="57" t="n"/>
      <c r="S54" s="57" t="n"/>
      <c r="T54" s="57" t="n"/>
      <c r="U54" s="57" t="n"/>
      <c r="V54" s="57" t="n"/>
      <c r="W54" s="57" t="n"/>
      <c r="X54" s="57" t="n"/>
      <c r="Y54" s="57" t="n"/>
      <c r="Z54" s="57" t="n"/>
    </row>
    <row r="55" ht="72" customHeight="1" s="94">
      <c r="A55" s="81" t="n">
        <v>51</v>
      </c>
      <c r="B55" s="81" t="inlineStr">
        <is>
          <t>T14</t>
        </is>
      </c>
      <c r="C55" s="81" t="inlineStr">
        <is>
          <t>P1</t>
        </is>
      </c>
      <c r="D55" s="81" t="inlineStr">
        <is>
          <t>04. Thanh toán</t>
        </is>
      </c>
      <c r="E55" s="81" t="inlineStr">
        <is>
          <t>Doanh thu vé An ninh thu và doanh thu phí CCKB thu được đối soát cuối ca như thế nào?</t>
        </is>
      </c>
      <c r="F55" s="81" t="inlineStr">
        <is>
          <t>Khác</t>
        </is>
      </c>
      <c r="G55" s="81" t="inlineStr">
        <is>
          <t>theo ca nhé, ca lammf việc của an ninh hiện tại là 6H-18H nhưng chốt doanh thu có thẻ là 16H và 8h30 9H kiểu vậy</t>
        </is>
      </c>
      <c r="H55" s="81" t="inlineStr">
        <is>
          <t>Chốt doanh thu không trùng giờ ca 06–18, ví dụ 16:00 hoặc 08:30–09:00; cần cấu hình kỳ chốt và người chịu trách nhiệm.</t>
        </is>
      </c>
      <c r="I55" s="25" t="n"/>
      <c r="J55" s="25" t="inlineStr">
        <is>
          <t>Chờ bổ sung</t>
        </is>
      </c>
      <c r="K55" s="57" t="n"/>
      <c r="L55" s="57" t="n"/>
      <c r="M55" s="57" t="n"/>
      <c r="N55" s="57" t="n"/>
      <c r="O55" s="57" t="n"/>
      <c r="P55" s="57" t="n"/>
      <c r="Q55" s="57" t="n"/>
      <c r="R55" s="57" t="n"/>
      <c r="S55" s="57" t="n"/>
      <c r="T55" s="57" t="n"/>
      <c r="U55" s="57" t="n"/>
      <c r="V55" s="57" t="n"/>
      <c r="W55" s="57" t="n"/>
      <c r="X55" s="57" t="n"/>
      <c r="Y55" s="57" t="n"/>
      <c r="Z55" s="57" t="n"/>
    </row>
    <row r="56" ht="72" customHeight="1" s="94">
      <c r="A56" s="83" t="n">
        <v>52</v>
      </c>
      <c r="B56" s="83" t="inlineStr">
        <is>
          <t>U01</t>
        </is>
      </c>
      <c r="C56" s="83" t="inlineStr">
        <is>
          <t>P1</t>
        </is>
      </c>
      <c r="D56" s="83" t="inlineStr">
        <is>
          <t>10. Nghiệm thu / triển khai</t>
        </is>
      </c>
      <c r="E56" s="83" t="inlineStr">
        <is>
          <t>Ai đại diện mỗi bộ phận ký nghiệm thu và xác nhận nghiệp vụ chuẩn trước chuyển hệ thống?</t>
        </is>
      </c>
      <c r="F56" s="83" t="inlineStr">
        <is>
          <t>Không áp dụng</t>
        </is>
      </c>
      <c r="G56" s="83" t="n"/>
      <c r="H56" s="83" t="inlineStr">
        <is>
          <t>F=Không áp dụng nhóm ký nghiệm thu; U02 lại yêu cầu UAT trước ngừng AppSheet. Cần xác định ít nhất đầu mối duyệt nghiệm thu, không nhất thiết ký giấy.</t>
        </is>
      </c>
      <c r="I56" s="25" t="n"/>
      <c r="J56" s="25" t="inlineStr">
        <is>
          <t>Chờ bổ sung</t>
        </is>
      </c>
      <c r="K56" s="57" t="n"/>
      <c r="L56" s="57" t="n"/>
      <c r="M56" s="57" t="n"/>
      <c r="N56" s="57" t="n"/>
      <c r="O56" s="57" t="n"/>
      <c r="P56" s="57" t="n"/>
      <c r="Q56" s="57" t="n"/>
      <c r="R56" s="57" t="n"/>
      <c r="S56" s="57" t="n"/>
      <c r="T56" s="57" t="n"/>
      <c r="U56" s="57" t="n"/>
      <c r="V56" s="57" t="n"/>
      <c r="W56" s="57" t="n"/>
      <c r="X56" s="57" t="n"/>
      <c r="Y56" s="57" t="n"/>
      <c r="Z56" s="57" t="n"/>
    </row>
    <row r="57" ht="72" customHeight="1" s="94">
      <c r="A57" s="81" t="n">
        <v>53</v>
      </c>
      <c r="B57" s="81" t="inlineStr">
        <is>
          <t>V03</t>
        </is>
      </c>
      <c r="C57" s="81" t="inlineStr">
        <is>
          <t>P1</t>
        </is>
      </c>
      <c r="D57" s="81" t="inlineStr">
        <is>
          <t>01. Vé xe / cổng</t>
        </is>
      </c>
      <c r="E57" s="81" t="inlineStr">
        <is>
          <t>Xe container KHÔNG lạnh/container khô hiện có được tiếp nhận không? Nếu có mã xe và đơn giá vé nào?</t>
        </is>
      </c>
      <c r="F57" s="81" t="inlineStr">
        <is>
          <t>Khác</t>
        </is>
      </c>
      <c r="G57" s="81" t="inlineStr">
        <is>
          <t>Chỉ có xe cont(250K) và xe đầu kéo k còn(0Đ)</t>
        </is>
      </c>
      <c r="H57" s="81" t="inlineStr">
        <is>
          <t>Người dùng dùng tên “xe cont” chung; PRICE_LIST hiện ghi CONT_LANH. Cần rà nhãn hiển thị, không đổi mã giá đã chốt.</t>
        </is>
      </c>
      <c r="I57" s="25" t="n"/>
      <c r="J57" s="25" t="inlineStr">
        <is>
          <t>Chờ bổ sung</t>
        </is>
      </c>
      <c r="K57" s="57" t="n"/>
      <c r="L57" s="57" t="n"/>
      <c r="M57" s="57" t="n"/>
      <c r="N57" s="57" t="n"/>
      <c r="O57" s="57" t="n"/>
      <c r="P57" s="57" t="n"/>
      <c r="Q57" s="57" t="n"/>
      <c r="R57" s="57" t="n"/>
      <c r="S57" s="57" t="n"/>
      <c r="T57" s="57" t="n"/>
      <c r="U57" s="57" t="n"/>
      <c r="V57" s="57" t="n"/>
      <c r="W57" s="57" t="n"/>
      <c r="X57" s="57" t="n"/>
      <c r="Y57" s="57" t="n"/>
      <c r="Z57" s="57" t="n"/>
    </row>
    <row r="58" ht="72" customHeight="1" s="94">
      <c r="A58" s="83" t="n">
        <v>54</v>
      </c>
      <c r="B58" s="83" t="inlineStr">
        <is>
          <t>V05</t>
        </is>
      </c>
      <c r="C58" s="83" t="inlineStr">
        <is>
          <t>P1</t>
        </is>
      </c>
      <c r="D58" s="83" t="inlineStr">
        <is>
          <t>01. Vé xe / cổng</t>
        </is>
      </c>
      <c r="E58" s="83" t="inlineStr">
        <is>
          <t>Vé giấy 2 liên có cần nhập/kiểm soát SỐ VÉ GIẤY bắt buộc khi ghi nhận xe vào không?</t>
        </is>
      </c>
      <c r="F58" s="83" t="inlineStr">
        <is>
          <t>B</t>
        </is>
      </c>
      <c r="G58" s="83" t="inlineStr">
        <is>
          <t xml:space="preserve">sau này sẽ in </t>
        </is>
      </c>
      <c r="H58" s="83" t="inlineStr">
        <is>
          <t>Số vé giấy hiện không bắt buộc; người dùng nói “sau này sẽ in”. Cần xác định thuộc giai đoạn nào.</t>
        </is>
      </c>
      <c r="I58" s="25" t="n"/>
      <c r="J58" s="25" t="inlineStr">
        <is>
          <t>Chờ bổ sung</t>
        </is>
      </c>
      <c r="K58" s="57" t="n"/>
      <c r="L58" s="57" t="n"/>
      <c r="M58" s="57" t="n"/>
      <c r="N58" s="57" t="n"/>
      <c r="O58" s="57" t="n"/>
      <c r="P58" s="57" t="n"/>
      <c r="Q58" s="57" t="n"/>
      <c r="R58" s="57" t="n"/>
      <c r="S58" s="57" t="n"/>
      <c r="T58" s="57" t="n"/>
      <c r="U58" s="57" t="n"/>
      <c r="V58" s="57" t="n"/>
      <c r="W58" s="57" t="n"/>
      <c r="X58" s="57" t="n"/>
      <c r="Y58" s="57" t="n"/>
      <c r="Z58" s="57" t="n"/>
    </row>
    <row r="59" ht="72" customHeight="1" s="94">
      <c r="A59" s="81" t="n">
        <v>55</v>
      </c>
      <c r="B59" s="81" t="inlineStr">
        <is>
          <t>K05</t>
        </is>
      </c>
      <c r="C59" s="81" t="inlineStr">
        <is>
          <t>P2</t>
        </is>
      </c>
      <c r="D59" s="81" t="inlineStr">
        <is>
          <t>08. Kỹ thuật / bảo mật</t>
        </is>
      </c>
      <c r="E59" s="81" t="inlineStr">
        <is>
          <t>Có cần bắt buộc đăng nhập 2 yếu tố với quản trị/TBP, phân quyền theo phiên đăng nhập/thiết bị không?</t>
        </is>
      </c>
      <c r="F59" s="81" t="inlineStr">
        <is>
          <t>Khác</t>
        </is>
      </c>
      <c r="G59" s="81" t="inlineStr">
        <is>
          <t>Chưa áp dụng nhưng có thì tốt</t>
        </is>
      </c>
      <c r="H59" s="81" t="inlineStr">
        <is>
          <t>G: 2FA chưa áp dụng nhưng có thì tốt; cần ghi đúng là nâng cấp sau, không coi là bắt buộc V1.</t>
        </is>
      </c>
      <c r="I59" s="25" t="n"/>
      <c r="J59" s="25" t="inlineStr">
        <is>
          <t>Chờ bổ sung</t>
        </is>
      </c>
      <c r="K59" s="57" t="n"/>
      <c r="L59" s="57" t="n"/>
      <c r="M59" s="57" t="n"/>
      <c r="N59" s="57" t="n"/>
      <c r="O59" s="57" t="n"/>
      <c r="P59" s="57" t="n"/>
      <c r="Q59" s="57" t="n"/>
      <c r="R59" s="57" t="n"/>
      <c r="S59" s="57" t="n"/>
      <c r="T59" s="57" t="n"/>
      <c r="U59" s="57" t="n"/>
      <c r="V59" s="57" t="n"/>
      <c r="W59" s="57" t="n"/>
      <c r="X59" s="57" t="n"/>
      <c r="Y59" s="57" t="n"/>
      <c r="Z59" s="57" t="n"/>
    </row>
    <row r="60" ht="72" customHeight="1" s="94">
      <c r="A60" s="83" t="n">
        <v>56</v>
      </c>
      <c r="B60" s="83" t="inlineStr">
        <is>
          <t>K09</t>
        </is>
      </c>
      <c r="C60" s="83" t="inlineStr">
        <is>
          <t>P2</t>
        </is>
      </c>
      <c r="D60" s="83" t="inlineStr">
        <is>
          <t>08. Kỹ thuật / bảo mật</t>
        </is>
      </c>
      <c r="E60" s="83" t="inlineStr">
        <is>
          <t>Giai đoạn đầu có cần tích hợp Zalo thông báo lệnh cắm/rút tự động không?</t>
        </is>
      </c>
      <c r="F60" s="83" t="inlineStr">
        <is>
          <t>A</t>
        </is>
      </c>
      <c r="G60" s="83" t="inlineStr">
        <is>
          <t>A B C</t>
        </is>
      </c>
      <c r="H60" s="83" t="inlineStr">
        <is>
          <t>F=A không gửi Zalo tự động trong V1 nhưng G “A B C”; cần tách thông báo PWA/gửi thủ công và tích hợp sau.</t>
        </is>
      </c>
      <c r="I60" s="25" t="n"/>
      <c r="J60" s="25" t="inlineStr">
        <is>
          <t>Chờ bổ sung</t>
        </is>
      </c>
      <c r="K60" s="57" t="n"/>
      <c r="L60" s="57" t="n"/>
      <c r="M60" s="57" t="n"/>
      <c r="N60" s="57" t="n"/>
      <c r="O60" s="57" t="n"/>
      <c r="P60" s="57" t="n"/>
      <c r="Q60" s="57" t="n"/>
      <c r="R60" s="57" t="n"/>
      <c r="S60" s="57" t="n"/>
      <c r="T60" s="57" t="n"/>
      <c r="U60" s="57" t="n"/>
      <c r="V60" s="57" t="n"/>
      <c r="W60" s="57" t="n"/>
      <c r="X60" s="57" t="n"/>
      <c r="Y60" s="57" t="n"/>
      <c r="Z60" s="57" t="n"/>
    </row>
    <row r="61" ht="15.75" customHeight="1" s="94">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s="94">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s="94">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s="9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s="94">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s="94">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s="94">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s="94">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s="94">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s="94">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s="94">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s="94">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s="94">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s="9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s="94">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s="94">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s="94">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s="94">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s="94">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s="94">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s="94">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s="94">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s="94">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s="9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s="94">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s="94">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s="94">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s="94">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s="94">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s="94">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s="94">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s="94">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s="94">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s="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s="94">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s="94">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s="94">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s="94">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s="94">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s="94">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s="94">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s="94">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J$60"/>
  <mergeCells count="2">
    <mergeCell ref="A1:J1"/>
    <mergeCell ref="A2:J2"/>
  </mergeCells>
  <dataValidations count="1">
    <dataValidation sqref="J5:J60" showDropDown="0" showInputMessage="0" showErrorMessage="0" allowBlank="1" type="list">
      <formula1>"Chờ bổ sung,Đang rà soát,Đã xác nhận,Tạm hoãn"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fitToPage="1"/>
  </sheetPr>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12" customWidth="1" style="94" min="1" max="1"/>
    <col width="29" customWidth="1" style="94" min="2" max="2"/>
    <col width="13" customWidth="1" style="94" min="3" max="3"/>
    <col width="73" customWidth="1" style="94" min="4" max="5"/>
    <col width="18" customWidth="1" style="94" min="6" max="6"/>
    <col width="78" customWidth="1" style="94" min="7" max="7"/>
    <col width="22" customWidth="1" style="94" min="8" max="8"/>
    <col width="29" customWidth="1" style="94" min="9" max="9"/>
    <col width="22" customWidth="1" style="94" min="10" max="10"/>
    <col width="18" customWidth="1" style="94" min="11" max="11"/>
    <col width="40" customWidth="1" style="94" min="12" max="12"/>
    <col width="49" customWidth="1" style="94" min="13" max="13"/>
  </cols>
  <sheetData>
    <row r="1" ht="33.75" customHeight="1" s="94">
      <c r="A1" s="124" t="inlineStr">
        <is>
          <t>BẢN LƯU CHIẾU CÂU HỎI &amp; CÂU TRẢ LỜI V1 (KHÔNG SỬA)</t>
        </is>
      </c>
      <c r="N1" s="57" t="n"/>
      <c r="O1" s="57" t="n"/>
      <c r="P1" s="57" t="n"/>
      <c r="Q1" s="57" t="n"/>
      <c r="R1" s="57" t="n"/>
      <c r="S1" s="57" t="n"/>
      <c r="T1" s="57" t="n"/>
      <c r="U1" s="57" t="n"/>
      <c r="V1" s="57" t="n"/>
      <c r="W1" s="57" t="n"/>
      <c r="X1" s="57" t="n"/>
      <c r="Y1" s="57" t="n"/>
      <c r="Z1" s="57" t="n"/>
    </row>
    <row r="2" ht="51.75" customHeight="1" s="94">
      <c r="A2" s="125" t="inlineStr">
        <is>
          <t>Sao chép nguyên giá trị 13 cột từ file Untitled spreadsheet (1).xlsx do bạn gửi ngày 11/10/2026.</t>
        </is>
      </c>
      <c r="N2" s="57" t="n"/>
      <c r="O2" s="57" t="n"/>
      <c r="P2" s="57" t="n"/>
      <c r="Q2" s="57" t="n"/>
      <c r="R2" s="57" t="n"/>
      <c r="S2" s="57" t="n"/>
      <c r="T2" s="57" t="n"/>
      <c r="U2" s="57" t="n"/>
      <c r="V2" s="57" t="n"/>
      <c r="W2" s="57" t="n"/>
      <c r="X2" s="57" t="n"/>
      <c r="Y2" s="57" t="n"/>
      <c r="Z2" s="57" t="n"/>
    </row>
    <row r="3">
      <c r="A3" s="57"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row>
    <row r="4" ht="49.5" customHeight="1" s="94">
      <c r="A4" s="7" t="inlineStr">
        <is>
          <t>Mã</t>
        </is>
      </c>
      <c r="B4" s="7" t="inlineStr">
        <is>
          <t>Nhóm nghiệp vụ</t>
        </is>
      </c>
      <c r="C4" s="7" t="inlineStr">
        <is>
          <t>Ưu tiên</t>
        </is>
      </c>
      <c r="D4" s="7" t="inlineStr">
        <is>
          <t>Câu hỏi cần chốt</t>
        </is>
      </c>
      <c r="E4" s="7" t="inlineStr">
        <is>
          <t>Phương án gợi ý / cách điền</t>
        </is>
      </c>
      <c r="F4" s="7" t="inlineStr">
        <is>
          <t>Lựa chọn (điền)</t>
        </is>
      </c>
      <c r="G4" s="7" t="inlineStr">
        <is>
          <t>Quyết định/Thông số cụ thể (điền)</t>
        </is>
      </c>
      <c r="H4" s="7" t="inlineStr">
        <is>
          <t>Trạng thái (điền)</t>
        </is>
      </c>
      <c r="I4" s="7" t="inlineStr">
        <is>
          <t>Đơn vị xác nhận đề xuất</t>
        </is>
      </c>
      <c r="J4" s="7" t="inlineStr">
        <is>
          <t>Người xác nhận (điền)</t>
        </is>
      </c>
      <c r="K4" s="7" t="inlineStr">
        <is>
          <t>Ngày chốt (điền)</t>
        </is>
      </c>
      <c r="L4" s="7" t="inlineStr">
        <is>
          <t>Ghi chú bổ sung (điền)</t>
        </is>
      </c>
      <c r="M4" s="7" t="inlineStr">
        <is>
          <t>Căn cứ / nguồn</t>
        </is>
      </c>
      <c r="N4" s="57" t="n"/>
      <c r="O4" s="57" t="n"/>
      <c r="P4" s="57" t="n"/>
      <c r="Q4" s="57" t="n"/>
      <c r="R4" s="57" t="n"/>
      <c r="S4" s="57" t="n"/>
      <c r="T4" s="57" t="n"/>
      <c r="U4" s="57" t="n"/>
      <c r="V4" s="57" t="n"/>
      <c r="W4" s="57" t="n"/>
      <c r="X4" s="57" t="n"/>
      <c r="Y4" s="57" t="n"/>
      <c r="Z4" s="57" t="n"/>
    </row>
    <row r="5" ht="54" customHeight="1" s="94">
      <c r="A5" s="81" t="inlineStr">
        <is>
          <t>V01</t>
        </is>
      </c>
      <c r="B5" s="81" t="inlineStr">
        <is>
          <t>01. Vé xe / cổng</t>
        </is>
      </c>
      <c r="C5" s="81" t="inlineStr">
        <is>
          <t>P0</t>
        </is>
      </c>
      <c r="D5" s="81" t="inlineStr">
        <is>
          <t>Đầu kéo vào KHÔNG có container (vé vào 0đ), sau đó kéo container ra: có thu thêm 250.000đ ở lượt ra không?</t>
        </is>
      </c>
      <c r="E5" s="81" t="inlineStr">
        <is>
          <t>A. Không, giữ giá tại cổng vào; B. Có, bổ sung phí khi ra có kéo cont; C. Chính sách khác.</t>
        </is>
      </c>
      <c r="F5" s="84" t="inlineStr">
        <is>
          <t>A</t>
        </is>
      </c>
      <c r="G5" s="84" t="n"/>
      <c r="H5" s="84" t="inlineStr">
        <is>
          <t>Đã chốt</t>
        </is>
      </c>
      <c r="I5" s="81" t="inlineStr">
        <is>
          <t>Ban quản lý Sơn Cảng</t>
        </is>
      </c>
      <c r="J5" s="81" t="n"/>
      <c r="K5" s="81" t="n"/>
      <c r="L5" s="81" t="n"/>
      <c r="M5" s="81" t="inlineStr">
        <is>
          <t>PRICE_LIST + luồng xe nhận container</t>
        </is>
      </c>
      <c r="N5" s="57" t="n"/>
      <c r="O5" s="57" t="n"/>
      <c r="P5" s="57" t="n"/>
      <c r="Q5" s="57" t="n"/>
      <c r="R5" s="57" t="n"/>
      <c r="S5" s="57" t="n"/>
      <c r="T5" s="57" t="n"/>
      <c r="U5" s="57" t="n"/>
      <c r="V5" s="57" t="n"/>
      <c r="W5" s="57" t="n"/>
      <c r="X5" s="57" t="n"/>
      <c r="Y5" s="57" t="n"/>
      <c r="Z5" s="57" t="n"/>
    </row>
    <row r="6" ht="54" customHeight="1" s="94">
      <c r="A6" s="83" t="inlineStr">
        <is>
          <t>V02</t>
        </is>
      </c>
      <c r="B6" s="83" t="inlineStr">
        <is>
          <t>01. Vé xe / cổng</t>
        </is>
      </c>
      <c r="C6" s="83" t="inlineStr">
        <is>
          <t>P0</t>
        </is>
      </c>
      <c r="D6" s="83" t="inlineStr">
        <is>
          <t>Vé vào có bắt buộc thu ngay trước khi cho xe qua cổng vào, hay được phép ghi Chưa thu để bổ sung sau?</t>
        </is>
      </c>
      <c r="E6" s="83" t="inlineStr">
        <is>
          <t>A. Bắt buộc thu đủ; B. Cho ghi Chưa thu có điều kiện; C. Chỉ ngoại lệ cần phê duyệt.</t>
        </is>
      </c>
      <c r="F6" s="85" t="inlineStr">
        <is>
          <t>A</t>
        </is>
      </c>
      <c r="G6" s="85" t="inlineStr">
        <is>
          <t>Nhưng cũng có trường họp thu sau(ít)</t>
        </is>
      </c>
      <c r="H6" s="85" t="inlineStr">
        <is>
          <t>Đã chốt</t>
        </is>
      </c>
      <c r="I6" s="83" t="inlineStr">
        <is>
          <t>Trưởng BP An ninh + CCKB</t>
        </is>
      </c>
      <c r="J6" s="83" t="n"/>
      <c r="K6" s="83" t="n"/>
      <c r="L6" s="83" t="n"/>
      <c r="M6" s="83" t="inlineStr">
        <is>
          <t>Trao đổi nghiệp vụ Sơn Cảng, 10-11/10/2026</t>
        </is>
      </c>
      <c r="N6" s="57" t="n"/>
      <c r="O6" s="57" t="n"/>
      <c r="P6" s="57" t="n"/>
      <c r="Q6" s="57" t="n"/>
      <c r="R6" s="57" t="n"/>
      <c r="S6" s="57" t="n"/>
      <c r="T6" s="57" t="n"/>
      <c r="U6" s="57" t="n"/>
      <c r="V6" s="57" t="n"/>
      <c r="W6" s="57" t="n"/>
      <c r="X6" s="57" t="n"/>
      <c r="Y6" s="57" t="n"/>
      <c r="Z6" s="57" t="n"/>
    </row>
    <row r="7" ht="54" customHeight="1" s="94">
      <c r="A7" s="81" t="inlineStr">
        <is>
          <t>V03</t>
        </is>
      </c>
      <c r="B7" s="81" t="inlineStr">
        <is>
          <t>01. Vé xe / cổng</t>
        </is>
      </c>
      <c r="C7" s="81" t="inlineStr">
        <is>
          <t>P0</t>
        </is>
      </c>
      <c r="D7" s="81" t="inlineStr">
        <is>
          <t>Xe container KHÔNG lạnh/container khô hiện có được tiếp nhận không? Nếu có mã xe và đơn giá vé nào?</t>
        </is>
      </c>
      <c r="E7" s="81" t="inlineStr">
        <is>
          <t>A. Dùng CONT_LANH nếu chung 250.000đ; B. Tạo mã giá xe container khác; C. Không sử dụng loại này.</t>
        </is>
      </c>
      <c r="F7" s="84" t="inlineStr">
        <is>
          <t>Khác</t>
        </is>
      </c>
      <c r="G7" s="84" t="inlineStr">
        <is>
          <t>Chỉ có xe cont(250K) và xe đầu kéo k còn(0Đ)</t>
        </is>
      </c>
      <c r="H7" s="84" t="inlineStr">
        <is>
          <t>Đã chốt</t>
        </is>
      </c>
      <c r="I7" s="81" t="inlineStr">
        <is>
          <t>Trưởng BP An ninh</t>
        </is>
      </c>
      <c r="J7" s="81" t="n"/>
      <c r="K7" s="81" t="n"/>
      <c r="L7" s="81" t="n"/>
      <c r="M7" s="81" t="inlineStr">
        <is>
          <t>Trao đổi nghiệp vụ Sơn Cảng, 10-11/10/2026</t>
        </is>
      </c>
      <c r="N7" s="57" t="n"/>
      <c r="O7" s="57" t="n"/>
      <c r="P7" s="57" t="n"/>
      <c r="Q7" s="57" t="n"/>
      <c r="R7" s="57" t="n"/>
      <c r="S7" s="57" t="n"/>
      <c r="T7" s="57" t="n"/>
      <c r="U7" s="57" t="n"/>
      <c r="V7" s="57" t="n"/>
      <c r="W7" s="57" t="n"/>
      <c r="X7" s="57" t="n"/>
      <c r="Y7" s="57" t="n"/>
      <c r="Z7" s="57" t="n"/>
    </row>
    <row r="8" ht="54" customHeight="1" s="94">
      <c r="A8" s="83" t="inlineStr">
        <is>
          <t>V04</t>
        </is>
      </c>
      <c r="B8" s="83" t="inlineStr">
        <is>
          <t>01. Vé xe / cổng</t>
        </is>
      </c>
      <c r="C8" s="83" t="inlineStr">
        <is>
          <t>P1</t>
        </is>
      </c>
      <c r="D8" s="83" t="inlineStr">
        <is>
          <t>Xe bo ba bánh không có biển số được phân biệt lượt bằng mã vé; có cần thêm tên lái xe/đặc điểm xe/ảnh xe không?</t>
        </is>
      </c>
      <c r="E8" s="83" t="inlineStr">
        <is>
          <t>A. Chỉ mã vé tự sinh; B. Thêm thông tin nhận diện; C. Có thể nhập biển số khi có.</t>
        </is>
      </c>
      <c r="F8" s="85" t="inlineStr">
        <is>
          <t>A</t>
        </is>
      </c>
      <c r="G8" s="85" t="inlineStr">
        <is>
          <t>chỉ sinh cũng được nhưng đến lúc ra cũng chịu à, hoặc có thể sinh mã r điền vào vé thôi</t>
        </is>
      </c>
      <c r="H8" s="85" t="inlineStr">
        <is>
          <t>Đã chốt</t>
        </is>
      </c>
      <c r="I8" s="83" t="inlineStr">
        <is>
          <t>Trưởng BP An ninh</t>
        </is>
      </c>
      <c r="J8" s="83" t="n"/>
      <c r="K8" s="83" t="n"/>
      <c r="L8" s="83" t="n"/>
      <c r="M8" s="83" t="inlineStr">
        <is>
          <t>Trao đổi nghiệp vụ Sơn Cảng, 10-11/10/2026</t>
        </is>
      </c>
      <c r="N8" s="57" t="n"/>
      <c r="O8" s="57" t="n"/>
      <c r="P8" s="57" t="n"/>
      <c r="Q8" s="57" t="n"/>
      <c r="R8" s="57" t="n"/>
      <c r="S8" s="57" t="n"/>
      <c r="T8" s="57" t="n"/>
      <c r="U8" s="57" t="n"/>
      <c r="V8" s="57" t="n"/>
      <c r="W8" s="57" t="n"/>
      <c r="X8" s="57" t="n"/>
      <c r="Y8" s="57" t="n"/>
      <c r="Z8" s="57" t="n"/>
    </row>
    <row r="9" ht="54" customHeight="1" s="94">
      <c r="A9" s="81" t="inlineStr">
        <is>
          <t>V05</t>
        </is>
      </c>
      <c r="B9" s="81" t="inlineStr">
        <is>
          <t>01. Vé xe / cổng</t>
        </is>
      </c>
      <c r="C9" s="81" t="inlineStr">
        <is>
          <t>P0</t>
        </is>
      </c>
      <c r="D9" s="81" t="inlineStr">
        <is>
          <t>Vé giấy 2 liên có cần nhập/kiểm soát SỐ VÉ GIẤY bắt buộc khi ghi nhận xe vào không?</t>
        </is>
      </c>
      <c r="E9" s="81" t="inlineStr">
        <is>
          <t>A. Bắt buộc; B. Khuyến khích, không bắt buộc; C. Chuyển sang in/QR từ PWA.</t>
        </is>
      </c>
      <c r="F9" s="84" t="inlineStr">
        <is>
          <t>B</t>
        </is>
      </c>
      <c r="G9" s="84" t="inlineStr">
        <is>
          <t xml:space="preserve">sau này sẽ in </t>
        </is>
      </c>
      <c r="H9" s="84" t="inlineStr">
        <is>
          <t>Đã chốt</t>
        </is>
      </c>
      <c r="I9" s="81" t="inlineStr">
        <is>
          <t>Trưởng BP An ninh</t>
        </is>
      </c>
      <c r="J9" s="81" t="n"/>
      <c r="K9" s="81" t="n"/>
      <c r="L9" s="81" t="n"/>
      <c r="M9" s="81" t="inlineStr">
        <is>
          <t>Trao đổi nghiệp vụ Sơn Cảng, 10-11/10/2026</t>
        </is>
      </c>
      <c r="N9" s="57" t="n"/>
      <c r="O9" s="57" t="n"/>
      <c r="P9" s="57" t="n"/>
      <c r="Q9" s="57" t="n"/>
      <c r="R9" s="57" t="n"/>
      <c r="S9" s="57" t="n"/>
      <c r="T9" s="57" t="n"/>
      <c r="U9" s="57" t="n"/>
      <c r="V9" s="57" t="n"/>
      <c r="W9" s="57" t="n"/>
      <c r="X9" s="57" t="n"/>
      <c r="Y9" s="57" t="n"/>
      <c r="Z9" s="57" t="n"/>
    </row>
    <row r="10" ht="54" customHeight="1" s="94">
      <c r="A10" s="83" t="inlineStr">
        <is>
          <t>V06</t>
        </is>
      </c>
      <c r="B10" s="83" t="inlineStr">
        <is>
          <t>01. Vé xe / cổng</t>
        </is>
      </c>
      <c r="C10" s="83" t="inlineStr">
        <is>
          <t>P0</t>
        </is>
      </c>
      <c r="D10" s="83" t="inlineStr">
        <is>
          <t>Mất liên 02, phạt 250.000đ: bộ phận nào xác nhận, thu tiền và đánh dấu đã xử lý?</t>
        </is>
      </c>
      <c r="E10" s="83" t="inlineStr">
        <is>
          <t>A. An ninh nhận phạt; B. CCKB thu; C. An ninh xác nhận mất, CCKB thu; ghi rõ ngoại lệ.</t>
        </is>
      </c>
      <c r="F10" s="85" t="inlineStr">
        <is>
          <t>A</t>
        </is>
      </c>
      <c r="G10" s="85" t="n"/>
      <c r="H10" s="85" t="inlineStr">
        <is>
          <t>Đã chốt</t>
        </is>
      </c>
      <c r="I10" s="83" t="inlineStr">
        <is>
          <t>Trưởng BP An ninh + CCKB</t>
        </is>
      </c>
      <c r="J10" s="83" t="n"/>
      <c r="K10" s="83" t="n"/>
      <c r="L10" s="83" t="n"/>
      <c r="M10" s="83" t="inlineStr">
        <is>
          <t>Thông báo vé giấy Sơn Cảng</t>
        </is>
      </c>
      <c r="N10" s="57" t="n"/>
      <c r="O10" s="57" t="n"/>
      <c r="P10" s="57" t="n"/>
      <c r="Q10" s="57" t="n"/>
      <c r="R10" s="57" t="n"/>
      <c r="S10" s="57" t="n"/>
      <c r="T10" s="57" t="n"/>
      <c r="U10" s="57" t="n"/>
      <c r="V10" s="57" t="n"/>
      <c r="W10" s="57" t="n"/>
      <c r="X10" s="57" t="n"/>
      <c r="Y10" s="57" t="n"/>
      <c r="Z10" s="57" t="n"/>
    </row>
    <row r="11" ht="54" customHeight="1" s="94">
      <c r="A11" s="81" t="inlineStr">
        <is>
          <t>V07</t>
        </is>
      </c>
      <c r="B11" s="81" t="inlineStr">
        <is>
          <t>01. Vé xe / cổng</t>
        </is>
      </c>
      <c r="C11" s="81" t="inlineStr">
        <is>
          <t>P1</t>
        </is>
      </c>
      <c r="D11" s="81" t="inlineStr">
        <is>
          <t>Trường hợp khách có vé nhưng số vé/biển số không khớp: cho sửa vé tại cổng hay báo Trưởng BP xử lý?</t>
        </is>
      </c>
      <c r="E11" s="81" t="inlineStr">
        <is>
          <t>A. Chặn và yêu cầu phê duyệt; B. Cho xác minh bằng chứng từ; C. Quy trình khác.</t>
        </is>
      </c>
      <c r="F11" s="84" t="inlineStr">
        <is>
          <t>A</t>
        </is>
      </c>
      <c r="G11" s="84" t="n"/>
      <c r="H11" s="84" t="inlineStr">
        <is>
          <t>Đã chốt</t>
        </is>
      </c>
      <c r="I11" s="81" t="inlineStr">
        <is>
          <t>Trưởng BP An ninh</t>
        </is>
      </c>
      <c r="J11" s="81" t="n"/>
      <c r="K11" s="81" t="n"/>
      <c r="L11" s="81" t="n"/>
      <c r="M11" s="81" t="inlineStr">
        <is>
          <t>Trao đổi nghiệp vụ Sơn Cảng, 10-11/10/2026</t>
        </is>
      </c>
      <c r="N11" s="57" t="n"/>
      <c r="O11" s="57" t="n"/>
      <c r="P11" s="57" t="n"/>
      <c r="Q11" s="57" t="n"/>
      <c r="R11" s="57" t="n"/>
      <c r="S11" s="57" t="n"/>
      <c r="T11" s="57" t="n"/>
      <c r="U11" s="57" t="n"/>
      <c r="V11" s="57" t="n"/>
      <c r="W11" s="57" t="n"/>
      <c r="X11" s="57" t="n"/>
      <c r="Y11" s="57" t="n"/>
      <c r="Z11" s="57" t="n"/>
    </row>
    <row r="12" ht="54" customHeight="1" s="94">
      <c r="A12" s="83" t="inlineStr">
        <is>
          <t>V08</t>
        </is>
      </c>
      <c r="B12" s="83" t="inlineStr">
        <is>
          <t>01. Vé xe / cổng</t>
        </is>
      </c>
      <c r="C12" s="83" t="inlineStr">
        <is>
          <t>P1</t>
        </is>
      </c>
      <c r="D12" s="83" t="inlineStr">
        <is>
          <t>Xe sang tải (tạp), đầu kéo 0đ có cần ghi nhận phiếu/vé giấy và xác nhận trạng thái Miễn phí hay không?</t>
        </is>
      </c>
      <c r="E12" s="83" t="inlineStr">
        <is>
          <t>A. Có kiểm soát đủ; B. Chỉ ghi lượt; C. Trường hợp khác.</t>
        </is>
      </c>
      <c r="F12" s="85" t="inlineStr">
        <is>
          <t>A</t>
        </is>
      </c>
      <c r="G12" s="85" t="n"/>
      <c r="H12" s="85" t="inlineStr">
        <is>
          <t>Đã chốt</t>
        </is>
      </c>
      <c r="I12" s="83" t="inlineStr">
        <is>
          <t>Trưởng BP An ninh</t>
        </is>
      </c>
      <c r="J12" s="83" t="n"/>
      <c r="K12" s="83" t="n"/>
      <c r="L12" s="83" t="n"/>
      <c r="M12" s="83" t="inlineStr">
        <is>
          <t>Trao đổi nghiệp vụ Sơn Cảng, 10-11/10/2026</t>
        </is>
      </c>
      <c r="N12" s="57" t="n"/>
      <c r="O12" s="57" t="n"/>
      <c r="P12" s="57" t="n"/>
      <c r="Q12" s="57" t="n"/>
      <c r="R12" s="57" t="n"/>
      <c r="S12" s="57" t="n"/>
      <c r="T12" s="57" t="n"/>
      <c r="U12" s="57" t="n"/>
      <c r="V12" s="57" t="n"/>
      <c r="W12" s="57" t="n"/>
      <c r="X12" s="57" t="n"/>
      <c r="Y12" s="57" t="n"/>
      <c r="Z12" s="57" t="n"/>
    </row>
    <row r="13" ht="54" customHeight="1" s="94">
      <c r="A13" s="81" t="inlineStr">
        <is>
          <t>V09</t>
        </is>
      </c>
      <c r="B13" s="81" t="inlineStr">
        <is>
          <t>01. Vé xe / cổng</t>
        </is>
      </c>
      <c r="C13" s="81" t="inlineStr">
        <is>
          <t>P1</t>
        </is>
      </c>
      <c r="D13" s="81" t="inlineStr">
        <is>
          <t>Khi xe vào có kéo container, được phép nhập số container tạm/chưa rõ chính xác hay luôn bắt buộc số hợp lệ?</t>
        </is>
      </c>
      <c r="E13" s="81" t="inlineStr">
        <is>
          <t>A. Bắt buộc mã chính xác; B. Cho tạo tạm có phê duyệt; C. Được sửa trong thời hạn.</t>
        </is>
      </c>
      <c r="F13" s="84" t="inlineStr">
        <is>
          <t>A</t>
        </is>
      </c>
      <c r="G13" s="84" t="n"/>
      <c r="H13" s="84" t="inlineStr">
        <is>
          <t>Đã chốt</t>
        </is>
      </c>
      <c r="I13" s="81" t="inlineStr">
        <is>
          <t>Trưởng BP An ninh + Điều phối</t>
        </is>
      </c>
      <c r="J13" s="81" t="n"/>
      <c r="K13" s="81" t="n"/>
      <c r="L13" s="81" t="n"/>
      <c r="M13" s="81" t="inlineStr">
        <is>
          <t>Trao đổi nghiệp vụ Sơn Cảng, 10-11/10/2026</t>
        </is>
      </c>
      <c r="N13" s="57" t="n"/>
      <c r="O13" s="57" t="n"/>
      <c r="P13" s="57" t="n"/>
      <c r="Q13" s="57" t="n"/>
      <c r="R13" s="57" t="n"/>
      <c r="S13" s="57" t="n"/>
      <c r="T13" s="57" t="n"/>
      <c r="U13" s="57" t="n"/>
      <c r="V13" s="57" t="n"/>
      <c r="W13" s="57" t="n"/>
      <c r="X13" s="57" t="n"/>
      <c r="Y13" s="57" t="n"/>
      <c r="Z13" s="57" t="n"/>
    </row>
    <row r="14" ht="54" customHeight="1" s="94">
      <c r="A14" s="83" t="inlineStr">
        <is>
          <t>V10</t>
        </is>
      </c>
      <c r="B14" s="83" t="inlineStr">
        <is>
          <t>01. Vé xe / cổng</t>
        </is>
      </c>
      <c r="C14" s="83" t="inlineStr">
        <is>
          <t>P0</t>
        </is>
      </c>
      <c r="D14" s="83" t="inlineStr">
        <is>
          <t>Một lượt xe có thể chở trên 01 container cùng lúc không, đặc biệt với xe nhỏ hoặc phương tiện đặc biệt?</t>
        </is>
      </c>
      <c r="E14" s="83" t="inlineStr">
        <is>
          <t>A. Chỉ 01; B. Cho nhiều container; C. Tùy loại xe.</t>
        </is>
      </c>
      <c r="F14" s="85" t="inlineStr">
        <is>
          <t>A</t>
        </is>
      </c>
      <c r="G14" s="85" t="n"/>
      <c r="H14" s="85" t="inlineStr">
        <is>
          <t>Đã chốt</t>
        </is>
      </c>
      <c r="I14" s="83" t="inlineStr">
        <is>
          <t>Trưởng BP An ninh + Điều phối</t>
        </is>
      </c>
      <c r="J14" s="83" t="n"/>
      <c r="K14" s="83" t="n"/>
      <c r="L14" s="83" t="n"/>
      <c r="M14" s="83" t="inlineStr">
        <is>
          <t>Trao đổi nghiệp vụ Sơn Cảng, 10-11/10/2026</t>
        </is>
      </c>
      <c r="N14" s="57" t="n"/>
      <c r="O14" s="57" t="n"/>
      <c r="P14" s="57" t="n"/>
      <c r="Q14" s="57" t="n"/>
      <c r="R14" s="57" t="n"/>
      <c r="S14" s="57" t="n"/>
      <c r="T14" s="57" t="n"/>
      <c r="U14" s="57" t="n"/>
      <c r="V14" s="57" t="n"/>
      <c r="W14" s="57" t="n"/>
      <c r="X14" s="57" t="n"/>
      <c r="Y14" s="57" t="n"/>
      <c r="Z14" s="57" t="n"/>
    </row>
    <row r="15" ht="54" customHeight="1" s="94">
      <c r="A15" s="81" t="inlineStr">
        <is>
          <t>V11</t>
        </is>
      </c>
      <c r="B15" s="81" t="inlineStr">
        <is>
          <t>01. Vé xe / cổng</t>
        </is>
      </c>
      <c r="C15" s="81" t="inlineStr">
        <is>
          <t>P1</t>
        </is>
      </c>
      <c r="D15" s="81" t="inlineStr">
        <is>
          <t>Khi xe ra không kéo container (đã hạ), có yêu cầu xác nhận riêng tại cổng hay chỉ chọn phương án ra không cont?</t>
        </is>
      </c>
      <c r="E15" s="81" t="inlineStr">
        <is>
          <t>A. Bắt buộc xác nhận; B. Theo trạng thái cont thực tế; C. Quy trình khác.</t>
        </is>
      </c>
      <c r="F15" s="84" t="inlineStr">
        <is>
          <t>A</t>
        </is>
      </c>
      <c r="G15" s="84" t="n"/>
      <c r="H15" s="84" t="inlineStr">
        <is>
          <t>Đã chốt</t>
        </is>
      </c>
      <c r="I15" s="81" t="inlineStr">
        <is>
          <t>Trưởng BP An ninh</t>
        </is>
      </c>
      <c r="J15" s="81" t="n"/>
      <c r="K15" s="81" t="n"/>
      <c r="L15" s="81" t="n"/>
      <c r="M15" s="81" t="inlineStr">
        <is>
          <t>Trao đổi nghiệp vụ Sơn Cảng, 10-11/10/2026</t>
        </is>
      </c>
      <c r="N15" s="57" t="n"/>
      <c r="O15" s="57" t="n"/>
      <c r="P15" s="57" t="n"/>
      <c r="Q15" s="57" t="n"/>
      <c r="R15" s="57" t="n"/>
      <c r="S15" s="57" t="n"/>
      <c r="T15" s="57" t="n"/>
      <c r="U15" s="57" t="n"/>
      <c r="V15" s="57" t="n"/>
      <c r="W15" s="57" t="n"/>
      <c r="X15" s="57" t="n"/>
      <c r="Y15" s="57" t="n"/>
      <c r="Z15" s="57" t="n"/>
    </row>
    <row r="16" ht="54" customHeight="1" s="94">
      <c r="A16" s="83" t="inlineStr">
        <is>
          <t>V12</t>
        </is>
      </c>
      <c r="B16" s="83" t="inlineStr">
        <is>
          <t>01. Vé xe / cổng</t>
        </is>
      </c>
      <c r="C16" s="83" t="inlineStr">
        <is>
          <t>P1</t>
        </is>
      </c>
      <c r="D16" s="83" t="inlineStr">
        <is>
          <t>Sửa GIO_VAO/GIO_RA, biển số hoặc loại xe: ai được sửa, giới hạn thời gian và cần bằng chứng gì?</t>
        </is>
      </c>
      <c r="E16" s="83" t="inlineStr">
        <is>
          <t>A. Nhân viên sửa trước ra; B. TBP duyệt khi đã ra; C. Mọi sửa phải TBP duyệt.</t>
        </is>
      </c>
      <c r="F16" s="85" t="inlineStr">
        <is>
          <t>C</t>
        </is>
      </c>
      <c r="G16" s="85" t="inlineStr">
        <is>
          <t>cho phép sửa linh hoạt nhưng có log</t>
        </is>
      </c>
      <c r="H16" s="85" t="inlineStr">
        <is>
          <t>Đã chốt</t>
        </is>
      </c>
      <c r="I16" s="83" t="inlineStr">
        <is>
          <t>Trưởng BP An ninh</t>
        </is>
      </c>
      <c r="J16" s="83" t="n"/>
      <c r="K16" s="83" t="n"/>
      <c r="L16" s="83" t="n"/>
      <c r="M16" s="83" t="inlineStr">
        <is>
          <t>Trao đổi nghiệp vụ Sơn Cảng, 10-11/10/2026</t>
        </is>
      </c>
      <c r="N16" s="57" t="n"/>
      <c r="O16" s="57" t="n"/>
      <c r="P16" s="57" t="n"/>
      <c r="Q16" s="57" t="n"/>
      <c r="R16" s="57" t="n"/>
      <c r="S16" s="57" t="n"/>
      <c r="T16" s="57" t="n"/>
      <c r="U16" s="57" t="n"/>
      <c r="V16" s="57" t="n"/>
      <c r="W16" s="57" t="n"/>
      <c r="X16" s="57" t="n"/>
      <c r="Y16" s="57" t="n"/>
      <c r="Z16" s="57" t="n"/>
    </row>
    <row r="17" ht="54" customHeight="1" s="94">
      <c r="A17" s="81" t="inlineStr">
        <is>
          <t>L01</t>
        </is>
      </c>
      <c r="B17" s="81" t="inlineStr">
        <is>
          <t>02. Lưu container</t>
        </is>
      </c>
      <c r="C17" s="81" t="inlineStr">
        <is>
          <t>P0</t>
        </is>
      </c>
      <c r="D17" s="81" t="inlineStr">
        <is>
          <t>Nếu container vào trước 22:00 và ra đúng 22:00, có ghi nhận 1 đêm hay chưa?</t>
        </is>
      </c>
      <c r="E17" s="81" t="inlineStr">
        <is>
          <t>A. Tính 1 đêm (&gt;=22:00); B. Chưa tính nếu ra đúng 22:00; C. Theo công thức AppSheet V1 đã nghiệm thu.</t>
        </is>
      </c>
      <c r="F17" s="84" t="inlineStr">
        <is>
          <t>A</t>
        </is>
      </c>
      <c r="G17" s="84" t="n"/>
      <c r="H17" s="84" t="inlineStr">
        <is>
          <t>Đã chốt</t>
        </is>
      </c>
      <c r="I17" s="81" t="inlineStr">
        <is>
          <t>Trưởng BP CCKB</t>
        </is>
      </c>
      <c r="J17" s="81" t="n"/>
      <c r="K17" s="81" t="n"/>
      <c r="L17" s="81" t="n"/>
      <c r="M17" s="81" t="inlineStr">
        <is>
          <t>Thông báo 22:00–06:00</t>
        </is>
      </c>
      <c r="N17" s="57" t="n"/>
      <c r="O17" s="57" t="n"/>
      <c r="P17" s="57" t="n"/>
      <c r="Q17" s="57" t="n"/>
      <c r="R17" s="57" t="n"/>
      <c r="S17" s="57" t="n"/>
      <c r="T17" s="57" t="n"/>
      <c r="U17" s="57" t="n"/>
      <c r="V17" s="57" t="n"/>
      <c r="W17" s="57" t="n"/>
      <c r="X17" s="57" t="n"/>
      <c r="Y17" s="57" t="n"/>
      <c r="Z17" s="57" t="n"/>
    </row>
    <row r="18" ht="54" customHeight="1" s="94">
      <c r="A18" s="83" t="inlineStr">
        <is>
          <t>L02</t>
        </is>
      </c>
      <c r="B18" s="83" t="inlineStr">
        <is>
          <t>02. Lưu container</t>
        </is>
      </c>
      <c r="C18" s="83" t="inlineStr">
        <is>
          <t>P0</t>
        </is>
      </c>
      <c r="D18" s="83" t="inlineStr">
        <is>
          <t>Nếu container vào đúng 06:00 hoặc ra đúng 06:00, quy tắc gán cho kỳ đêm nào?</t>
        </is>
      </c>
      <c r="E18" s="83" t="inlineStr">
        <is>
          <t>A. Kỳ đêm kết thúc tại 06:00, ra 06:00 có tính; B. Kết thúc trước 06:00 mới tính; C. Theo V1.</t>
        </is>
      </c>
      <c r="F18" s="85" t="inlineStr">
        <is>
          <t>A</t>
        </is>
      </c>
      <c r="G18" s="85" t="n"/>
      <c r="H18" s="85" t="inlineStr">
        <is>
          <t>Đã chốt</t>
        </is>
      </c>
      <c r="I18" s="83" t="inlineStr">
        <is>
          <t>Trưởng BP CCKB</t>
        </is>
      </c>
      <c r="J18" s="83" t="n"/>
      <c r="K18" s="83" t="n"/>
      <c r="L18" s="83" t="n"/>
      <c r="M18" s="83" t="inlineStr">
        <is>
          <t>Trao đổi nghiệp vụ Sơn Cảng, 10-11/10/2026</t>
        </is>
      </c>
      <c r="N18" s="57" t="n"/>
      <c r="O18" s="57" t="n"/>
      <c r="P18" s="57" t="n"/>
      <c r="Q18" s="57" t="n"/>
      <c r="R18" s="57" t="n"/>
      <c r="S18" s="57" t="n"/>
      <c r="T18" s="57" t="n"/>
      <c r="U18" s="57" t="n"/>
      <c r="V18" s="57" t="n"/>
      <c r="W18" s="57" t="n"/>
      <c r="X18" s="57" t="n"/>
      <c r="Y18" s="57" t="n"/>
      <c r="Z18" s="57" t="n"/>
    </row>
    <row r="19" ht="54" customHeight="1" s="94">
      <c r="A19" s="81" t="inlineStr">
        <is>
          <t>L03</t>
        </is>
      </c>
      <c r="B19" s="81" t="inlineStr">
        <is>
          <t>02. Lưu container</t>
        </is>
      </c>
      <c r="C19" s="81" t="inlineStr">
        <is>
          <t>P0</t>
        </is>
      </c>
      <c r="D19" s="81" t="inlineStr">
        <is>
          <t>Xe vào sau 22:00 (ví dụ 23:30) và ra trước 06:00 (02:00), đêm đó vẫn là 1 đêm miễn phí đúng không?</t>
        </is>
      </c>
      <c r="E19" s="81" t="inlineStr">
        <is>
          <t>A. Đúng; B. Chỉ khi qua mốc 06:00; C. Khác.</t>
        </is>
      </c>
      <c r="F19" s="84" t="inlineStr">
        <is>
          <t>A</t>
        </is>
      </c>
      <c r="G19" s="84" t="n"/>
      <c r="H19" s="84" t="inlineStr">
        <is>
          <t>Đã chốt</t>
        </is>
      </c>
      <c r="I19" s="81" t="inlineStr">
        <is>
          <t>Trưởng BP CCKB</t>
        </is>
      </c>
      <c r="J19" s="81" t="n"/>
      <c r="K19" s="81" t="n"/>
      <c r="L19" s="81" t="n"/>
      <c r="M19" s="81" t="inlineStr">
        <is>
          <t>Trao đổi nghiệp vụ Sơn Cảng, 10-11/10/2026</t>
        </is>
      </c>
      <c r="N19" s="57" t="n"/>
      <c r="O19" s="57" t="n"/>
      <c r="P19" s="57" t="n"/>
      <c r="Q19" s="57" t="n"/>
      <c r="R19" s="57" t="n"/>
      <c r="S19" s="57" t="n"/>
      <c r="T19" s="57" t="n"/>
      <c r="U19" s="57" t="n"/>
      <c r="V19" s="57" t="n"/>
      <c r="W19" s="57" t="n"/>
      <c r="X19" s="57" t="n"/>
      <c r="Y19" s="57" t="n"/>
      <c r="Z19" s="57" t="n"/>
    </row>
    <row r="20" ht="54" customHeight="1" s="94">
      <c r="A20" s="83" t="inlineStr">
        <is>
          <t>L04</t>
        </is>
      </c>
      <c r="B20" s="83" t="inlineStr">
        <is>
          <t>02. Lưu container</t>
        </is>
      </c>
      <c r="C20" s="83" t="inlineStr">
        <is>
          <t>P0</t>
        </is>
      </c>
      <c r="D20" s="83" t="inlineStr">
        <is>
          <t>CCKB đã duyệt thanh toán trước 22:00, nhưng container thực tế xuất sau 22:00 và phát sinh thêm kỳ đêm: quy trình cập nhật phí?</t>
        </is>
      </c>
      <c r="E20" s="83" t="inlineStr">
        <is>
          <t>A. Hủy hiệu lực xác nhận cũ, tính và thu thêm; B. Khóa phí tại giờ CCKB duyệt; C. Trường hợp ngoại lệ riêng.</t>
        </is>
      </c>
      <c r="F20" s="85" t="inlineStr">
        <is>
          <t>B</t>
        </is>
      </c>
      <c r="G20" s="85" t="inlineStr">
        <is>
          <t>Vì nhiều lúc thanh toán và rút rồi nhưng chưa ra nhé</t>
        </is>
      </c>
      <c r="H20" s="85" t="inlineStr">
        <is>
          <t>Đã chốt</t>
        </is>
      </c>
      <c r="I20" s="83" t="inlineStr">
        <is>
          <t>Trưởng BP CCKB + An ninh</t>
        </is>
      </c>
      <c r="J20" s="83" t="n"/>
      <c r="K20" s="83" t="n"/>
      <c r="L20" s="83" t="n"/>
      <c r="M20" s="83" t="inlineStr">
        <is>
          <t>Trao đổi nghiệp vụ Sơn Cảng, 10-11/10/2026</t>
        </is>
      </c>
      <c r="N20" s="57" t="n"/>
      <c r="O20" s="57" t="n"/>
      <c r="P20" s="57" t="n"/>
      <c r="Q20" s="57" t="n"/>
      <c r="R20" s="57" t="n"/>
      <c r="S20" s="57" t="n"/>
      <c r="T20" s="57" t="n"/>
      <c r="U20" s="57" t="n"/>
      <c r="V20" s="57" t="n"/>
      <c r="W20" s="57" t="n"/>
      <c r="X20" s="57" t="n"/>
      <c r="Y20" s="57" t="n"/>
      <c r="Z20" s="57" t="n"/>
    </row>
    <row r="21" ht="54" customHeight="1" s="94">
      <c r="A21" s="81" t="inlineStr">
        <is>
          <t>L05</t>
        </is>
      </c>
      <c r="B21" s="81" t="inlineStr">
        <is>
          <t>02. Lưu container</t>
        </is>
      </c>
      <c r="C21" s="81" t="inlineStr">
        <is>
          <t>P1</t>
        </is>
      </c>
      <c r="D21" s="81" t="inlineStr">
        <is>
          <t>Container vào ra trong cùng ngày, chưa qua 22:00: SO_DEM_LUU hiển thị 0 hay tối thiểu 1 (miễn phí)?</t>
        </is>
      </c>
      <c r="E21" s="81" t="inlineStr">
        <is>
          <t>A. Hiển thị 0; B. Hiển thị 1 (miễn); C. Tách đêm thực tế / đêm tính tiền.</t>
        </is>
      </c>
      <c r="F21" s="84" t="inlineStr">
        <is>
          <t>B</t>
        </is>
      </c>
      <c r="G21" s="84" t="n"/>
      <c r="H21" s="84" t="inlineStr">
        <is>
          <t>Đã chốt</t>
        </is>
      </c>
      <c r="I21" s="81" t="inlineStr">
        <is>
          <t>Trưởng BP CCKB</t>
        </is>
      </c>
      <c r="J21" s="81" t="n"/>
      <c r="K21" s="81" t="n"/>
      <c r="L21" s="81" t="n"/>
      <c r="M21" s="81" t="inlineStr">
        <is>
          <t>Trao đổi nghiệp vụ Sơn Cảng, 10-11/10/2026</t>
        </is>
      </c>
      <c r="N21" s="57" t="n"/>
      <c r="O21" s="57" t="n"/>
      <c r="P21" s="57" t="n"/>
      <c r="Q21" s="57" t="n"/>
      <c r="R21" s="57" t="n"/>
      <c r="S21" s="57" t="n"/>
      <c r="T21" s="57" t="n"/>
      <c r="U21" s="57" t="n"/>
      <c r="V21" s="57" t="n"/>
      <c r="W21" s="57" t="n"/>
      <c r="X21" s="57" t="n"/>
      <c r="Y21" s="57" t="n"/>
      <c r="Z21" s="57" t="n"/>
    </row>
    <row r="22" ht="54" customHeight="1" s="94">
      <c r="A22" s="83" t="inlineStr">
        <is>
          <t>L06</t>
        </is>
      </c>
      <c r="B22" s="83" t="inlineStr">
        <is>
          <t>02. Lưu container</t>
        </is>
      </c>
      <c r="C22" s="83" t="inlineStr">
        <is>
          <t>P1</t>
        </is>
      </c>
      <c r="D22" s="83" t="inlineStr">
        <is>
          <t>Ai được sửa GIO_CONT_VAO/GIO_CONT_RA khi nhập muộn hoặc phát hiện sai? Việc sửa đã thu cần xử lý ra sao?</t>
        </is>
      </c>
      <c r="E22" s="83" t="inlineStr">
        <is>
          <t>A. Nhân viên đề xuất/TBP duyệt sau thu; B. TBP tự sửa có lý do; C. Quy trình khác.</t>
        </is>
      </c>
      <c r="F22" s="85" t="inlineStr">
        <is>
          <t>A</t>
        </is>
      </c>
      <c r="G22" s="85" t="inlineStr">
        <is>
          <t>A và B luôn</t>
        </is>
      </c>
      <c r="H22" s="85" t="inlineStr">
        <is>
          <t>Đã chốt</t>
        </is>
      </c>
      <c r="I22" s="83" t="inlineStr">
        <is>
          <t>Trưởng BP CCKB + An ninh</t>
        </is>
      </c>
      <c r="J22" s="83" t="n"/>
      <c r="K22" s="83" t="n"/>
      <c r="L22" s="83" t="n"/>
      <c r="M22" s="83" t="inlineStr">
        <is>
          <t>Trao đổi nghiệp vụ Sơn Cảng, 10-11/10/2026</t>
        </is>
      </c>
      <c r="N22" s="57" t="n"/>
      <c r="O22" s="57" t="n"/>
      <c r="P22" s="57" t="n"/>
      <c r="Q22" s="57" t="n"/>
      <c r="R22" s="57" t="n"/>
      <c r="S22" s="57" t="n"/>
      <c r="T22" s="57" t="n"/>
      <c r="U22" s="57" t="n"/>
      <c r="V22" s="57" t="n"/>
      <c r="W22" s="57" t="n"/>
      <c r="X22" s="57" t="n"/>
      <c r="Y22" s="57" t="n"/>
      <c r="Z22" s="57" t="n"/>
    </row>
    <row r="23" ht="54" customHeight="1" s="94">
      <c r="A23" s="81" t="inlineStr">
        <is>
          <t>L07</t>
        </is>
      </c>
      <c r="B23" s="81" t="inlineStr">
        <is>
          <t>02. Lưu container</t>
        </is>
      </c>
      <c r="C23" s="81" t="inlineStr">
        <is>
          <t>P0</t>
        </is>
      </c>
      <c r="D23" s="81" t="inlineStr">
        <is>
          <t>Xe gốc đã ra nhưng container còn lại: CCKB duyệt tài chính cho lượt xe ra không kéo cont như thế nào?</t>
        </is>
      </c>
      <c r="E23" s="81" t="inlineStr">
        <is>
          <t>A. Chỉ cần vé xe; B. Cần xác nhận container tiếp tục ở bãi; C. Cần thêm xác nhận riêng.</t>
        </is>
      </c>
      <c r="F23" s="84" t="inlineStr">
        <is>
          <t>Khác</t>
        </is>
      </c>
      <c r="G23" s="84" t="inlineStr">
        <is>
          <t>duyệt theo container CCKB k quan tâ tới biểu số xe chỉ số cont</t>
        </is>
      </c>
      <c r="H23" s="84" t="inlineStr">
        <is>
          <t>Đã chốt</t>
        </is>
      </c>
      <c r="I23" s="81" t="inlineStr">
        <is>
          <t>Trưởng BP CCKB + An ninh</t>
        </is>
      </c>
      <c r="J23" s="81" t="n"/>
      <c r="K23" s="81" t="n"/>
      <c r="L23" s="81" t="n"/>
      <c r="M23" s="81" t="inlineStr">
        <is>
          <t>Trao đổi nghiệp vụ Sơn Cảng, 10-11/10/2026</t>
        </is>
      </c>
      <c r="N23" s="57" t="n"/>
      <c r="O23" s="57" t="n"/>
      <c r="P23" s="57" t="n"/>
      <c r="Q23" s="57" t="n"/>
      <c r="R23" s="57" t="n"/>
      <c r="S23" s="57" t="n"/>
      <c r="T23" s="57" t="n"/>
      <c r="U23" s="57" t="n"/>
      <c r="V23" s="57" t="n"/>
      <c r="W23" s="57" t="n"/>
      <c r="X23" s="57" t="n"/>
      <c r="Y23" s="57" t="n"/>
      <c r="Z23" s="57" t="n"/>
    </row>
    <row r="24" ht="54" customHeight="1" s="94">
      <c r="A24" s="83" t="inlineStr">
        <is>
          <t>L08</t>
        </is>
      </c>
      <c r="B24" s="83" t="inlineStr">
        <is>
          <t>02. Lưu container</t>
        </is>
      </c>
      <c r="C24" s="83" t="inlineStr">
        <is>
          <t>P1</t>
        </is>
      </c>
      <c r="D24" s="83" t="inlineStr">
        <is>
          <t>Nếu khách muốn trả trước một phần phí lưu container trong khi cont còn ở bãi, có cho phép ghi nhận không?</t>
        </is>
      </c>
      <c r="E24" s="83" t="inlineStr">
        <is>
          <t>A. Không; B. Có thanh toán trước, đối trừ khi ra; C. Chỉ nếu TBP duyệt.</t>
        </is>
      </c>
      <c r="F24" s="85" t="inlineStr">
        <is>
          <t>A</t>
        </is>
      </c>
      <c r="G24" s="85" t="n"/>
      <c r="H24" s="85" t="inlineStr">
        <is>
          <t>Đã chốt</t>
        </is>
      </c>
      <c r="I24" s="83" t="inlineStr">
        <is>
          <t>Trưởng BP CCKB</t>
        </is>
      </c>
      <c r="J24" s="83" t="n"/>
      <c r="K24" s="83" t="n"/>
      <c r="L24" s="83" t="n"/>
      <c r="M24" s="83" t="inlineStr">
        <is>
          <t>Trao đổi nghiệp vụ Sơn Cảng, 10-11/10/2026</t>
        </is>
      </c>
      <c r="N24" s="57" t="n"/>
      <c r="O24" s="57" t="n"/>
      <c r="P24" s="57" t="n"/>
      <c r="Q24" s="57" t="n"/>
      <c r="R24" s="57" t="n"/>
      <c r="S24" s="57" t="n"/>
      <c r="T24" s="57" t="n"/>
      <c r="U24" s="57" t="n"/>
      <c r="V24" s="57" t="n"/>
      <c r="W24" s="57" t="n"/>
      <c r="X24" s="57" t="n"/>
      <c r="Y24" s="57" t="n"/>
      <c r="Z24" s="57" t="n"/>
    </row>
    <row r="25" ht="54" customHeight="1" s="94">
      <c r="A25" s="81" t="inlineStr">
        <is>
          <t>L09</t>
        </is>
      </c>
      <c r="B25" s="81" t="inlineStr">
        <is>
          <t>02. Lưu container</t>
        </is>
      </c>
      <c r="C25" s="81" t="inlineStr">
        <is>
          <t>P1</t>
        </is>
      </c>
      <c r="D25" s="81" t="inlineStr">
        <is>
          <t>Đơn giá phí lưu khi thay PRICE_LIST trong thời gian một container đang lưu: giữ giá lúc vào hay áp dụng theo từng kỳ ngày?</t>
        </is>
      </c>
      <c r="E25" s="81" t="inlineStr">
        <is>
          <t>A. Chốt tại GIO_CONT_VAO; B. Mỗi kỳ đêm theo bảng giá hiệu lực; C. Điều chỉnh bằng quyết định cụ thể.</t>
        </is>
      </c>
      <c r="F25" s="84" t="inlineStr">
        <is>
          <t>B</t>
        </is>
      </c>
      <c r="G25" s="84" t="inlineStr">
        <is>
          <t xml:space="preserve">Cái này khó nhỉ? A và B đi cho linh hoạt </t>
        </is>
      </c>
      <c r="H25" s="84" t="inlineStr">
        <is>
          <t>Đã chốt</t>
        </is>
      </c>
      <c r="I25" s="81" t="inlineStr">
        <is>
          <t>Trưởng BP CCKB + Quản trị</t>
        </is>
      </c>
      <c r="J25" s="81" t="n"/>
      <c r="K25" s="81" t="n"/>
      <c r="L25" s="81" t="n"/>
      <c r="M25" s="81" t="inlineStr">
        <is>
          <t>Trao đổi nghiệp vụ Sơn Cảng, 10-11/10/2026</t>
        </is>
      </c>
      <c r="N25" s="57" t="n"/>
      <c r="O25" s="57" t="n"/>
      <c r="P25" s="57" t="n"/>
      <c r="Q25" s="57" t="n"/>
      <c r="R25" s="57" t="n"/>
      <c r="S25" s="57" t="n"/>
      <c r="T25" s="57" t="n"/>
      <c r="U25" s="57" t="n"/>
      <c r="V25" s="57" t="n"/>
      <c r="W25" s="57" t="n"/>
      <c r="X25" s="57" t="n"/>
      <c r="Y25" s="57" t="n"/>
      <c r="Z25" s="57" t="n"/>
    </row>
    <row r="26" ht="54" customHeight="1" s="94">
      <c r="A26" s="83" t="inlineStr">
        <is>
          <t>L10</t>
        </is>
      </c>
      <c r="B26" s="83" t="inlineStr">
        <is>
          <t>02. Lưu container</t>
        </is>
      </c>
      <c r="C26" s="83" t="inlineStr">
        <is>
          <t>P1</t>
        </is>
      </c>
      <c r="D26" s="83" t="inlineStr">
        <is>
          <t>Có cần tính phí lưu cho container chưa xác định HÀNG/RỖNG, hay phải chờ Điều phối xác nhận?</t>
        </is>
      </c>
      <c r="E26" s="83" t="inlineStr">
        <is>
          <t>A. Vẫn tính; B. Chặn thanh toán đến khi rõ trạng thái; C. Khác.</t>
        </is>
      </c>
      <c r="F26" s="85" t="inlineStr">
        <is>
          <t>A</t>
        </is>
      </c>
      <c r="G26" s="85" t="inlineStr">
        <is>
          <t>Vẫn tính, có thể phân quyền lại cho user nào đó đi đếm nhé k nhất thiết điều phôi</t>
        </is>
      </c>
      <c r="H26" s="85" t="inlineStr">
        <is>
          <t>Đã chốt</t>
        </is>
      </c>
      <c r="I26" s="83" t="inlineStr">
        <is>
          <t>Trưởng BP CCKB + Điều phối</t>
        </is>
      </c>
      <c r="J26" s="83" t="n"/>
      <c r="K26" s="83" t="n"/>
      <c r="L26" s="83" t="n"/>
      <c r="M26" s="83" t="inlineStr">
        <is>
          <t>Trao đổi nghiệp vụ Sơn Cảng, 10-11/10/2026</t>
        </is>
      </c>
      <c r="N26" s="57" t="n"/>
      <c r="O26" s="57" t="n"/>
      <c r="P26" s="57" t="n"/>
      <c r="Q26" s="57" t="n"/>
      <c r="R26" s="57" t="n"/>
      <c r="S26" s="57" t="n"/>
      <c r="T26" s="57" t="n"/>
      <c r="U26" s="57" t="n"/>
      <c r="V26" s="57" t="n"/>
      <c r="W26" s="57" t="n"/>
      <c r="X26" s="57" t="n"/>
      <c r="Y26" s="57" t="n"/>
      <c r="Z26" s="57" t="n"/>
    </row>
    <row r="27" ht="54" customHeight="1" s="94">
      <c r="A27" s="81" t="inlineStr">
        <is>
          <t>E01</t>
        </is>
      </c>
      <c r="B27" s="81" t="inlineStr">
        <is>
          <t>03. Cắm/rút điện</t>
        </is>
      </c>
      <c r="C27" s="81" t="inlineStr">
        <is>
          <t>P0</t>
        </is>
      </c>
      <c r="D27" s="81" t="inlineStr">
        <is>
          <t>CCKB được tạo phiên cắm/rút và nhập giờ sau khi An ninh báo qua Zalo mà KHÔNG lập trước lệnh trong PWA chứ?</t>
        </is>
      </c>
      <c r="E27" s="81" t="inlineStr">
        <is>
          <t>A. Có, được nhập hồi tố và ghi giờ báo; B. Luôn phải lập yêu cầu trước; C. Kết hợp cả hai.</t>
        </is>
      </c>
      <c r="F27" s="84" t="inlineStr">
        <is>
          <t>C</t>
        </is>
      </c>
      <c r="G27" s="84" t="inlineStr">
        <is>
          <t>Cả 2 đi cho thoải mái</t>
        </is>
      </c>
      <c r="H27" s="84" t="inlineStr">
        <is>
          <t>Đã chốt</t>
        </is>
      </c>
      <c r="I27" s="81" t="inlineStr">
        <is>
          <t>Trưởng BP CCKB + An ninh</t>
        </is>
      </c>
      <c r="J27" s="81" t="n"/>
      <c r="K27" s="81" t="n"/>
      <c r="L27" s="81" t="n"/>
      <c r="M27" s="81" t="inlineStr">
        <is>
          <t>Trao đổi nghiệp vụ Sơn Cảng, 10-11/10/2026</t>
        </is>
      </c>
      <c r="N27" s="57" t="n"/>
      <c r="O27" s="57" t="n"/>
      <c r="P27" s="57" t="n"/>
      <c r="Q27" s="57" t="n"/>
      <c r="R27" s="57" t="n"/>
      <c r="S27" s="57" t="n"/>
      <c r="T27" s="57" t="n"/>
      <c r="U27" s="57" t="n"/>
      <c r="V27" s="57" t="n"/>
      <c r="W27" s="57" t="n"/>
      <c r="X27" s="57" t="n"/>
      <c r="Y27" s="57" t="n"/>
      <c r="Z27" s="57" t="n"/>
    </row>
    <row r="28" ht="54" customHeight="1" s="94">
      <c r="A28" s="83" t="inlineStr">
        <is>
          <t>E02</t>
        </is>
      </c>
      <c r="B28" s="83" t="inlineStr">
        <is>
          <t>03. Cắm/rút điện</t>
        </is>
      </c>
      <c r="C28" s="83" t="inlineStr">
        <is>
          <t>P0</t>
        </is>
      </c>
      <c r="D28" s="83" t="inlineStr">
        <is>
          <t>Trường hợp khách yêu cầu cắm/rút trực tiếp với An ninh mà chưa báo CCKB: xử lý nhập và xác minh ra sao?</t>
        </is>
      </c>
      <c r="E28" s="83" t="inlineStr">
        <is>
          <t>A. An ninh báo CCKB, nhập sau; B. Không làm khi chưa có CCKB; C. Ngoại lệ theo ca.</t>
        </is>
      </c>
      <c r="F28" s="85" t="inlineStr">
        <is>
          <t>Khác</t>
        </is>
      </c>
      <c r="G28" s="85" t="inlineStr">
        <is>
          <t>A và B</t>
        </is>
      </c>
      <c r="H28" s="85" t="inlineStr">
        <is>
          <t>Đã chốt</t>
        </is>
      </c>
      <c r="I28" s="83" t="inlineStr">
        <is>
          <t>Trưởng BP CCKB + An ninh</t>
        </is>
      </c>
      <c r="J28" s="83" t="n"/>
      <c r="K28" s="83" t="n"/>
      <c r="L28" s="83" t="n"/>
      <c r="M28" s="83" t="inlineStr">
        <is>
          <t>Trao đổi nghiệp vụ Sơn Cảng, 10-11/10/2026</t>
        </is>
      </c>
      <c r="N28" s="57" t="n"/>
      <c r="O28" s="57" t="n"/>
      <c r="P28" s="57" t="n"/>
      <c r="Q28" s="57" t="n"/>
      <c r="R28" s="57" t="n"/>
      <c r="S28" s="57" t="n"/>
      <c r="T28" s="57" t="n"/>
      <c r="U28" s="57" t="n"/>
      <c r="V28" s="57" t="n"/>
      <c r="W28" s="57" t="n"/>
      <c r="X28" s="57" t="n"/>
      <c r="Y28" s="57" t="n"/>
      <c r="Z28" s="57" t="n"/>
    </row>
    <row r="29" ht="54" customHeight="1" s="94">
      <c r="A29" s="81" t="inlineStr">
        <is>
          <t>E03</t>
        </is>
      </c>
      <c r="B29" s="81" t="inlineStr">
        <is>
          <t>03. Cắm/rút điện</t>
        </is>
      </c>
      <c r="C29" s="81" t="inlineStr">
        <is>
          <t>P1</t>
        </is>
      </c>
      <c r="D29" s="81" t="inlineStr">
        <is>
          <t>Hình thức Theo giờ và Cắm liên tục có khác nhau ở cách vận hành/thanh toán hay hiện chỉ khác danh mục yêu cầu?</t>
        </is>
      </c>
      <c r="E29" s="81" t="inlineStr">
        <is>
          <t>A. Chỉ khác tên; B. Có quy tắc riêng, ghi cụ thể; C. Sẽ phân biệt ở giai đoạn sau.</t>
        </is>
      </c>
      <c r="F29" s="84" t="inlineStr">
        <is>
          <t>A</t>
        </is>
      </c>
      <c r="G29" s="84" t="inlineStr">
        <is>
          <t>CHỉ khác là 1 cái biết giờ rút 1 cái chưa</t>
        </is>
      </c>
      <c r="H29" s="84" t="inlineStr">
        <is>
          <t>Đã chốt</t>
        </is>
      </c>
      <c r="I29" s="81" t="inlineStr">
        <is>
          <t>Trưởng BP CCKB</t>
        </is>
      </c>
      <c r="J29" s="81" t="n"/>
      <c r="K29" s="81" t="n"/>
      <c r="L29" s="81" t="n"/>
      <c r="M29" s="81" t="inlineStr">
        <is>
          <t>Trao đổi nghiệp vụ Sơn Cảng, 10-11/10/2026</t>
        </is>
      </c>
      <c r="N29" s="57" t="n"/>
      <c r="O29" s="57" t="n"/>
      <c r="P29" s="57" t="n"/>
      <c r="Q29" s="57" t="n"/>
      <c r="R29" s="57" t="n"/>
      <c r="S29" s="57" t="n"/>
      <c r="T29" s="57" t="n"/>
      <c r="U29" s="57" t="n"/>
      <c r="V29" s="57" t="n"/>
      <c r="W29" s="57" t="n"/>
      <c r="X29" s="57" t="n"/>
      <c r="Y29" s="57" t="n"/>
      <c r="Z29" s="57" t="n"/>
    </row>
    <row r="30" ht="54" customHeight="1" s="94">
      <c r="A30" s="83" t="inlineStr">
        <is>
          <t>E04</t>
        </is>
      </c>
      <c r="B30" s="83" t="inlineStr">
        <is>
          <t>03. Cắm/rút điện</t>
        </is>
      </c>
      <c r="C30" s="83" t="inlineStr">
        <is>
          <t>P0</t>
        </is>
      </c>
      <c r="D30" s="83" t="inlineStr">
        <is>
          <t>CCKB nhập GIO_CAM_THUC_TE khi container đã rút rồi: cho phép nhập cả giờ cắm và rút trong một biểu mẫu không?</t>
        </is>
      </c>
      <c r="E30" s="83" t="inlineStr">
        <is>
          <t>A. Có; B. Tách thành hai bước bắt buộc; C. Chỉ TBP nhập hồi tố.</t>
        </is>
      </c>
      <c r="F30" s="85" t="inlineStr">
        <is>
          <t>A</t>
        </is>
      </c>
      <c r="G30" s="85" t="inlineStr">
        <is>
          <t>có cho thoải mái giờ chưa kiểm soát chặt lắm</t>
        </is>
      </c>
      <c r="H30" s="85" t="inlineStr">
        <is>
          <t>Đã chốt</t>
        </is>
      </c>
      <c r="I30" s="83" t="inlineStr">
        <is>
          <t>Trưởng BP CCKB</t>
        </is>
      </c>
      <c r="J30" s="83" t="n"/>
      <c r="K30" s="83" t="n"/>
      <c r="L30" s="83" t="n"/>
      <c r="M30" s="83" t="inlineStr">
        <is>
          <t>Trao đổi nghiệp vụ Sơn Cảng, 10-11/10/2026</t>
        </is>
      </c>
      <c r="N30" s="57" t="n"/>
      <c r="O30" s="57" t="n"/>
      <c r="P30" s="57" t="n"/>
      <c r="Q30" s="57" t="n"/>
      <c r="R30" s="57" t="n"/>
      <c r="S30" s="57" t="n"/>
      <c r="T30" s="57" t="n"/>
      <c r="U30" s="57" t="n"/>
      <c r="V30" s="57" t="n"/>
      <c r="W30" s="57" t="n"/>
      <c r="X30" s="57" t="n"/>
      <c r="Y30" s="57" t="n"/>
      <c r="Z30" s="57" t="n"/>
    </row>
    <row r="31" ht="54" customHeight="1" s="94">
      <c r="A31" s="81" t="inlineStr">
        <is>
          <t>E05</t>
        </is>
      </c>
      <c r="B31" s="81" t="inlineStr">
        <is>
          <t>03. Cắm/rút điện</t>
        </is>
      </c>
      <c r="C31" s="81" t="inlineStr">
        <is>
          <t>P0</t>
        </is>
      </c>
      <c r="D31" s="81" t="inlineStr">
        <is>
          <t>Khi An ninh báo giờ cắm/rút không chính xác, CCKB xác minh bằng cách nào trước khi sửa?</t>
        </is>
      </c>
      <c r="E31" s="81" t="inlineStr">
        <is>
          <t>A. CCKB chỉnh có ghi chú; B. Cần ảnh tin nhắn Zalo; C. Phải có TBP xác nhận khi chênh lệch lớn.</t>
        </is>
      </c>
      <c r="F31" s="84" t="inlineStr">
        <is>
          <t>Khác</t>
        </is>
      </c>
      <c r="G31" s="84" t="inlineStr">
        <is>
          <t>Hienj tại khi cắm rút thì an ninh sẽ quay bằng camera time stamp, rồi gửi nhóm</t>
        </is>
      </c>
      <c r="H31" s="84" t="inlineStr">
        <is>
          <t>Đã chốt</t>
        </is>
      </c>
      <c r="I31" s="81" t="inlineStr">
        <is>
          <t>Trưởng BP CCKB</t>
        </is>
      </c>
      <c r="J31" s="81" t="n"/>
      <c r="K31" s="81" t="n"/>
      <c r="L31" s="81" t="n"/>
      <c r="M31" s="81" t="inlineStr">
        <is>
          <t>Trao đổi nghiệp vụ Sơn Cảng, 10-11/10/2026</t>
        </is>
      </c>
      <c r="N31" s="57" t="n"/>
      <c r="O31" s="57" t="n"/>
      <c r="P31" s="57" t="n"/>
      <c r="Q31" s="57" t="n"/>
      <c r="R31" s="57" t="n"/>
      <c r="S31" s="57" t="n"/>
      <c r="T31" s="57" t="n"/>
      <c r="U31" s="57" t="n"/>
      <c r="V31" s="57" t="n"/>
      <c r="W31" s="57" t="n"/>
      <c r="X31" s="57" t="n"/>
      <c r="Y31" s="57" t="n"/>
      <c r="Z31" s="57" t="n"/>
    </row>
    <row r="32" ht="54" customHeight="1" s="94">
      <c r="A32" s="83" t="inlineStr">
        <is>
          <t>E06</t>
        </is>
      </c>
      <c r="B32" s="83" t="inlineStr">
        <is>
          <t>03. Cắm/rút điện</t>
        </is>
      </c>
      <c r="C32" s="83" t="inlineStr">
        <is>
          <t>P0</t>
        </is>
      </c>
      <c r="D32" s="83" t="inlineStr">
        <is>
          <t>Sau khi đã thu tiền điện, CCKB được sửa giờ tới mức nào và quy trình phê duyệt chênh lệch?</t>
        </is>
      </c>
      <c r="E32" s="83" t="inlineStr">
        <is>
          <t>A. NV tạo đề nghị/TBP CCKB duyệt; B. TBP sửa trực tiếp có nhật ký; C. NV được sửa và ghi lý do (không duyệt).</t>
        </is>
      </c>
      <c r="F32" s="85" t="inlineStr">
        <is>
          <t>B</t>
        </is>
      </c>
      <c r="G32" s="85" t="inlineStr">
        <is>
          <t>A Và B</t>
        </is>
      </c>
      <c r="H32" s="85" t="inlineStr">
        <is>
          <t>Đã chốt</t>
        </is>
      </c>
      <c r="I32" s="83" t="inlineStr">
        <is>
          <t>Trưởng BP CCKB</t>
        </is>
      </c>
      <c r="J32" s="83" t="n"/>
      <c r="K32" s="83" t="n"/>
      <c r="L32" s="83" t="n"/>
      <c r="M32" s="83" t="inlineStr">
        <is>
          <t>Đồng thuận sơ bộ: cần phê duyệt điều chỉnh sau thu</t>
        </is>
      </c>
      <c r="N32" s="57" t="n"/>
      <c r="O32" s="57" t="n"/>
      <c r="P32" s="57" t="n"/>
      <c r="Q32" s="57" t="n"/>
      <c r="R32" s="57" t="n"/>
      <c r="S32" s="57" t="n"/>
      <c r="T32" s="57" t="n"/>
      <c r="U32" s="57" t="n"/>
      <c r="V32" s="57" t="n"/>
      <c r="W32" s="57" t="n"/>
      <c r="X32" s="57" t="n"/>
      <c r="Y32" s="57" t="n"/>
      <c r="Z32" s="57" t="n"/>
    </row>
    <row r="33" ht="54" customHeight="1" s="94">
      <c r="A33" s="81" t="inlineStr">
        <is>
          <t>E07</t>
        </is>
      </c>
      <c r="B33" s="81" t="inlineStr">
        <is>
          <t>03. Cắm/rút điện</t>
        </is>
      </c>
      <c r="C33" s="81" t="inlineStr">
        <is>
          <t>P0</t>
        </is>
      </c>
      <c r="D33" s="81" t="inlineStr">
        <is>
          <t>Phiên điện còn trạng thái Đang cắm trên PWA nhưng thực tế đã rút, container có được xuất không?</t>
        </is>
      </c>
      <c r="E33" s="81" t="inlineStr">
        <is>
          <t>A. CCKB bắt buộc hoàn thành ghi nhận trước khi ra; B. TBP duyệt xuất ngoại lệ; C. Khác.</t>
        </is>
      </c>
      <c r="F33" s="84" t="inlineStr">
        <is>
          <t>A</t>
        </is>
      </c>
      <c r="G33" s="84" t="inlineStr">
        <is>
          <t xml:space="preserve">Làm cách nào thoai r mái hon, CCKB cứ xác định xe đã được ra thì ra, nếu xe ra đến cổng mà chưa thấy được ra thì gọi hoặc nhắn nhóm có CCKB </t>
        </is>
      </c>
      <c r="H33" s="84" t="inlineStr">
        <is>
          <t>Đã chốt</t>
        </is>
      </c>
      <c r="I33" s="81" t="inlineStr">
        <is>
          <t>Trưởng BP CCKB + An ninh</t>
        </is>
      </c>
      <c r="J33" s="81" t="n"/>
      <c r="K33" s="81" t="n"/>
      <c r="L33" s="81" t="n"/>
      <c r="M33" s="81" t="inlineStr">
        <is>
          <t>Trao đổi nghiệp vụ Sơn Cảng, 10-11/10/2026</t>
        </is>
      </c>
      <c r="N33" s="57" t="n"/>
      <c r="O33" s="57" t="n"/>
      <c r="P33" s="57" t="n"/>
      <c r="Q33" s="57" t="n"/>
      <c r="R33" s="57" t="n"/>
      <c r="S33" s="57" t="n"/>
      <c r="T33" s="57" t="n"/>
      <c r="U33" s="57" t="n"/>
      <c r="V33" s="57" t="n"/>
      <c r="W33" s="57" t="n"/>
      <c r="X33" s="57" t="n"/>
      <c r="Y33" s="57" t="n"/>
      <c r="Z33" s="57" t="n"/>
    </row>
    <row r="34" ht="54" customHeight="1" s="94">
      <c r="A34" s="83" t="inlineStr">
        <is>
          <t>E08</t>
        </is>
      </c>
      <c r="B34" s="83" t="inlineStr">
        <is>
          <t>03. Cắm/rút điện</t>
        </is>
      </c>
      <c r="C34" s="83" t="inlineStr">
        <is>
          <t>P1</t>
        </is>
      </c>
      <c r="D34" s="83" t="inlineStr">
        <is>
          <t>Khi không có mạng/không thể cập nhật giờ rút, cần quy trình bàn giao ngoài hệ thống và bổ sung dữ liệu như thế nào?</t>
        </is>
      </c>
      <c r="E34" s="83" t="inlineStr">
        <is>
          <t>A. Nhật ký giấy/Zalo rồi nhập lại có giờ nguồn; B. Không cho xuất cho đến khi hệ thống hoạt động; C. Ngoại lệ TBP.</t>
        </is>
      </c>
      <c r="F34" s="85" t="inlineStr">
        <is>
          <t>A</t>
        </is>
      </c>
      <c r="G34" s="85" t="inlineStr">
        <is>
          <t>chỗ này chưa hiểu</t>
        </is>
      </c>
      <c r="H34" s="85" t="inlineStr">
        <is>
          <t>Đã chốt</t>
        </is>
      </c>
      <c r="I34" s="83" t="inlineStr">
        <is>
          <t>Trưởng BP CCKB + Quản trị</t>
        </is>
      </c>
      <c r="J34" s="83" t="n"/>
      <c r="K34" s="83" t="n"/>
      <c r="L34" s="83" t="n"/>
      <c r="M34" s="83" t="inlineStr">
        <is>
          <t>Trao đổi nghiệp vụ Sơn Cảng, 10-11/10/2026</t>
        </is>
      </c>
      <c r="N34" s="57" t="n"/>
      <c r="O34" s="57" t="n"/>
      <c r="P34" s="57" t="n"/>
      <c r="Q34" s="57" t="n"/>
      <c r="R34" s="57" t="n"/>
      <c r="S34" s="57" t="n"/>
      <c r="T34" s="57" t="n"/>
      <c r="U34" s="57" t="n"/>
      <c r="V34" s="57" t="n"/>
      <c r="W34" s="57" t="n"/>
      <c r="X34" s="57" t="n"/>
      <c r="Y34" s="57" t="n"/>
      <c r="Z34" s="57" t="n"/>
    </row>
    <row r="35" ht="54" customHeight="1" s="94">
      <c r="A35" s="81" t="inlineStr">
        <is>
          <t>E09</t>
        </is>
      </c>
      <c r="B35" s="81" t="inlineStr">
        <is>
          <t>03. Cắm/rút điện</t>
        </is>
      </c>
      <c r="C35" s="81" t="inlineStr">
        <is>
          <t>P1</t>
        </is>
      </c>
      <c r="D35" s="81" t="inlineStr">
        <is>
          <t>Tổng thời gian thực tế tính bằng giây hay phút? Ví dụ 4 giờ 00 phút 01 giây có làm tròn thành 4 giờ 15 phút không?</t>
        </is>
      </c>
      <c r="E35" s="81" t="inlineStr">
        <is>
          <t>A. Bỏ giây/lấy phút; B. Giữ giây rồi làm tròn block 15 phút; C. Khác.</t>
        </is>
      </c>
      <c r="F35" s="84" t="inlineStr">
        <is>
          <t>Khác</t>
        </is>
      </c>
      <c r="G35" s="84" t="inlineStr">
        <is>
          <t>Hieện tại CCKB tự làm tròn</t>
        </is>
      </c>
      <c r="H35" s="84" t="inlineStr">
        <is>
          <t>Đã chốt</t>
        </is>
      </c>
      <c r="I35" s="81" t="inlineStr">
        <is>
          <t>Trưởng BP CCKB</t>
        </is>
      </c>
      <c r="J35" s="81" t="n"/>
      <c r="K35" s="81" t="n"/>
      <c r="L35" s="81" t="n"/>
      <c r="M35" s="81" t="inlineStr">
        <is>
          <t>Trao đổi nghiệp vụ Sơn Cảng, 10-11/10/2026</t>
        </is>
      </c>
      <c r="N35" s="57" t="n"/>
      <c r="O35" s="57" t="n"/>
      <c r="P35" s="57" t="n"/>
      <c r="Q35" s="57" t="n"/>
      <c r="R35" s="57" t="n"/>
      <c r="S35" s="57" t="n"/>
      <c r="T35" s="57" t="n"/>
      <c r="U35" s="57" t="n"/>
      <c r="V35" s="57" t="n"/>
      <c r="W35" s="57" t="n"/>
      <c r="X35" s="57" t="n"/>
      <c r="Y35" s="57" t="n"/>
      <c r="Z35" s="57" t="n"/>
    </row>
    <row r="36" ht="54" customHeight="1" s="94">
      <c r="A36" s="83" t="inlineStr">
        <is>
          <t>E10</t>
        </is>
      </c>
      <c r="B36" s="83" t="inlineStr">
        <is>
          <t>03. Cắm/rút điện</t>
        </is>
      </c>
      <c r="C36" s="83" t="inlineStr">
        <is>
          <t>P1</t>
        </is>
      </c>
      <c r="D36" s="83" t="inlineStr">
        <is>
          <t>Phiên cắm ngắn dưới 15 phút hoặc vô tình cắm 0 phút: tính tối thiểu 15 phút khi có cắm thực tế không?</t>
        </is>
      </c>
      <c r="E36" s="83" t="inlineStr">
        <is>
          <t>A. &gt;0 phút tính 15 phút; B. Có mức tối thiểu khác; C. Không thu dưới ngưỡng.</t>
        </is>
      </c>
      <c r="F36" s="85" t="inlineStr">
        <is>
          <t>Khác</t>
        </is>
      </c>
      <c r="G36" s="85" t="inlineStr">
        <is>
          <t>Hieện tại CCKB tự làm tròn</t>
        </is>
      </c>
      <c r="H36" s="85" t="inlineStr">
        <is>
          <t>Đã chốt</t>
        </is>
      </c>
      <c r="I36" s="83" t="inlineStr">
        <is>
          <t>Trưởng BP CCKB</t>
        </is>
      </c>
      <c r="J36" s="83" t="n"/>
      <c r="K36" s="83" t="n"/>
      <c r="L36" s="83" t="n"/>
      <c r="M36" s="83" t="inlineStr">
        <is>
          <t>Trao đổi nghiệp vụ Sơn Cảng, 10-11/10/2026</t>
        </is>
      </c>
      <c r="N36" s="57" t="n"/>
      <c r="O36" s="57" t="n"/>
      <c r="P36" s="57" t="n"/>
      <c r="Q36" s="57" t="n"/>
      <c r="R36" s="57" t="n"/>
      <c r="S36" s="57" t="n"/>
      <c r="T36" s="57" t="n"/>
      <c r="U36" s="57" t="n"/>
      <c r="V36" s="57" t="n"/>
      <c r="W36" s="57" t="n"/>
      <c r="X36" s="57" t="n"/>
      <c r="Y36" s="57" t="n"/>
      <c r="Z36" s="57" t="n"/>
    </row>
    <row r="37" ht="54" customHeight="1" s="94">
      <c r="A37" s="81" t="inlineStr">
        <is>
          <t>E11</t>
        </is>
      </c>
      <c r="B37" s="81" t="inlineStr">
        <is>
          <t>03. Cắm/rút điện</t>
        </is>
      </c>
      <c r="C37" s="81" t="inlineStr">
        <is>
          <t>P1</t>
        </is>
      </c>
      <c r="D37" s="81" t="inlineStr">
        <is>
          <t>Một container cắm/rút nhiều phiên trong cùng một lần vào bãi: làm tròn 15 phút riêng mỗi phiên hay gộp trước khi làm tròn?</t>
        </is>
      </c>
      <c r="E37" s="81" t="inlineStr">
        <is>
          <t>A. Riêng từng phiên; B. Gộp thời gian nhiều phiên; C. Theo hình thức dịch vụ.</t>
        </is>
      </c>
      <c r="F37" s="84" t="inlineStr">
        <is>
          <t>A</t>
        </is>
      </c>
      <c r="G37" s="84" t="n"/>
      <c r="H37" s="84" t="inlineStr">
        <is>
          <t>Đã chốt</t>
        </is>
      </c>
      <c r="I37" s="81" t="inlineStr">
        <is>
          <t>Trưởng BP CCKB</t>
        </is>
      </c>
      <c r="J37" s="81" t="n"/>
      <c r="K37" s="81" t="n"/>
      <c r="L37" s="81" t="n"/>
      <c r="M37" s="81" t="inlineStr">
        <is>
          <t>Trao đổi nghiệp vụ Sơn Cảng, 10-11/10/2026</t>
        </is>
      </c>
      <c r="N37" s="57" t="n"/>
      <c r="O37" s="57" t="n"/>
      <c r="P37" s="57" t="n"/>
      <c r="Q37" s="57" t="n"/>
      <c r="R37" s="57" t="n"/>
      <c r="S37" s="57" t="n"/>
      <c r="T37" s="57" t="n"/>
      <c r="U37" s="57" t="n"/>
      <c r="V37" s="57" t="n"/>
      <c r="W37" s="57" t="n"/>
      <c r="X37" s="57" t="n"/>
      <c r="Y37" s="57" t="n"/>
      <c r="Z37" s="57" t="n"/>
    </row>
    <row r="38" ht="54" customHeight="1" s="94">
      <c r="A38" s="83" t="inlineStr">
        <is>
          <t>E12</t>
        </is>
      </c>
      <c r="B38" s="83" t="inlineStr">
        <is>
          <t>03. Cắm/rút điện</t>
        </is>
      </c>
      <c r="C38" s="83" t="inlineStr">
        <is>
          <t>P1</t>
        </is>
      </c>
      <c r="D38" s="83" t="inlineStr">
        <is>
          <t>Có cho một container ghi nhận hai phiên cắm điện đồng thời hay bắt buộc mỗi thời điểm chỉ có một phiên?</t>
        </is>
      </c>
      <c r="E38" s="83" t="inlineStr">
        <is>
          <t>A. Chỉ một phiên hoạt động; B. Có nhiều ổ cắm/điểm cấp điện song song; C. Ngoại lệ.</t>
        </is>
      </c>
      <c r="F38" s="85" t="inlineStr">
        <is>
          <t>A</t>
        </is>
      </c>
      <c r="G38" s="85" t="n"/>
      <c r="H38" s="85" t="inlineStr">
        <is>
          <t>Đã chốt</t>
        </is>
      </c>
      <c r="I38" s="83" t="inlineStr">
        <is>
          <t>Trưởng BP CCKB</t>
        </is>
      </c>
      <c r="J38" s="83" t="n"/>
      <c r="K38" s="83" t="n"/>
      <c r="L38" s="83" t="n"/>
      <c r="M38" s="83" t="inlineStr">
        <is>
          <t>Trao đổi nghiệp vụ Sơn Cảng, 10-11/10/2026</t>
        </is>
      </c>
      <c r="N38" s="57" t="n"/>
      <c r="O38" s="57" t="n"/>
      <c r="P38" s="57" t="n"/>
      <c r="Q38" s="57" t="n"/>
      <c r="R38" s="57" t="n"/>
      <c r="S38" s="57" t="n"/>
      <c r="T38" s="57" t="n"/>
      <c r="U38" s="57" t="n"/>
      <c r="V38" s="57" t="n"/>
      <c r="W38" s="57" t="n"/>
      <c r="X38" s="57" t="n"/>
      <c r="Y38" s="57" t="n"/>
      <c r="Z38" s="57" t="n"/>
    </row>
    <row r="39" ht="54" customHeight="1" s="94">
      <c r="A39" s="81" t="inlineStr">
        <is>
          <t>E13</t>
        </is>
      </c>
      <c r="B39" s="81" t="inlineStr">
        <is>
          <t>03. Cắm/rút điện</t>
        </is>
      </c>
      <c r="C39" s="81" t="inlineStr">
        <is>
          <t>P1</t>
        </is>
      </c>
      <c r="D39" s="81" t="inlineStr">
        <is>
          <t>Khi cập nhật giá điện trong lúc phiên cắm đang chạy: giữ giá lúc bắt đầu hay áp giá mới khi rút?</t>
        </is>
      </c>
      <c r="E39" s="81" t="inlineStr">
        <is>
          <t>A. Giữ giá lúc cắm; B. Theo giá lúc rút; C. Chia theo thời điểm đổi giá.</t>
        </is>
      </c>
      <c r="F39" s="84" t="inlineStr">
        <is>
          <t>B</t>
        </is>
      </c>
      <c r="G39" s="84" t="inlineStr">
        <is>
          <t>tùy A và B</t>
        </is>
      </c>
      <c r="H39" s="84" t="inlineStr">
        <is>
          <t>Đã chốt</t>
        </is>
      </c>
      <c r="I39" s="81" t="inlineStr">
        <is>
          <t>Trưởng BP CCKB + Quản trị</t>
        </is>
      </c>
      <c r="J39" s="81" t="n"/>
      <c r="K39" s="81" t="n"/>
      <c r="L39" s="81" t="n"/>
      <c r="M39" s="81" t="inlineStr">
        <is>
          <t>Trao đổi nghiệp vụ Sơn Cảng, 10-11/10/2026</t>
        </is>
      </c>
      <c r="N39" s="57" t="n"/>
      <c r="O39" s="57" t="n"/>
      <c r="P39" s="57" t="n"/>
      <c r="Q39" s="57" t="n"/>
      <c r="R39" s="57" t="n"/>
      <c r="S39" s="57" t="n"/>
      <c r="T39" s="57" t="n"/>
      <c r="U39" s="57" t="n"/>
      <c r="V39" s="57" t="n"/>
      <c r="W39" s="57" t="n"/>
      <c r="X39" s="57" t="n"/>
      <c r="Y39" s="57" t="n"/>
      <c r="Z39" s="57" t="n"/>
    </row>
    <row r="40" ht="54" customHeight="1" s="94">
      <c r="A40" s="83" t="inlineStr">
        <is>
          <t>E14</t>
        </is>
      </c>
      <c r="B40" s="83" t="inlineStr">
        <is>
          <t>03. Cắm/rút điện</t>
        </is>
      </c>
      <c r="C40" s="83" t="inlineStr">
        <is>
          <t>P1</t>
        </is>
      </c>
      <c r="D40" s="83" t="inlineStr">
        <is>
          <t>Có yêu cầu lưu vị trí/ổ cắm/số công tơ/ảnh khi cắm, hay chỉ theo container và giờ thực tế?</t>
        </is>
      </c>
      <c r="E40" s="83" t="inlineStr">
        <is>
          <t>A. Chỉ cont và giờ; B. Thêm vị trí ổ cắm; C. Thêm ảnh/công tơ; ghi rõ.</t>
        </is>
      </c>
      <c r="F40" s="85" t="inlineStr">
        <is>
          <t>A</t>
        </is>
      </c>
      <c r="G40" s="85" t="inlineStr">
        <is>
          <t>có thể cho an ninh điền cái này cx được để họ nhớ, sau này làm sơ đồ cũng dễ</t>
        </is>
      </c>
      <c r="H40" s="85" t="inlineStr">
        <is>
          <t>Đã chốt</t>
        </is>
      </c>
      <c r="I40" s="83" t="inlineStr">
        <is>
          <t>Trưởng BP CCKB + An ninh</t>
        </is>
      </c>
      <c r="J40" s="83" t="n"/>
      <c r="K40" s="83" t="n"/>
      <c r="L40" s="83" t="n"/>
      <c r="M40" s="83" t="inlineStr">
        <is>
          <t>Trao đổi nghiệp vụ Sơn Cảng, 10-11/10/2026</t>
        </is>
      </c>
      <c r="N40" s="57" t="n"/>
      <c r="O40" s="57" t="n"/>
      <c r="P40" s="57" t="n"/>
      <c r="Q40" s="57" t="n"/>
      <c r="R40" s="57" t="n"/>
      <c r="S40" s="57" t="n"/>
      <c r="T40" s="57" t="n"/>
      <c r="U40" s="57" t="n"/>
      <c r="V40" s="57" t="n"/>
      <c r="W40" s="57" t="n"/>
      <c r="X40" s="57" t="n"/>
      <c r="Y40" s="57" t="n"/>
      <c r="Z40" s="57" t="n"/>
    </row>
    <row r="41" ht="54" customHeight="1" s="94">
      <c r="A41" s="81" t="inlineStr">
        <is>
          <t>E15</t>
        </is>
      </c>
      <c r="B41" s="81" t="inlineStr">
        <is>
          <t>03. Cắm/rút điện</t>
        </is>
      </c>
      <c r="C41" s="81" t="inlineStr">
        <is>
          <t>P1</t>
        </is>
      </c>
      <c r="D41" s="81" t="inlineStr">
        <is>
          <t>Ai là người được phép sửa danh mục đơn giá cắm điện và có cần TBP/BLĐ phê duyệt mức giá mới?</t>
        </is>
      </c>
      <c r="E41" s="81" t="inlineStr">
        <is>
          <t>A. Quản trị; B. Trưởng BP CCKB; C. CCKB đề xuất, Quản trị duyệt; khác.</t>
        </is>
      </c>
      <c r="F41" s="84" t="inlineStr">
        <is>
          <t>A</t>
        </is>
      </c>
      <c r="G41" s="84" t="n"/>
      <c r="H41" s="84" t="inlineStr">
        <is>
          <t>Đã chốt</t>
        </is>
      </c>
      <c r="I41" s="81" t="inlineStr">
        <is>
          <t>Trưởng BP CCKB + Quản trị</t>
        </is>
      </c>
      <c r="J41" s="81" t="n"/>
      <c r="K41" s="81" t="n"/>
      <c r="L41" s="81" t="n"/>
      <c r="M41" s="81" t="inlineStr">
        <is>
          <t>Trao đổi nghiệp vụ Sơn Cảng, 10-11/10/2026</t>
        </is>
      </c>
      <c r="N41" s="57" t="n"/>
      <c r="O41" s="57" t="n"/>
      <c r="P41" s="57" t="n"/>
      <c r="Q41" s="57" t="n"/>
      <c r="R41" s="57" t="n"/>
      <c r="S41" s="57" t="n"/>
      <c r="T41" s="57" t="n"/>
      <c r="U41" s="57" t="n"/>
      <c r="V41" s="57" t="n"/>
      <c r="W41" s="57" t="n"/>
      <c r="X41" s="57" t="n"/>
      <c r="Y41" s="57" t="n"/>
      <c r="Z41" s="57" t="n"/>
    </row>
    <row r="42" ht="54" customHeight="1" s="94">
      <c r="A42" s="83" t="inlineStr">
        <is>
          <t>E16</t>
        </is>
      </c>
      <c r="B42" s="83" t="inlineStr">
        <is>
          <t>03. Cắm/rút điện</t>
        </is>
      </c>
      <c r="C42" s="83" t="inlineStr">
        <is>
          <t>P1</t>
        </is>
      </c>
      <c r="D42" s="83" t="inlineStr">
        <is>
          <t>CCKB có cần chọn người An ninh đã trực tiếp cắm/rút, dù người nhập giờ là CCKB không?</t>
        </is>
      </c>
      <c r="E42" s="83" t="inlineStr">
        <is>
          <t>A. Có, bắt buộc chọn; B. Ghi chú tự do; C. Không cần.</t>
        </is>
      </c>
      <c r="F42" s="85" t="inlineStr">
        <is>
          <t>B</t>
        </is>
      </c>
      <c r="G42" s="85" t="n"/>
      <c r="H42" s="85" t="inlineStr">
        <is>
          <t>Đã chốt</t>
        </is>
      </c>
      <c r="I42" s="83" t="inlineStr">
        <is>
          <t>Trưởng BP CCKB + An ninh</t>
        </is>
      </c>
      <c r="J42" s="83" t="n"/>
      <c r="K42" s="83" t="n"/>
      <c r="L42" s="83" t="n"/>
      <c r="M42" s="83" t="inlineStr">
        <is>
          <t>Trao đổi nghiệp vụ Sơn Cảng, 10-11/10/2026</t>
        </is>
      </c>
      <c r="N42" s="57" t="n"/>
      <c r="O42" s="57" t="n"/>
      <c r="P42" s="57" t="n"/>
      <c r="Q42" s="57" t="n"/>
      <c r="R42" s="57" t="n"/>
      <c r="S42" s="57" t="n"/>
      <c r="T42" s="57" t="n"/>
      <c r="U42" s="57" t="n"/>
      <c r="V42" s="57" t="n"/>
      <c r="W42" s="57" t="n"/>
      <c r="X42" s="57" t="n"/>
      <c r="Y42" s="57" t="n"/>
      <c r="Z42" s="57" t="n"/>
    </row>
    <row r="43" ht="54" customHeight="1" s="94">
      <c r="A43" s="81" t="inlineStr">
        <is>
          <t>T01</t>
        </is>
      </c>
      <c r="B43" s="81" t="inlineStr">
        <is>
          <t>04. Thanh toán</t>
        </is>
      </c>
      <c r="C43" s="81" t="inlineStr">
        <is>
          <t>P0</t>
        </is>
      </c>
      <c r="D43" s="81" t="inlineStr">
        <is>
          <t>Có cho thanh toán từng phần phí điện/lưu hoặc nộp trước khi container xuất không?</t>
        </is>
      </c>
      <c r="E43" s="81" t="inlineStr">
        <is>
          <t>A. Không, thanh toán đủ theo khoản; B. Có, cho thanh toán một phần; C. Chỉ theo phê duyệt.</t>
        </is>
      </c>
      <c r="F43" s="84" t="inlineStr">
        <is>
          <t>B</t>
        </is>
      </c>
      <c r="G43" s="84" t="inlineStr">
        <is>
          <t>Linh hoạt thu cả hoặc thu từng phần</t>
        </is>
      </c>
      <c r="H43" s="84" t="inlineStr">
        <is>
          <t>Đã chốt</t>
        </is>
      </c>
      <c r="I43" s="81" t="inlineStr">
        <is>
          <t>Trưởng BP CCKB</t>
        </is>
      </c>
      <c r="J43" s="81" t="n"/>
      <c r="K43" s="81" t="n"/>
      <c r="L43" s="81" t="n"/>
      <c r="M43" s="81" t="inlineStr">
        <is>
          <t>Trao đổi nghiệp vụ Sơn Cảng, 10-11/10/2026</t>
        </is>
      </c>
      <c r="N43" s="57" t="n"/>
      <c r="O43" s="57" t="n"/>
      <c r="P43" s="57" t="n"/>
      <c r="Q43" s="57" t="n"/>
      <c r="R43" s="57" t="n"/>
      <c r="S43" s="57" t="n"/>
      <c r="T43" s="57" t="n"/>
      <c r="U43" s="57" t="n"/>
      <c r="V43" s="57" t="n"/>
      <c r="W43" s="57" t="n"/>
      <c r="X43" s="57" t="n"/>
      <c r="Y43" s="57" t="n"/>
      <c r="Z43" s="57" t="n"/>
    </row>
    <row r="44" ht="54" customHeight="1" s="94">
      <c r="A44" s="83" t="inlineStr">
        <is>
          <t>T02</t>
        </is>
      </c>
      <c r="B44" s="83" t="inlineStr">
        <is>
          <t>04. Thanh toán</t>
        </is>
      </c>
      <c r="C44" s="83" t="inlineStr">
        <is>
          <t>P0</t>
        </is>
      </c>
      <c r="D44" s="83" t="inlineStr">
        <is>
          <t>Một lần thanh toán có thể kết hợp tiền mặt và chuyển khoản không?</t>
        </is>
      </c>
      <c r="E44" s="83" t="inlineStr">
        <is>
          <t>A. Có, ghi mỗi phương thức một phần; B. Không, một giao dịch một phương thức; C. Tùy khoản.</t>
        </is>
      </c>
      <c r="F44" s="85" t="inlineStr">
        <is>
          <t>A</t>
        </is>
      </c>
      <c r="G44" s="85" t="n"/>
      <c r="H44" s="85" t="inlineStr">
        <is>
          <t>Đã chốt</t>
        </is>
      </c>
      <c r="I44" s="83" t="inlineStr">
        <is>
          <t>Trưởng BP CCKB</t>
        </is>
      </c>
      <c r="J44" s="83" t="n"/>
      <c r="K44" s="83" t="n"/>
      <c r="L44" s="83" t="n"/>
      <c r="M44" s="83" t="inlineStr">
        <is>
          <t>Trao đổi nghiệp vụ Sơn Cảng, 10-11/10/2026</t>
        </is>
      </c>
      <c r="N44" s="57" t="n"/>
      <c r="O44" s="57" t="n"/>
      <c r="P44" s="57" t="n"/>
      <c r="Q44" s="57" t="n"/>
      <c r="R44" s="57" t="n"/>
      <c r="S44" s="57" t="n"/>
      <c r="T44" s="57" t="n"/>
      <c r="U44" s="57" t="n"/>
      <c r="V44" s="57" t="n"/>
      <c r="W44" s="57" t="n"/>
      <c r="X44" s="57" t="n"/>
      <c r="Y44" s="57" t="n"/>
      <c r="Z44" s="57" t="n"/>
    </row>
    <row r="45" ht="54" customHeight="1" s="94">
      <c r="A45" s="81" t="inlineStr">
        <is>
          <t>T03</t>
        </is>
      </c>
      <c r="B45" s="81" t="inlineStr">
        <is>
          <t>04. Thanh toán</t>
        </is>
      </c>
      <c r="C45" s="81" t="inlineStr">
        <is>
          <t>P0</t>
        </is>
      </c>
      <c r="D45" s="81" t="inlineStr">
        <is>
          <t>Xác nhận chuyển khoản dựa trên ảnh khách gửi hay bắt buộc kiểm tra tài khoản công ty thực nhận?</t>
        </is>
      </c>
      <c r="E45" s="81" t="inlineStr">
        <is>
          <t>A. Kiểm tra tiền về; B. Ảnh biên lai được chấp nhận; C. Theo ngưỡng tiền và quyền.</t>
        </is>
      </c>
      <c r="F45" s="84" t="inlineStr">
        <is>
          <t>A</t>
        </is>
      </c>
      <c r="G45" s="84" t="inlineStr">
        <is>
          <t>CCKB tự xác định tiền cắm còn Lưu đêm và vé vào thì an ninh</t>
        </is>
      </c>
      <c r="H45" s="84" t="inlineStr">
        <is>
          <t>Đã chốt</t>
        </is>
      </c>
      <c r="I45" s="81" t="inlineStr">
        <is>
          <t>Trưởng BP CCKB + Kế toán</t>
        </is>
      </c>
      <c r="J45" s="81" t="n"/>
      <c r="K45" s="81" t="n"/>
      <c r="L45" s="81" t="n"/>
      <c r="M45" s="81" t="inlineStr">
        <is>
          <t>Trao đổi nghiệp vụ Sơn Cảng, 10-11/10/2026</t>
        </is>
      </c>
      <c r="N45" s="57" t="n"/>
      <c r="O45" s="57" t="n"/>
      <c r="P45" s="57" t="n"/>
      <c r="Q45" s="57" t="n"/>
      <c r="R45" s="57" t="n"/>
      <c r="S45" s="57" t="n"/>
      <c r="T45" s="57" t="n"/>
      <c r="U45" s="57" t="n"/>
      <c r="V45" s="57" t="n"/>
      <c r="W45" s="57" t="n"/>
      <c r="X45" s="57" t="n"/>
      <c r="Y45" s="57" t="n"/>
      <c r="Z45" s="57" t="n"/>
    </row>
    <row r="46" ht="54" customHeight="1" s="94">
      <c r="A46" s="83" t="inlineStr">
        <is>
          <t>T04</t>
        </is>
      </c>
      <c r="B46" s="83" t="inlineStr">
        <is>
          <t>04. Thanh toán</t>
        </is>
      </c>
      <c r="C46" s="83" t="inlineStr">
        <is>
          <t>P0</t>
        </is>
      </c>
      <c r="D46" s="83" t="inlineStr">
        <is>
          <t>Ảnh bằng chứng thu tiền cần bắt buộc với giao dịch nào (vé, lưu cont, điện, mất vé)?</t>
        </is>
      </c>
      <c r="E46" s="83" t="inlineStr">
        <is>
          <t>A. Mọi chuyển khoản; B. Mọi giao dịch; C. Chỉ theo quy định từng loại.</t>
        </is>
      </c>
      <c r="F46" s="85" t="inlineStr">
        <is>
          <t>Khác</t>
        </is>
      </c>
      <c r="G46" s="85" t="inlineStr">
        <is>
          <t>Xây dưng nhưng chưa ap dụng</t>
        </is>
      </c>
      <c r="H46" s="85" t="inlineStr">
        <is>
          <t>Đã chốt</t>
        </is>
      </c>
      <c r="I46" s="83" t="inlineStr">
        <is>
          <t>Trưởng BP An ninh + CCKB</t>
        </is>
      </c>
      <c r="J46" s="83" t="n"/>
      <c r="K46" s="83" t="n"/>
      <c r="L46" s="83" t="n"/>
      <c r="M46" s="83" t="inlineStr">
        <is>
          <t>Trao đổi nghiệp vụ Sơn Cảng, 10-11/10/2026</t>
        </is>
      </c>
      <c r="N46" s="57" t="n"/>
      <c r="O46" s="57" t="n"/>
      <c r="P46" s="57" t="n"/>
      <c r="Q46" s="57" t="n"/>
      <c r="R46" s="57" t="n"/>
      <c r="S46" s="57" t="n"/>
      <c r="T46" s="57" t="n"/>
      <c r="U46" s="57" t="n"/>
      <c r="V46" s="57" t="n"/>
      <c r="W46" s="57" t="n"/>
      <c r="X46" s="57" t="n"/>
      <c r="Y46" s="57" t="n"/>
      <c r="Z46" s="57" t="n"/>
    </row>
    <row r="47" ht="54" customHeight="1" s="94">
      <c r="A47" s="81" t="inlineStr">
        <is>
          <t>T05</t>
        </is>
      </c>
      <c r="B47" s="81" t="inlineStr">
        <is>
          <t>04. Thanh toán</t>
        </is>
      </c>
      <c r="C47" s="81" t="inlineStr">
        <is>
          <t>P1</t>
        </is>
      </c>
      <c r="D47" s="81" t="inlineStr">
        <is>
          <t>Khoản phạt mất vé được thanh toán và đối soát như một dòng phí riêng hay gộp cùng tiền vé ban đầu?</t>
        </is>
      </c>
      <c r="E47" s="81" t="inlineStr">
        <is>
          <t>A. Tách khoản phí riêng; B. Gộp vào vé; C. Tùy thời điểm phát hiện.</t>
        </is>
      </c>
      <c r="F47" s="84" t="inlineStr">
        <is>
          <t>A</t>
        </is>
      </c>
      <c r="G47" s="84" t="n"/>
      <c r="H47" s="84" t="inlineStr">
        <is>
          <t>Đã chốt</t>
        </is>
      </c>
      <c r="I47" s="81" t="inlineStr">
        <is>
          <t>Trưởng BP An ninh + CCKB</t>
        </is>
      </c>
      <c r="J47" s="81" t="n"/>
      <c r="K47" s="81" t="n"/>
      <c r="L47" s="81" t="n"/>
      <c r="M47" s="81" t="inlineStr">
        <is>
          <t>Trao đổi nghiệp vụ Sơn Cảng, 10-11/10/2026</t>
        </is>
      </c>
      <c r="N47" s="57" t="n"/>
      <c r="O47" s="57" t="n"/>
      <c r="P47" s="57" t="n"/>
      <c r="Q47" s="57" t="n"/>
      <c r="R47" s="57" t="n"/>
      <c r="S47" s="57" t="n"/>
      <c r="T47" s="57" t="n"/>
      <c r="U47" s="57" t="n"/>
      <c r="V47" s="57" t="n"/>
      <c r="W47" s="57" t="n"/>
      <c r="X47" s="57" t="n"/>
      <c r="Y47" s="57" t="n"/>
      <c r="Z47" s="57" t="n"/>
    </row>
    <row r="48" ht="54" customHeight="1" s="94">
      <c r="A48" s="83" t="inlineStr">
        <is>
          <t>T06</t>
        </is>
      </c>
      <c r="B48" s="83" t="inlineStr">
        <is>
          <t>04. Thanh toán</t>
        </is>
      </c>
      <c r="C48" s="83" t="inlineStr">
        <is>
          <t>P0</t>
        </is>
      </c>
      <c r="D48" s="83" t="inlineStr">
        <is>
          <t>Nếu đã thu thiếu hoặc thừa tiền so với hệ thống: cách điều chỉnh/hoàn trả, ai duyệt?</t>
        </is>
      </c>
      <c r="E48" s="83" t="inlineStr">
        <is>
          <t>A. NV lập phiếu, TBP duyệt; B. Chỉ Quản trị; C. Quy trình khác.</t>
        </is>
      </c>
      <c r="F48" s="85" t="inlineStr">
        <is>
          <t>Khác</t>
        </is>
      </c>
      <c r="G48" s="85" t="inlineStr">
        <is>
          <t>Xây dưng nhưng chưa ap dụng</t>
        </is>
      </c>
      <c r="H48" s="85" t="inlineStr">
        <is>
          <t>Đã chốt</t>
        </is>
      </c>
      <c r="I48" s="83" t="inlineStr">
        <is>
          <t>Trưởng BP CCKB</t>
        </is>
      </c>
      <c r="J48" s="83" t="n"/>
      <c r="K48" s="83" t="n"/>
      <c r="L48" s="83" t="n"/>
      <c r="M48" s="83" t="inlineStr">
        <is>
          <t>Trao đổi nghiệp vụ Sơn Cảng, 10-11/10/2026</t>
        </is>
      </c>
      <c r="N48" s="57" t="n"/>
      <c r="O48" s="57" t="n"/>
      <c r="P48" s="57" t="n"/>
      <c r="Q48" s="57" t="n"/>
      <c r="R48" s="57" t="n"/>
      <c r="S48" s="57" t="n"/>
      <c r="T48" s="57" t="n"/>
      <c r="U48" s="57" t="n"/>
      <c r="V48" s="57" t="n"/>
      <c r="W48" s="57" t="n"/>
      <c r="X48" s="57" t="n"/>
      <c r="Y48" s="57" t="n"/>
      <c r="Z48" s="57" t="n"/>
    </row>
    <row r="49" ht="54" customHeight="1" s="94">
      <c r="A49" s="81" t="inlineStr">
        <is>
          <t>T07</t>
        </is>
      </c>
      <c r="B49" s="81" t="inlineStr">
        <is>
          <t>04. Thanh toán</t>
        </is>
      </c>
      <c r="C49" s="81" t="inlineStr">
        <is>
          <t>P0</t>
        </is>
      </c>
      <c r="D49" s="81" t="inlineStr">
        <is>
          <t>Có được miễn/giảm giá vé, phí lưu, tiền điện? Ai là người có quyền duyệt?</t>
        </is>
      </c>
      <c r="E49" s="81" t="inlineStr">
        <is>
          <t>A. TBP theo bộ phận; B. Quản trị; C. Ban lãnh đạo; tùy loại phí.</t>
        </is>
      </c>
      <c r="F49" s="84" t="inlineStr">
        <is>
          <t>Khác</t>
        </is>
      </c>
      <c r="G49" s="84" t="inlineStr">
        <is>
          <t>Xây dưng nhưng chưa ap dụng</t>
        </is>
      </c>
      <c r="H49" s="84" t="inlineStr">
        <is>
          <t>Đã chốt</t>
        </is>
      </c>
      <c r="I49" s="81" t="inlineStr">
        <is>
          <t>Ban quản lý Sơn Cảng</t>
        </is>
      </c>
      <c r="J49" s="81" t="n"/>
      <c r="K49" s="81" t="n"/>
      <c r="L49" s="81" t="n"/>
      <c r="M49" s="81" t="inlineStr">
        <is>
          <t>Trao đổi nghiệp vụ Sơn Cảng, 10-11/10/2026</t>
        </is>
      </c>
      <c r="N49" s="57" t="n"/>
      <c r="O49" s="57" t="n"/>
      <c r="P49" s="57" t="n"/>
      <c r="Q49" s="57" t="n"/>
      <c r="R49" s="57" t="n"/>
      <c r="S49" s="57" t="n"/>
      <c r="T49" s="57" t="n"/>
      <c r="U49" s="57" t="n"/>
      <c r="V49" s="57" t="n"/>
      <c r="W49" s="57" t="n"/>
      <c r="X49" s="57" t="n"/>
      <c r="Y49" s="57" t="n"/>
      <c r="Z49" s="57" t="n"/>
    </row>
    <row r="50" ht="54" customHeight="1" s="94">
      <c r="A50" s="83" t="inlineStr">
        <is>
          <t>T08</t>
        </is>
      </c>
      <c r="B50" s="83" t="inlineStr">
        <is>
          <t>04. Thanh toán</t>
        </is>
      </c>
      <c r="C50" s="83" t="inlineStr">
        <is>
          <t>P0</t>
        </is>
      </c>
      <c r="D50" s="83" t="inlineStr">
        <is>
          <t>Có cho xuất container khi còn nợ phí hoặc đã gửi chứng từ nhưng chưa xác minh nhận tiền không?</t>
        </is>
      </c>
      <c r="E50" s="83" t="inlineStr">
        <is>
          <t>A. Không; B. Cho phép nếu TBP phê duyệt; C. Công nợ khách hàng theo danh sách.</t>
        </is>
      </c>
      <c r="F50" s="85" t="inlineStr">
        <is>
          <t>Khác</t>
        </is>
      </c>
      <c r="G50" s="85" t="inlineStr">
        <is>
          <t>CCKB sẽ xác nhận cho ra hay k và có thể báo cho ra nhưng tiền chưa thusex hiện cảnh báo, 1 là tự động nếu cckb đã điền đủ thanh toán và có cái xác nhận cho xe ra bằng tay mà tiền chưa ghi nhận</t>
        </is>
      </c>
      <c r="H50" s="85" t="inlineStr">
        <is>
          <t>Đã chốt</t>
        </is>
      </c>
      <c r="I50" s="83" t="inlineStr">
        <is>
          <t>Trưởng BP CCKB</t>
        </is>
      </c>
      <c r="J50" s="83" t="n"/>
      <c r="K50" s="83" t="n"/>
      <c r="L50" s="83" t="n"/>
      <c r="M50" s="83" t="inlineStr">
        <is>
          <t>Trao đổi nghiệp vụ Sơn Cảng, 10-11/10/2026</t>
        </is>
      </c>
      <c r="N50" s="57" t="n"/>
      <c r="O50" s="57" t="n"/>
      <c r="P50" s="57" t="n"/>
      <c r="Q50" s="57" t="n"/>
      <c r="R50" s="57" t="n"/>
      <c r="S50" s="57" t="n"/>
      <c r="T50" s="57" t="n"/>
      <c r="U50" s="57" t="n"/>
      <c r="V50" s="57" t="n"/>
      <c r="W50" s="57" t="n"/>
      <c r="X50" s="57" t="n"/>
      <c r="Y50" s="57" t="n"/>
      <c r="Z50" s="57" t="n"/>
    </row>
    <row r="51" ht="54" customHeight="1" s="94">
      <c r="A51" s="81" t="inlineStr">
        <is>
          <t>T09</t>
        </is>
      </c>
      <c r="B51" s="81" t="inlineStr">
        <is>
          <t>04. Thanh toán</t>
        </is>
      </c>
      <c r="C51" s="81" t="inlineStr">
        <is>
          <t>P0</t>
        </is>
      </c>
      <c r="D51" s="81" t="inlineStr">
        <is>
          <t>Tại cổng ra, trạng thái tài chính hợp lệ có thời hạn bao lâu trước khi phải tính lại phí lưu?</t>
        </is>
      </c>
      <c r="E51" s="81" t="inlineStr">
        <is>
          <t>A. Luôn tính lại lúc xe/cont thực ra; B. CCKB xác nhận hiệu lực n phút; C. Chốt theo giờ duyệt.</t>
        </is>
      </c>
      <c r="F51" s="84" t="inlineStr">
        <is>
          <t>A</t>
        </is>
      </c>
      <c r="G51" s="84" t="inlineStr">
        <is>
          <t>Phí lưu chỉ có AN ninh tính tại lúc ra</t>
        </is>
      </c>
      <c r="H51" s="84" t="inlineStr">
        <is>
          <t>Đã chốt</t>
        </is>
      </c>
      <c r="I51" s="81" t="inlineStr">
        <is>
          <t>Trưởng BP CCKB + An ninh</t>
        </is>
      </c>
      <c r="J51" s="81" t="n"/>
      <c r="K51" s="81" t="n"/>
      <c r="L51" s="81" t="n"/>
      <c r="M51" s="81" t="inlineStr">
        <is>
          <t>Trao đổi nghiệp vụ Sơn Cảng, 10-11/10/2026</t>
        </is>
      </c>
      <c r="N51" s="57" t="n"/>
      <c r="O51" s="57" t="n"/>
      <c r="P51" s="57" t="n"/>
      <c r="Q51" s="57" t="n"/>
      <c r="R51" s="57" t="n"/>
      <c r="S51" s="57" t="n"/>
      <c r="T51" s="57" t="n"/>
      <c r="U51" s="57" t="n"/>
      <c r="V51" s="57" t="n"/>
      <c r="W51" s="57" t="n"/>
      <c r="X51" s="57" t="n"/>
      <c r="Y51" s="57" t="n"/>
      <c r="Z51" s="57" t="n"/>
    </row>
    <row r="52" ht="54" customHeight="1" s="94">
      <c r="A52" s="83" t="inlineStr">
        <is>
          <t>T10</t>
        </is>
      </c>
      <c r="B52" s="83" t="inlineStr">
        <is>
          <t>04. Thanh toán</t>
        </is>
      </c>
      <c r="C52" s="83" t="inlineStr">
        <is>
          <t>P1</t>
        </is>
      </c>
      <c r="D52" s="83" t="inlineStr">
        <is>
          <t>Khi xe ra không kéo container, An ninh có cần CCKB xác nhận tài chính riêng cho LƯỢT XE không?</t>
        </is>
      </c>
      <c r="E52" s="83" t="inlineStr">
        <is>
          <t>A. Chỉ kiểm tra vé đã thu; B. CCKB duyệt tất cả lượt ra; C. Chỉ duyệt xe có cont.</t>
        </is>
      </c>
      <c r="F52" s="85" t="inlineStr">
        <is>
          <t>A</t>
        </is>
      </c>
      <c r="G52" s="85" t="inlineStr">
        <is>
          <t>K cần xác nhận nếu k có cont ra vì CCKB chỉ quan tâm cont chứ xe k quan tâm</t>
        </is>
      </c>
      <c r="H52" s="85" t="inlineStr">
        <is>
          <t>Đã chốt</t>
        </is>
      </c>
      <c r="I52" s="83" t="inlineStr">
        <is>
          <t>Trưởng BP CCKB + An ninh</t>
        </is>
      </c>
      <c r="J52" s="83" t="n"/>
      <c r="K52" s="83" t="n"/>
      <c r="L52" s="83" t="n"/>
      <c r="M52" s="83" t="inlineStr">
        <is>
          <t>Trao đổi nghiệp vụ Sơn Cảng, 10-11/10/2026</t>
        </is>
      </c>
      <c r="N52" s="57" t="n"/>
      <c r="O52" s="57" t="n"/>
      <c r="P52" s="57" t="n"/>
      <c r="Q52" s="57" t="n"/>
      <c r="R52" s="57" t="n"/>
      <c r="S52" s="57" t="n"/>
      <c r="T52" s="57" t="n"/>
      <c r="U52" s="57" t="n"/>
      <c r="V52" s="57" t="n"/>
      <c r="W52" s="57" t="n"/>
      <c r="X52" s="57" t="n"/>
      <c r="Y52" s="57" t="n"/>
      <c r="Z52" s="57" t="n"/>
    </row>
    <row r="53" ht="54" customHeight="1" s="94">
      <c r="A53" s="81" t="inlineStr">
        <is>
          <t>T11</t>
        </is>
      </c>
      <c r="B53" s="81" t="inlineStr">
        <is>
          <t>04. Thanh toán</t>
        </is>
      </c>
      <c r="C53" s="81" t="inlineStr">
        <is>
          <t>P1</t>
        </is>
      </c>
      <c r="D53" s="81" t="inlineStr">
        <is>
          <t>CCKB có được thu hộ nhiều container/xe trong một lần chuyển khoản và phân bổ vào nhiều khoản phí không?</t>
        </is>
      </c>
      <c r="E53" s="81" t="inlineStr">
        <is>
          <t>A. Có, phân bổ khoản; B. Không, mỗi lần cho một đối tượng; C. Có điều kiện.</t>
        </is>
      </c>
      <c r="F53" s="84" t="inlineStr">
        <is>
          <t>A</t>
        </is>
      </c>
      <c r="G53" s="84" t="inlineStr">
        <is>
          <t>Linh hoạt như nào dễ cho ng dùng thì làm</t>
        </is>
      </c>
      <c r="H53" s="84" t="inlineStr">
        <is>
          <t>Đã chốt</t>
        </is>
      </c>
      <c r="I53" s="81" t="inlineStr">
        <is>
          <t>Trưởng BP CCKB</t>
        </is>
      </c>
      <c r="J53" s="81" t="n"/>
      <c r="K53" s="81" t="n"/>
      <c r="L53" s="81" t="n"/>
      <c r="M53" s="81" t="inlineStr">
        <is>
          <t>Trao đổi nghiệp vụ Sơn Cảng, 10-11/10/2026</t>
        </is>
      </c>
      <c r="N53" s="57" t="n"/>
      <c r="O53" s="57" t="n"/>
      <c r="P53" s="57" t="n"/>
      <c r="Q53" s="57" t="n"/>
      <c r="R53" s="57" t="n"/>
      <c r="S53" s="57" t="n"/>
      <c r="T53" s="57" t="n"/>
      <c r="U53" s="57" t="n"/>
      <c r="V53" s="57" t="n"/>
      <c r="W53" s="57" t="n"/>
      <c r="X53" s="57" t="n"/>
      <c r="Y53" s="57" t="n"/>
      <c r="Z53" s="57" t="n"/>
    </row>
    <row r="54" ht="54" customHeight="1" s="94">
      <c r="A54" s="83" t="inlineStr">
        <is>
          <t>T12</t>
        </is>
      </c>
      <c r="B54" s="83" t="inlineStr">
        <is>
          <t>04. Thanh toán</t>
        </is>
      </c>
      <c r="C54" s="83" t="inlineStr">
        <is>
          <t>P1</t>
        </is>
      </c>
      <c r="D54" s="83" t="inlineStr">
        <is>
          <t>Khi có khách hàng thường xuyên: có quản lý hồ sơ khách, mã số thuế, công nợ/hóa đơn không?</t>
        </is>
      </c>
      <c r="E54" s="83" t="inlineStr">
        <is>
          <t>A. V1 chỉ tên/số điện thoại; B. Quản lý danh mục khách hàng; C. Thêm công nợ/hóa đơn.</t>
        </is>
      </c>
      <c r="F54" s="85" t="inlineStr">
        <is>
          <t>Không áp dụng</t>
        </is>
      </c>
      <c r="G54" s="85"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85" t="inlineStr">
        <is>
          <t>Đã chốt</t>
        </is>
      </c>
      <c r="I54" s="83" t="inlineStr">
        <is>
          <t>Trưởng BP CCKB + Kế toán</t>
        </is>
      </c>
      <c r="J54" s="83" t="n"/>
      <c r="K54" s="83" t="n"/>
      <c r="L54" s="83" t="n"/>
      <c r="M54" s="83" t="inlineStr">
        <is>
          <t>Trao đổi nghiệp vụ Sơn Cảng, 10-11/10/2026</t>
        </is>
      </c>
      <c r="N54" s="57" t="n"/>
      <c r="O54" s="57" t="n"/>
      <c r="P54" s="57" t="n"/>
      <c r="Q54" s="57" t="n"/>
      <c r="R54" s="57" t="n"/>
      <c r="S54" s="57" t="n"/>
      <c r="T54" s="57" t="n"/>
      <c r="U54" s="57" t="n"/>
      <c r="V54" s="57" t="n"/>
      <c r="W54" s="57" t="n"/>
      <c r="X54" s="57" t="n"/>
      <c r="Y54" s="57" t="n"/>
      <c r="Z54" s="57" t="n"/>
    </row>
    <row r="55" ht="54" customHeight="1" s="94">
      <c r="A55" s="81" t="inlineStr">
        <is>
          <t>T13</t>
        </is>
      </c>
      <c r="B55" s="81" t="inlineStr">
        <is>
          <t>04. Thanh toán</t>
        </is>
      </c>
      <c r="C55" s="81" t="inlineStr">
        <is>
          <t>P1</t>
        </is>
      </c>
      <c r="D55" s="81" t="inlineStr">
        <is>
          <t>Có cho hủy giao dịch thu tiền do nhập nhầm? Yêu cầu lý do/phê duyệt và xử lý dòng đối ứng?</t>
        </is>
      </c>
      <c r="E55" s="81" t="inlineStr">
        <is>
          <t>A. Chỉ tạo giao dịch đảo; B. Cho hủy với duyệt; C. Khác.</t>
        </is>
      </c>
      <c r="F55" s="84" t="inlineStr">
        <is>
          <t>B</t>
        </is>
      </c>
      <c r="G55" s="84" t="inlineStr">
        <is>
          <t>Linh hoạt như nào dễ cho ng dùng thì làm</t>
        </is>
      </c>
      <c r="H55" s="84" t="inlineStr">
        <is>
          <t>Đã chốt</t>
        </is>
      </c>
      <c r="I55" s="81" t="inlineStr">
        <is>
          <t>Trưởng BP CCKB</t>
        </is>
      </c>
      <c r="J55" s="81" t="n"/>
      <c r="K55" s="81" t="n"/>
      <c r="L55" s="81" t="n"/>
      <c r="M55" s="81" t="inlineStr">
        <is>
          <t>Trao đổi nghiệp vụ Sơn Cảng, 10-11/10/2026</t>
        </is>
      </c>
      <c r="N55" s="57" t="n"/>
      <c r="O55" s="57" t="n"/>
      <c r="P55" s="57" t="n"/>
      <c r="Q55" s="57" t="n"/>
      <c r="R55" s="57" t="n"/>
      <c r="S55" s="57" t="n"/>
      <c r="T55" s="57" t="n"/>
      <c r="U55" s="57" t="n"/>
      <c r="V55" s="57" t="n"/>
      <c r="W55" s="57" t="n"/>
      <c r="X55" s="57" t="n"/>
      <c r="Y55" s="57" t="n"/>
      <c r="Z55" s="57" t="n"/>
    </row>
    <row r="56" ht="54" customHeight="1" s="94">
      <c r="A56" s="83" t="inlineStr">
        <is>
          <t>T14</t>
        </is>
      </c>
      <c r="B56" s="83" t="inlineStr">
        <is>
          <t>04. Thanh toán</t>
        </is>
      </c>
      <c r="C56" s="83" t="inlineStr">
        <is>
          <t>P1</t>
        </is>
      </c>
      <c r="D56" s="83" t="inlineStr">
        <is>
          <t>Doanh thu vé An ninh thu và doanh thu phí CCKB thu được đối soát cuối ca như thế nào?</t>
        </is>
      </c>
      <c r="E56" s="83" t="inlineStr">
        <is>
          <t>A. Theo cá nhân/ca; B. Theo bộ phận/ngày; C. Hai cấp đối soát; ghi quy định.</t>
        </is>
      </c>
      <c r="F56" s="85" t="inlineStr">
        <is>
          <t>Khác</t>
        </is>
      </c>
      <c r="G56" s="85" t="inlineStr">
        <is>
          <t>theo ca nhé, ca lammf việc của an ninh hiện tại là 6H-18H nhưng chốt doanh thu có thẻ là 16H và 8h30 9H kiểu vậy</t>
        </is>
      </c>
      <c r="H56" s="85" t="inlineStr">
        <is>
          <t>Đã chốt</t>
        </is>
      </c>
      <c r="I56" s="83" t="inlineStr">
        <is>
          <t>Trưởng BP An ninh + CCKB + Kế toán</t>
        </is>
      </c>
      <c r="J56" s="83" t="n"/>
      <c r="K56" s="83" t="n"/>
      <c r="L56" s="83" t="n"/>
      <c r="M56" s="83" t="inlineStr">
        <is>
          <t>Trao đổi nghiệp vụ Sơn Cảng, 10-11/10/2026</t>
        </is>
      </c>
      <c r="N56" s="57" t="n"/>
      <c r="O56" s="57" t="n"/>
      <c r="P56" s="57" t="n"/>
      <c r="Q56" s="57" t="n"/>
      <c r="R56" s="57" t="n"/>
      <c r="S56" s="57" t="n"/>
      <c r="T56" s="57" t="n"/>
      <c r="U56" s="57" t="n"/>
      <c r="V56" s="57" t="n"/>
      <c r="W56" s="57" t="n"/>
      <c r="X56" s="57" t="n"/>
      <c r="Y56" s="57" t="n"/>
      <c r="Z56" s="57" t="n"/>
    </row>
    <row r="57" ht="54" customHeight="1" s="94">
      <c r="A57" s="81" t="inlineStr">
        <is>
          <t>T15</t>
        </is>
      </c>
      <c r="B57" s="81" t="inlineStr">
        <is>
          <t>04. Thanh toán</t>
        </is>
      </c>
      <c r="C57" s="81" t="inlineStr">
        <is>
          <t>P1</t>
        </is>
      </c>
      <c r="D57" s="81" t="inlineStr">
        <is>
          <t>Sau khi CCKB đã cấp đủ điều kiện thanh toán, An ninh phát hiện sai số cont/biển số: có quyền hủy xác nhận và gửi duyệt lại không?</t>
        </is>
      </c>
      <c r="E57" s="81" t="inlineStr">
        <is>
          <t>A. Tự hủy và yêu cầu kiểm tra; B. Chỉ CCKB thu hồi; C. TBP duyệt.</t>
        </is>
      </c>
      <c r="F57" s="84" t="inlineStr">
        <is>
          <t>Không áp dụng</t>
        </is>
      </c>
      <c r="G57" s="84" t="n"/>
      <c r="H57" s="84" t="inlineStr">
        <is>
          <t>Đã chốt</t>
        </is>
      </c>
      <c r="I57" s="81" t="inlineStr">
        <is>
          <t>Trưởng BP An ninh + CCKB</t>
        </is>
      </c>
      <c r="J57" s="81" t="n"/>
      <c r="K57" s="81" t="n"/>
      <c r="L57" s="81" t="n"/>
      <c r="M57" s="81" t="inlineStr">
        <is>
          <t>Trao đổi nghiệp vụ Sơn Cảng, 10-11/10/2026</t>
        </is>
      </c>
      <c r="N57" s="57" t="n"/>
      <c r="O57" s="57" t="n"/>
      <c r="P57" s="57" t="n"/>
      <c r="Q57" s="57" t="n"/>
      <c r="R57" s="57" t="n"/>
      <c r="S57" s="57" t="n"/>
      <c r="T57" s="57" t="n"/>
      <c r="U57" s="57" t="n"/>
      <c r="V57" s="57" t="n"/>
      <c r="W57" s="57" t="n"/>
      <c r="X57" s="57" t="n"/>
      <c r="Y57" s="57" t="n"/>
      <c r="Z57" s="57" t="n"/>
    </row>
    <row r="58" ht="54" customHeight="1" s="94">
      <c r="A58" s="83" t="inlineStr">
        <is>
          <t>P01</t>
        </is>
      </c>
      <c r="B58" s="83" t="inlineStr">
        <is>
          <t>05. Phân quyền</t>
        </is>
      </c>
      <c r="C58" s="83" t="inlineStr">
        <is>
          <t>P0</t>
        </is>
      </c>
      <c r="D58" s="83" t="inlineStr">
        <is>
          <t>Các vai trò chính xác cần tạo là 6 vai trò NV/TBP của 3 bộ phận + Quản trị, hay bổ sung Nhà cân/Kế toán?</t>
        </is>
      </c>
      <c r="E58" s="83" t="inlineStr">
        <is>
          <t>A. 7 vai trò; B. Thêm Nhà cân; C. Thêm Kế toán; ghi rõ.</t>
        </is>
      </c>
      <c r="F58" s="85" t="inlineStr">
        <is>
          <t>C</t>
        </is>
      </c>
      <c r="G58" s="85" t="n"/>
      <c r="H58" s="85" t="inlineStr">
        <is>
          <t>Đã chốt</t>
        </is>
      </c>
      <c r="I58" s="83" t="inlineStr">
        <is>
          <t>Quản trị + Các TBP</t>
        </is>
      </c>
      <c r="J58" s="83" t="n"/>
      <c r="K58" s="83" t="n"/>
      <c r="L58" s="83" t="n"/>
      <c r="M58" s="83" t="inlineStr">
        <is>
          <t>Trao đổi nghiệp vụ Sơn Cảng, 10-11/10/2026</t>
        </is>
      </c>
      <c r="N58" s="57" t="n"/>
      <c r="O58" s="57" t="n"/>
      <c r="P58" s="57" t="n"/>
      <c r="Q58" s="57" t="n"/>
      <c r="R58" s="57" t="n"/>
      <c r="S58" s="57" t="n"/>
      <c r="T58" s="57" t="n"/>
      <c r="U58" s="57" t="n"/>
      <c r="V58" s="57" t="n"/>
      <c r="W58" s="57" t="n"/>
      <c r="X58" s="57" t="n"/>
      <c r="Y58" s="57" t="n"/>
      <c r="Z58" s="57" t="n"/>
    </row>
    <row r="59" ht="54" customHeight="1" s="94">
      <c r="A59" s="81" t="inlineStr">
        <is>
          <t>P02</t>
        </is>
      </c>
      <c r="B59" s="81" t="inlineStr">
        <is>
          <t>05. Phân quyền</t>
        </is>
      </c>
      <c r="C59" s="81" t="inlineStr">
        <is>
          <t>P0</t>
        </is>
      </c>
      <c r="D59" s="81" t="inlineStr">
        <is>
          <t>TBP An ninh có được sửa GIO_VAO/GIO_RA và xuất xe thay NV An ninh không?</t>
        </is>
      </c>
      <c r="E59" s="81" t="inlineStr">
        <is>
          <t>A. Có; B. Chỉ duyệt sửa, không thực hiện; C. Tùy chức năng.</t>
        </is>
      </c>
      <c r="F59" s="84" t="inlineStr">
        <is>
          <t>A</t>
        </is>
      </c>
      <c r="G59" s="84" t="inlineStr">
        <is>
          <t>ghi lại audit</t>
        </is>
      </c>
      <c r="H59" s="84" t="inlineStr">
        <is>
          <t>Đã chốt</t>
        </is>
      </c>
      <c r="I59" s="81" t="inlineStr">
        <is>
          <t>Trưởng BP An ninh</t>
        </is>
      </c>
      <c r="J59" s="81" t="n"/>
      <c r="K59" s="81" t="n"/>
      <c r="L59" s="81" t="n"/>
      <c r="M59" s="81" t="inlineStr">
        <is>
          <t>Trao đổi nghiệp vụ Sơn Cảng, 10-11/10/2026</t>
        </is>
      </c>
      <c r="N59" s="57" t="n"/>
      <c r="O59" s="57" t="n"/>
      <c r="P59" s="57" t="n"/>
      <c r="Q59" s="57" t="n"/>
      <c r="R59" s="57" t="n"/>
      <c r="S59" s="57" t="n"/>
      <c r="T59" s="57" t="n"/>
      <c r="U59" s="57" t="n"/>
      <c r="V59" s="57" t="n"/>
      <c r="W59" s="57" t="n"/>
      <c r="X59" s="57" t="n"/>
      <c r="Y59" s="57" t="n"/>
      <c r="Z59" s="57" t="n"/>
    </row>
    <row r="60" ht="54" customHeight="1" s="94">
      <c r="A60" s="83" t="inlineStr">
        <is>
          <t>P03</t>
        </is>
      </c>
      <c r="B60" s="83" t="inlineStr">
        <is>
          <t>05. Phân quyền</t>
        </is>
      </c>
      <c r="C60" s="83" t="inlineStr">
        <is>
          <t>P0</t>
        </is>
      </c>
      <c r="D60" s="83" t="inlineStr">
        <is>
          <t>TBP CCKB có quyền duyệt điều chỉnh sau thu, duyệt miễn giảm và duyệt xuất ngoại lệ đến hạn mức nào?</t>
        </is>
      </c>
      <c r="E60" s="83" t="inlineStr">
        <is>
          <t>A. Toàn bộ; B. Giới hạn theo số tiền; C. Phải chuyển Quản trị/BLĐ.</t>
        </is>
      </c>
      <c r="F60" s="85" t="inlineStr">
        <is>
          <t>A</t>
        </is>
      </c>
      <c r="G60" s="85" t="inlineStr">
        <is>
          <t>ghi lại audit</t>
        </is>
      </c>
      <c r="H60" s="85" t="inlineStr">
        <is>
          <t>Đã chốt</t>
        </is>
      </c>
      <c r="I60" s="83" t="inlineStr">
        <is>
          <t>Trưởng BP CCKB</t>
        </is>
      </c>
      <c r="J60" s="83" t="n"/>
      <c r="K60" s="83" t="n"/>
      <c r="L60" s="83" t="n"/>
      <c r="M60" s="83" t="inlineStr">
        <is>
          <t>Trao đổi nghiệp vụ Sơn Cảng, 10-11/10/2026</t>
        </is>
      </c>
      <c r="N60" s="57" t="n"/>
      <c r="O60" s="57" t="n"/>
      <c r="P60" s="57" t="n"/>
      <c r="Q60" s="57" t="n"/>
      <c r="R60" s="57" t="n"/>
      <c r="S60" s="57" t="n"/>
      <c r="T60" s="57" t="n"/>
      <c r="U60" s="57" t="n"/>
      <c r="V60" s="57" t="n"/>
      <c r="W60" s="57" t="n"/>
      <c r="X60" s="57" t="n"/>
      <c r="Y60" s="57" t="n"/>
      <c r="Z60" s="57" t="n"/>
    </row>
    <row r="61" ht="54" customHeight="1" s="94">
      <c r="A61" s="81" t="inlineStr">
        <is>
          <t>P04</t>
        </is>
      </c>
      <c r="B61" s="81" t="inlineStr">
        <is>
          <t>05. Phân quyền</t>
        </is>
      </c>
      <c r="C61" s="81" t="inlineStr">
        <is>
          <t>P1</t>
        </is>
      </c>
      <c r="D61" s="81" t="inlineStr">
        <is>
          <t>NV CCKB có được sửa giờ điện trước thanh toán không giới hạn hay chỉ trong ca/24 giờ?</t>
        </is>
      </c>
      <c r="E61" s="81" t="inlineStr">
        <is>
          <t>A. Không giới hạn trước thu; B. Trong ca; C. Theo thời hạn khác.</t>
        </is>
      </c>
      <c r="F61" s="84" t="inlineStr">
        <is>
          <t>A</t>
        </is>
      </c>
      <c r="G61" s="84" t="inlineStr">
        <is>
          <t>được</t>
        </is>
      </c>
      <c r="H61" s="84" t="inlineStr">
        <is>
          <t>Đã chốt</t>
        </is>
      </c>
      <c r="I61" s="81" t="inlineStr">
        <is>
          <t>Trưởng BP CCKB</t>
        </is>
      </c>
      <c r="J61" s="81" t="n"/>
      <c r="K61" s="81" t="n"/>
      <c r="L61" s="81" t="n"/>
      <c r="M61" s="81" t="inlineStr">
        <is>
          <t>Trao đổi nghiệp vụ Sơn Cảng, 10-11/10/2026</t>
        </is>
      </c>
      <c r="N61" s="57" t="n"/>
      <c r="O61" s="57" t="n"/>
      <c r="P61" s="57" t="n"/>
      <c r="Q61" s="57" t="n"/>
      <c r="R61" s="57" t="n"/>
      <c r="S61" s="57" t="n"/>
      <c r="T61" s="57" t="n"/>
      <c r="U61" s="57" t="n"/>
      <c r="V61" s="57" t="n"/>
      <c r="W61" s="57" t="n"/>
      <c r="X61" s="57" t="n"/>
      <c r="Y61" s="57" t="n"/>
      <c r="Z61" s="57" t="n"/>
    </row>
    <row r="62" ht="54" customHeight="1" s="94">
      <c r="A62" s="83" t="inlineStr">
        <is>
          <t>P05</t>
        </is>
      </c>
      <c r="B62" s="83" t="inlineStr">
        <is>
          <t>05. Phân quyền</t>
        </is>
      </c>
      <c r="C62" s="83" t="inlineStr">
        <is>
          <t>P1</t>
        </is>
      </c>
      <c r="D62" s="83" t="inlineStr">
        <is>
          <t>TBP Điều phối có được sửa HÀNG/RỖNG sau khi container xuất bãi không?</t>
        </is>
      </c>
      <c r="E62" s="83" t="inlineStr">
        <is>
          <t>A. Có, kèm lý do; B. Chỉ trước khi xuất; C. Quản trị sửa sau xuất.</t>
        </is>
      </c>
      <c r="F62" s="85" t="inlineStr">
        <is>
          <t>A</t>
        </is>
      </c>
      <c r="G62" s="85" t="n"/>
      <c r="H62" s="85" t="inlineStr">
        <is>
          <t>Đã chốt</t>
        </is>
      </c>
      <c r="I62" s="83" t="inlineStr">
        <is>
          <t>Trưởng BP Điều phối</t>
        </is>
      </c>
      <c r="J62" s="83" t="n"/>
      <c r="K62" s="83" t="n"/>
      <c r="L62" s="83" t="n"/>
      <c r="M62" s="83" t="inlineStr">
        <is>
          <t>Trao đổi nghiệp vụ Sơn Cảng, 10-11/10/2026</t>
        </is>
      </c>
      <c r="N62" s="57" t="n"/>
      <c r="O62" s="57" t="n"/>
      <c r="P62" s="57" t="n"/>
      <c r="Q62" s="57" t="n"/>
      <c r="R62" s="57" t="n"/>
      <c r="S62" s="57" t="n"/>
      <c r="T62" s="57" t="n"/>
      <c r="U62" s="57" t="n"/>
      <c r="V62" s="57" t="n"/>
      <c r="W62" s="57" t="n"/>
      <c r="X62" s="57" t="n"/>
      <c r="Y62" s="57" t="n"/>
      <c r="Z62" s="57" t="n"/>
    </row>
    <row r="63" ht="54" customHeight="1" s="94">
      <c r="A63" s="81" t="inlineStr">
        <is>
          <t>P06</t>
        </is>
      </c>
      <c r="B63" s="81" t="inlineStr">
        <is>
          <t>05. Phân quyền</t>
        </is>
      </c>
      <c r="C63" s="81" t="inlineStr">
        <is>
          <t>P1</t>
        </is>
      </c>
      <c r="D63" s="81" t="inlineStr">
        <is>
          <t>Ai có quyền mở khóa/xử lý dữ liệu đã chốt sau ra cổng mà không làm thay đổi lịch sử thu tiền?</t>
        </is>
      </c>
      <c r="E63" s="81" t="inlineStr">
        <is>
          <t>A. Quản trị; B. TBP liên quan + xác nhận; C. Quy trình 2 cấp.</t>
        </is>
      </c>
      <c r="F63" s="84" t="inlineStr">
        <is>
          <t>B</t>
        </is>
      </c>
      <c r="G63" s="84" t="n"/>
      <c r="H63" s="84" t="inlineStr">
        <is>
          <t>Đã chốt</t>
        </is>
      </c>
      <c r="I63" s="81" t="inlineStr">
        <is>
          <t>Quản trị + Các TBP</t>
        </is>
      </c>
      <c r="J63" s="81" t="n"/>
      <c r="K63" s="81" t="n"/>
      <c r="L63" s="81" t="n"/>
      <c r="M63" s="81" t="inlineStr">
        <is>
          <t>Trao đổi nghiệp vụ Sơn Cảng, 10-11/10/2026</t>
        </is>
      </c>
      <c r="N63" s="57" t="n"/>
      <c r="O63" s="57" t="n"/>
      <c r="P63" s="57" t="n"/>
      <c r="Q63" s="57" t="n"/>
      <c r="R63" s="57" t="n"/>
      <c r="S63" s="57" t="n"/>
      <c r="T63" s="57" t="n"/>
      <c r="U63" s="57" t="n"/>
      <c r="V63" s="57" t="n"/>
      <c r="W63" s="57" t="n"/>
      <c r="X63" s="57" t="n"/>
      <c r="Y63" s="57" t="n"/>
      <c r="Z63" s="57" t="n"/>
    </row>
    <row r="64" ht="54" customHeight="1" s="94">
      <c r="A64" s="83" t="inlineStr">
        <is>
          <t>P07</t>
        </is>
      </c>
      <c r="B64" s="83" t="inlineStr">
        <is>
          <t>05. Phân quyền</t>
        </is>
      </c>
      <c r="C64" s="83" t="inlineStr">
        <is>
          <t>P1</t>
        </is>
      </c>
      <c r="D64" s="83" t="inlineStr">
        <is>
          <t>Một nhân viên có thể kiêm 2 bộ phận/vai trò trên một tài khoản không?</t>
        </is>
      </c>
      <c r="E64" s="83" t="inlineStr">
        <is>
          <t>A. Một tài khoản nhiều vai trò; B. Một vai trò; C. Theo ca.</t>
        </is>
      </c>
      <c r="F64" s="85" t="inlineStr">
        <is>
          <t>Khác</t>
        </is>
      </c>
      <c r="G64" s="85" t="inlineStr">
        <is>
          <t>Cài này có lúc theo ca có lúc 1 tk nhiêu role nhưng cứ xây dựng giai đoạn đầu máy sẽ cố định tại bốt cont CCKB thì sẽ đăng nhập tk cá nhân(Sau này muốn phát triển ai có ca mới được vào)</t>
        </is>
      </c>
      <c r="H64" s="85" t="inlineStr">
        <is>
          <t>Đã chốt</t>
        </is>
      </c>
      <c r="I64" s="83" t="inlineStr">
        <is>
          <t>Quản trị</t>
        </is>
      </c>
      <c r="J64" s="83" t="n"/>
      <c r="K64" s="83" t="n"/>
      <c r="L64" s="83" t="n"/>
      <c r="M64" s="83" t="inlineStr">
        <is>
          <t>Trao đổi nghiệp vụ Sơn Cảng, 10-11/10/2026</t>
        </is>
      </c>
      <c r="N64" s="57" t="n"/>
      <c r="O64" s="57" t="n"/>
      <c r="P64" s="57" t="n"/>
      <c r="Q64" s="57" t="n"/>
      <c r="R64" s="57" t="n"/>
      <c r="S64" s="57" t="n"/>
      <c r="T64" s="57" t="n"/>
      <c r="U64" s="57" t="n"/>
      <c r="V64" s="57" t="n"/>
      <c r="W64" s="57" t="n"/>
      <c r="X64" s="57" t="n"/>
      <c r="Y64" s="57" t="n"/>
      <c r="Z64" s="57" t="n"/>
    </row>
    <row r="65" ht="54" customHeight="1" s="94">
      <c r="A65" s="81" t="inlineStr">
        <is>
          <t>P08</t>
        </is>
      </c>
      <c r="B65" s="81" t="inlineStr">
        <is>
          <t>05. Phân quyền</t>
        </is>
      </c>
      <c r="C65" s="81" t="inlineStr">
        <is>
          <t>P1</t>
        </is>
      </c>
      <c r="D65" s="81" t="inlineStr">
        <is>
          <t>Cần tạo tài khoản mới bằng email công ty hay dùng email Gmail hiện có để đăng nhập?</t>
        </is>
      </c>
      <c r="E65" s="81" t="inlineStr">
        <is>
          <t>A. Google login email sẵn có; B. Email công ty; C. Email/mật khẩu độc lập.</t>
        </is>
      </c>
      <c r="F65" s="84" t="inlineStr">
        <is>
          <t>C</t>
        </is>
      </c>
      <c r="G65" s="84" t="n"/>
      <c r="H65" s="84" t="inlineStr">
        <is>
          <t>Đã chốt</t>
        </is>
      </c>
      <c r="I65" s="81" t="inlineStr">
        <is>
          <t>Quản trị</t>
        </is>
      </c>
      <c r="J65" s="81" t="n"/>
      <c r="K65" s="81" t="n"/>
      <c r="L65" s="81" t="n"/>
      <c r="M65" s="81" t="inlineStr">
        <is>
          <t>Trao đổi nghiệp vụ Sơn Cảng, 10-11/10/2026</t>
        </is>
      </c>
      <c r="N65" s="57" t="n"/>
      <c r="O65" s="57" t="n"/>
      <c r="P65" s="57" t="n"/>
      <c r="Q65" s="57" t="n"/>
      <c r="R65" s="57" t="n"/>
      <c r="S65" s="57" t="n"/>
      <c r="T65" s="57" t="n"/>
      <c r="U65" s="57" t="n"/>
      <c r="V65" s="57" t="n"/>
      <c r="W65" s="57" t="n"/>
      <c r="X65" s="57" t="n"/>
      <c r="Y65" s="57" t="n"/>
      <c r="Z65" s="57" t="n"/>
    </row>
    <row r="66" ht="54" customHeight="1" s="94">
      <c r="A66" s="83" t="inlineStr">
        <is>
          <t>P09</t>
        </is>
      </c>
      <c r="B66" s="83" t="inlineStr">
        <is>
          <t>05. Phân quyền</t>
        </is>
      </c>
      <c r="C66" s="83" t="inlineStr">
        <is>
          <t>P1</t>
        </is>
      </c>
      <c r="D66" s="83" t="inlineStr">
        <is>
          <t>Người dùng bị khóa/nghỉ việc thì dữ liệu lịch sử và quyền đăng nhập được xử lý thế nào?</t>
        </is>
      </c>
      <c r="E66" s="83" t="inlineStr">
        <is>
          <t>A. Vô hiệu hóa, giữ lịch sử; B. Quy trình khác.</t>
        </is>
      </c>
      <c r="F66" s="85" t="inlineStr">
        <is>
          <t>A</t>
        </is>
      </c>
      <c r="G66" s="85" t="n"/>
      <c r="H66" s="85" t="inlineStr">
        <is>
          <t>Đã chốt</t>
        </is>
      </c>
      <c r="I66" s="83" t="inlineStr">
        <is>
          <t>Quản trị</t>
        </is>
      </c>
      <c r="J66" s="83" t="n"/>
      <c r="K66" s="83" t="n"/>
      <c r="L66" s="83" t="n"/>
      <c r="M66" s="83" t="inlineStr">
        <is>
          <t>Trao đổi nghiệp vụ Sơn Cảng, 10-11/10/2026</t>
        </is>
      </c>
      <c r="N66" s="57" t="n"/>
      <c r="O66" s="57" t="n"/>
      <c r="P66" s="57" t="n"/>
      <c r="Q66" s="57" t="n"/>
      <c r="R66" s="57" t="n"/>
      <c r="S66" s="57" t="n"/>
      <c r="T66" s="57" t="n"/>
      <c r="U66" s="57" t="n"/>
      <c r="V66" s="57" t="n"/>
      <c r="W66" s="57" t="n"/>
      <c r="X66" s="57" t="n"/>
      <c r="Y66" s="57" t="n"/>
      <c r="Z66" s="57" t="n"/>
    </row>
    <row r="67" ht="54" customHeight="1" s="94">
      <c r="A67" s="81" t="inlineStr">
        <is>
          <t>P10</t>
        </is>
      </c>
      <c r="B67" s="81" t="inlineStr">
        <is>
          <t>05. Phân quyền</t>
        </is>
      </c>
      <c r="C67" s="81" t="inlineStr">
        <is>
          <t>P1</t>
        </is>
      </c>
      <c r="D67" s="81" t="inlineStr">
        <is>
          <t>CCKB có quyền xem và điều chỉnh trạng thái vé An ninh thu hay chỉ đọc?</t>
        </is>
      </c>
      <c r="E67" s="81" t="inlineStr">
        <is>
          <t>A. Chỉ xem; B. Có quyền báo sai lệch; C. Được chỉnh sau duyệt.</t>
        </is>
      </c>
      <c r="F67" s="84" t="inlineStr">
        <is>
          <t>A</t>
        </is>
      </c>
      <c r="G67" s="84" t="n"/>
      <c r="H67" s="84" t="inlineStr">
        <is>
          <t>Đã chốt</t>
        </is>
      </c>
      <c r="I67" s="81" t="inlineStr">
        <is>
          <t>Trưởng BP An ninh + CCKB</t>
        </is>
      </c>
      <c r="J67" s="81" t="n"/>
      <c r="K67" s="81" t="n"/>
      <c r="L67" s="81" t="n"/>
      <c r="M67" s="81" t="inlineStr">
        <is>
          <t>Trao đổi nghiệp vụ Sơn Cảng, 10-11/10/2026</t>
        </is>
      </c>
      <c r="N67" s="57" t="n"/>
      <c r="O67" s="57" t="n"/>
      <c r="P67" s="57" t="n"/>
      <c r="Q67" s="57" t="n"/>
      <c r="R67" s="57" t="n"/>
      <c r="S67" s="57" t="n"/>
      <c r="T67" s="57" t="n"/>
      <c r="U67" s="57" t="n"/>
      <c r="V67" s="57" t="n"/>
      <c r="W67" s="57" t="n"/>
      <c r="X67" s="57" t="n"/>
      <c r="Y67" s="57" t="n"/>
      <c r="Z67" s="57" t="n"/>
    </row>
    <row r="68" ht="54" customHeight="1" s="94">
      <c r="A68" s="83" t="inlineStr">
        <is>
          <t>D01</t>
        </is>
      </c>
      <c r="B68" s="83" t="inlineStr">
        <is>
          <t>06. Điều phối / container</t>
        </is>
      </c>
      <c r="C68" s="83" t="inlineStr">
        <is>
          <t>P0</t>
        </is>
      </c>
      <c r="D68" s="83" t="inlineStr">
        <is>
          <t>Điều phối nhập HÀNG/RỖNG lúc nào và có được để trống khi container vừa vào không?</t>
        </is>
      </c>
      <c r="E68" s="83" t="inlineStr">
        <is>
          <t>A. Bắt buộc trước khi tiếp nhận; B. Được trống, hoàn thiện trước ra; C. Linh hoạt theo ca.</t>
        </is>
      </c>
      <c r="F68" s="85" t="inlineStr">
        <is>
          <t>B</t>
        </is>
      </c>
      <c r="G68" s="85" t="inlineStr">
        <is>
          <t>được trống</t>
        </is>
      </c>
      <c r="H68" s="85" t="inlineStr">
        <is>
          <t>Đã chốt</t>
        </is>
      </c>
      <c r="I68" s="83" t="inlineStr">
        <is>
          <t>Trưởng BP Điều phối</t>
        </is>
      </c>
      <c r="J68" s="83" t="n"/>
      <c r="K68" s="83" t="n"/>
      <c r="L68" s="83" t="n"/>
      <c r="M68" s="83" t="inlineStr">
        <is>
          <t>Trao đổi nghiệp vụ Sơn Cảng, 10-11/10/2026</t>
        </is>
      </c>
      <c r="N68" s="57" t="n"/>
      <c r="O68" s="57" t="n"/>
      <c r="P68" s="57" t="n"/>
      <c r="Q68" s="57" t="n"/>
      <c r="R68" s="57" t="n"/>
      <c r="S68" s="57" t="n"/>
      <c r="T68" s="57" t="n"/>
      <c r="U68" s="57" t="n"/>
      <c r="V68" s="57" t="n"/>
      <c r="W68" s="57" t="n"/>
      <c r="X68" s="57" t="n"/>
      <c r="Y68" s="57" t="n"/>
      <c r="Z68" s="57" t="n"/>
    </row>
    <row r="69" ht="54" customHeight="1" s="94">
      <c r="A69" s="81" t="inlineStr">
        <is>
          <t>D02</t>
        </is>
      </c>
      <c r="B69" s="81" t="inlineStr">
        <is>
          <t>06. Điều phối / container</t>
        </is>
      </c>
      <c r="C69" s="81" t="inlineStr">
        <is>
          <t>P1</t>
        </is>
      </c>
      <c r="D69" s="81" t="inlineStr">
        <is>
          <t>Nếu Điều phối thay đổi HÀNG thành RỖNG (hoặc ngược lại), có cần ghi lý do/người xác nhận không?</t>
        </is>
      </c>
      <c r="E69" s="81" t="inlineStr">
        <is>
          <t>A. Có; B. Chỉ khi đã chốt; C. Khác.</t>
        </is>
      </c>
      <c r="F69" s="84" t="inlineStr">
        <is>
          <t>A</t>
        </is>
      </c>
      <c r="G69" s="84" t="inlineStr">
        <is>
          <t>ghi lí do k bắt bược</t>
        </is>
      </c>
      <c r="H69" s="84" t="inlineStr">
        <is>
          <t>Đã chốt</t>
        </is>
      </c>
      <c r="I69" s="81" t="inlineStr">
        <is>
          <t>Trưởng BP Điều phối</t>
        </is>
      </c>
      <c r="J69" s="81" t="n"/>
      <c r="K69" s="81" t="n"/>
      <c r="L69" s="81" t="n"/>
      <c r="M69" s="81" t="inlineStr">
        <is>
          <t>Trao đổi nghiệp vụ Sơn Cảng, 10-11/10/2026</t>
        </is>
      </c>
      <c r="N69" s="57" t="n"/>
      <c r="O69" s="57" t="n"/>
      <c r="P69" s="57" t="n"/>
      <c r="Q69" s="57" t="n"/>
      <c r="R69" s="57" t="n"/>
      <c r="S69" s="57" t="n"/>
      <c r="T69" s="57" t="n"/>
      <c r="U69" s="57" t="n"/>
      <c r="V69" s="57" t="n"/>
      <c r="W69" s="57" t="n"/>
      <c r="X69" s="57" t="n"/>
      <c r="Y69" s="57" t="n"/>
      <c r="Z69" s="57" t="n"/>
    </row>
    <row r="70" ht="54" customHeight="1" s="94">
      <c r="A70" s="83" t="inlineStr">
        <is>
          <t>D03</t>
        </is>
      </c>
      <c r="B70" s="83" t="inlineStr">
        <is>
          <t>06. Điều phối / container</t>
        </is>
      </c>
      <c r="C70" s="83" t="inlineStr">
        <is>
          <t>P0</t>
        </is>
      </c>
      <c r="D70" s="83" t="inlineStr">
        <is>
          <t>Xe vào mang container A, ra nhận container B: ai ghép ID_CONTAINER_RA với lượt xe ở bước cuối?</t>
        </is>
      </c>
      <c r="E70" s="83" t="inlineStr">
        <is>
          <t>A. An ninh chọn; B. Điều phối chỉ định, An ninh xác nhận; C. CCKB chọn.</t>
        </is>
      </c>
      <c r="F70" s="85" t="inlineStr">
        <is>
          <t>A</t>
        </is>
      </c>
      <c r="G70" s="85" t="n"/>
      <c r="H70" s="85" t="inlineStr">
        <is>
          <t>Đã chốt</t>
        </is>
      </c>
      <c r="I70" s="83" t="inlineStr">
        <is>
          <t>Trưởng BP An ninh + Điều phối</t>
        </is>
      </c>
      <c r="J70" s="83" t="n"/>
      <c r="K70" s="83" t="n"/>
      <c r="L70" s="83" t="n"/>
      <c r="M70" s="83" t="inlineStr">
        <is>
          <t>Trao đổi nghiệp vụ Sơn Cảng, 10-11/10/2026</t>
        </is>
      </c>
      <c r="N70" s="57" t="n"/>
      <c r="O70" s="57" t="n"/>
      <c r="P70" s="57" t="n"/>
      <c r="Q70" s="57" t="n"/>
      <c r="R70" s="57" t="n"/>
      <c r="S70" s="57" t="n"/>
      <c r="T70" s="57" t="n"/>
      <c r="U70" s="57" t="n"/>
      <c r="V70" s="57" t="n"/>
      <c r="W70" s="57" t="n"/>
      <c r="X70" s="57" t="n"/>
      <c r="Y70" s="57" t="n"/>
      <c r="Z70" s="57" t="n"/>
    </row>
    <row r="71" ht="54" customHeight="1" s="94">
      <c r="A71" s="81" t="inlineStr">
        <is>
          <t>D04</t>
        </is>
      </c>
      <c r="B71" s="81" t="inlineStr">
        <is>
          <t>06. Điều phối / container</t>
        </is>
      </c>
      <c r="C71" s="81" t="inlineStr">
        <is>
          <t>P1</t>
        </is>
      </c>
      <c r="D71" s="81" t="inlineStr">
        <is>
          <t>Có quản lý vị trí container (khu/bãi/dãy/ô) khi hạ, khi xếp lên xe hay chỉ kiểm soát có/không trong bãi?</t>
        </is>
      </c>
      <c r="E71" s="81" t="inlineStr">
        <is>
          <t>A. Chỉ trong bãi; B. Khu vực; C. Định vị ô/kệ.</t>
        </is>
      </c>
      <c r="F71" s="84" t="inlineStr">
        <is>
          <t>Khác</t>
        </is>
      </c>
      <c r="G71" s="84" t="inlineStr">
        <is>
          <t>Cả 3 luôn nhưng giai đoạn đâu chưa, phát triển phase sau</t>
        </is>
      </c>
      <c r="H71" s="84" t="inlineStr">
        <is>
          <t>Đã chốt</t>
        </is>
      </c>
      <c r="I71" s="81" t="inlineStr">
        <is>
          <t>Trưởng BP Điều phối</t>
        </is>
      </c>
      <c r="J71" s="81" t="n"/>
      <c r="K71" s="81" t="n"/>
      <c r="L71" s="81" t="n"/>
      <c r="M71" s="81" t="inlineStr">
        <is>
          <t>Trao đổi nghiệp vụ Sơn Cảng, 10-11/10/2026</t>
        </is>
      </c>
      <c r="N71" s="57" t="n"/>
      <c r="O71" s="57" t="n"/>
      <c r="P71" s="57" t="n"/>
      <c r="Q71" s="57" t="n"/>
      <c r="R71" s="57" t="n"/>
      <c r="S71" s="57" t="n"/>
      <c r="T71" s="57" t="n"/>
      <c r="U71" s="57" t="n"/>
      <c r="V71" s="57" t="n"/>
      <c r="W71" s="57" t="n"/>
      <c r="X71" s="57" t="n"/>
      <c r="Y71" s="57" t="n"/>
      <c r="Z71" s="57" t="n"/>
    </row>
    <row r="72" ht="54" customHeight="1" s="94">
      <c r="A72" s="83" t="inlineStr">
        <is>
          <t>D05</t>
        </is>
      </c>
      <c r="B72" s="83" t="inlineStr">
        <is>
          <t>06. Điều phối / container</t>
        </is>
      </c>
      <c r="C72" s="83" t="inlineStr">
        <is>
          <t>P1</t>
        </is>
      </c>
      <c r="D72" s="83" t="inlineStr">
        <is>
          <t>Một số container có thể vào/ra bãi nhiều lần: hệ thống có cần hiển thị lịch sử theo số cont và phân biệt bằng lượt ID không?</t>
        </is>
      </c>
      <c r="E72" s="83" t="inlineStr">
        <is>
          <t>A. Có, lịch sử nhiều lượt; B. Quy tắc khác.</t>
        </is>
      </c>
      <c r="F72" s="85" t="inlineStr">
        <is>
          <t>A</t>
        </is>
      </c>
      <c r="G72" s="85" t="n"/>
      <c r="H72" s="85" t="inlineStr">
        <is>
          <t>Đã chốt</t>
        </is>
      </c>
      <c r="I72" s="83" t="inlineStr">
        <is>
          <t>Trưởng BP Điều phối + Quản trị</t>
        </is>
      </c>
      <c r="J72" s="83" t="n"/>
      <c r="K72" s="83" t="n"/>
      <c r="L72" s="83" t="n"/>
      <c r="M72" s="83" t="inlineStr">
        <is>
          <t>Trao đổi nghiệp vụ Sơn Cảng, 10-11/10/2026</t>
        </is>
      </c>
      <c r="N72" s="57" t="n"/>
      <c r="O72" s="57" t="n"/>
      <c r="P72" s="57" t="n"/>
      <c r="Q72" s="57" t="n"/>
      <c r="R72" s="57" t="n"/>
      <c r="S72" s="57" t="n"/>
      <c r="T72" s="57" t="n"/>
      <c r="U72" s="57" t="n"/>
      <c r="V72" s="57" t="n"/>
      <c r="W72" s="57" t="n"/>
      <c r="X72" s="57" t="n"/>
      <c r="Y72" s="57" t="n"/>
      <c r="Z72" s="57" t="n"/>
    </row>
    <row r="73" ht="54" customHeight="1" s="94">
      <c r="A73" s="81" t="inlineStr">
        <is>
          <t>D06</t>
        </is>
      </c>
      <c r="B73" s="81" t="inlineStr">
        <is>
          <t>06. Điều phối / container</t>
        </is>
      </c>
      <c r="C73" s="81" t="inlineStr">
        <is>
          <t>P1</t>
        </is>
      </c>
      <c r="D73" s="81" t="inlineStr">
        <is>
          <t>Khi số container gõ nhầm hoặc khác so với trên vé, người nào được xác nhận sửa thông tin?</t>
        </is>
      </c>
      <c r="E73" s="81" t="inlineStr">
        <is>
          <t>A. An ninh sửa trước ra; B. Điều phối duyệt; C. TBP An ninh duyệt.</t>
        </is>
      </c>
      <c r="F73" s="84" t="inlineStr">
        <is>
          <t>A</t>
        </is>
      </c>
      <c r="G73" s="84" t="inlineStr">
        <is>
          <t>TBP thì sửa trực tiếp</t>
        </is>
      </c>
      <c r="H73" s="84" t="inlineStr">
        <is>
          <t>Đã chốt</t>
        </is>
      </c>
      <c r="I73" s="81" t="inlineStr">
        <is>
          <t>Trưởng BP Điều phối + An ninh</t>
        </is>
      </c>
      <c r="J73" s="81" t="n"/>
      <c r="K73" s="81" t="n"/>
      <c r="L73" s="81" t="n"/>
      <c r="M73" s="81" t="inlineStr">
        <is>
          <t>Trao đổi nghiệp vụ Sơn Cảng, 10-11/10/2026</t>
        </is>
      </c>
      <c r="N73" s="57" t="n"/>
      <c r="O73" s="57" t="n"/>
      <c r="P73" s="57" t="n"/>
      <c r="Q73" s="57" t="n"/>
      <c r="R73" s="57" t="n"/>
      <c r="S73" s="57" t="n"/>
      <c r="T73" s="57" t="n"/>
      <c r="U73" s="57" t="n"/>
      <c r="V73" s="57" t="n"/>
      <c r="W73" s="57" t="n"/>
      <c r="X73" s="57" t="n"/>
      <c r="Y73" s="57" t="n"/>
      <c r="Z73" s="57" t="n"/>
    </row>
    <row r="74" ht="54" customHeight="1" s="94">
      <c r="A74" s="83" t="inlineStr">
        <is>
          <t>R01</t>
        </is>
      </c>
      <c r="B74" s="83" t="inlineStr">
        <is>
          <t>07. Báo cáo / đối soát</t>
        </is>
      </c>
      <c r="C74" s="83" t="inlineStr">
        <is>
          <t>P1</t>
        </is>
      </c>
      <c r="D74" s="83" t="inlineStr">
        <is>
          <t>Báo cáo doanh thu yêu cầu chi tiết theo ca, ngày, tháng, loại phí, nhân viên, bộ phận hay tổng hợp nào?</t>
        </is>
      </c>
      <c r="E74" s="83" t="inlineStr">
        <is>
          <t>A. Tất cả; B. Theo nhóm được chọn; C. Báo cáo mẫu riêng.</t>
        </is>
      </c>
      <c r="F74" s="85" t="inlineStr">
        <is>
          <t>A</t>
        </is>
      </c>
      <c r="G74" s="85" t="n"/>
      <c r="H74" s="85" t="inlineStr">
        <is>
          <t>Đã chốt</t>
        </is>
      </c>
      <c r="I74" s="83" t="inlineStr">
        <is>
          <t>Các TBP + Kế toán</t>
        </is>
      </c>
      <c r="J74" s="83" t="n"/>
      <c r="K74" s="83" t="n"/>
      <c r="L74" s="83" t="n"/>
      <c r="M74" s="83" t="inlineStr">
        <is>
          <t>Trao đổi nghiệp vụ Sơn Cảng, 10-11/10/2026</t>
        </is>
      </c>
      <c r="N74" s="57" t="n"/>
      <c r="O74" s="57" t="n"/>
      <c r="P74" s="57" t="n"/>
      <c r="Q74" s="57" t="n"/>
      <c r="R74" s="57" t="n"/>
      <c r="S74" s="57" t="n"/>
      <c r="T74" s="57" t="n"/>
      <c r="U74" s="57" t="n"/>
      <c r="V74" s="57" t="n"/>
      <c r="W74" s="57" t="n"/>
      <c r="X74" s="57" t="n"/>
      <c r="Y74" s="57" t="n"/>
      <c r="Z74" s="57" t="n"/>
    </row>
    <row r="75" ht="54" customHeight="1" s="94">
      <c r="A75" s="81" t="inlineStr">
        <is>
          <t>R02</t>
        </is>
      </c>
      <c r="B75" s="81" t="inlineStr">
        <is>
          <t>07. Báo cáo / đối soát</t>
        </is>
      </c>
      <c r="C75" s="81" t="inlineStr">
        <is>
          <t>P1</t>
        </is>
      </c>
      <c r="D75" s="81" t="inlineStr">
        <is>
          <t>Cần giao ca trên PWA với số dư tiền mặt, biên bản đối soát, người bàn giao/người nhận không?</t>
        </is>
      </c>
      <c r="E75" s="81" t="inlineStr">
        <is>
          <t>A. Có; B. Chỉ báo cáo cuối ca; C. Giao ca ngoài hệ thống.</t>
        </is>
      </c>
      <c r="F75" s="84" t="inlineStr">
        <is>
          <t>C</t>
        </is>
      </c>
      <c r="G75" s="84" t="inlineStr">
        <is>
          <t>Trc mắt ngoài hệ thống</t>
        </is>
      </c>
      <c r="H75" s="84" t="inlineStr">
        <is>
          <t>Đã chốt</t>
        </is>
      </c>
      <c r="I75" s="81" t="inlineStr">
        <is>
          <t>Trưởng BP An ninh + CCKB</t>
        </is>
      </c>
      <c r="J75" s="81" t="n"/>
      <c r="K75" s="81" t="n"/>
      <c r="L75" s="81" t="n"/>
      <c r="M75" s="81" t="inlineStr">
        <is>
          <t>Trao đổi nghiệp vụ Sơn Cảng, 10-11/10/2026</t>
        </is>
      </c>
      <c r="N75" s="57" t="n"/>
      <c r="O75" s="57" t="n"/>
      <c r="P75" s="57" t="n"/>
      <c r="Q75" s="57" t="n"/>
      <c r="R75" s="57" t="n"/>
      <c r="S75" s="57" t="n"/>
      <c r="T75" s="57" t="n"/>
      <c r="U75" s="57" t="n"/>
      <c r="V75" s="57" t="n"/>
      <c r="W75" s="57" t="n"/>
      <c r="X75" s="57" t="n"/>
      <c r="Y75" s="57" t="n"/>
      <c r="Z75" s="57" t="n"/>
    </row>
    <row r="76" ht="54" customHeight="1" s="94">
      <c r="A76" s="83" t="inlineStr">
        <is>
          <t>R03</t>
        </is>
      </c>
      <c r="B76" s="83" t="inlineStr">
        <is>
          <t>07. Báo cáo / đối soát</t>
        </is>
      </c>
      <c r="C76" s="83" t="inlineStr">
        <is>
          <t>P1</t>
        </is>
      </c>
      <c r="D76" s="83" t="inlineStr">
        <is>
          <t>Cần bảng theo dõi xe quá hạn, container còn lưu nhiều ngày, điện chưa rút, chưa thu tiền và thông báo tự động không?</t>
        </is>
      </c>
      <c r="E76" s="83" t="inlineStr">
        <is>
          <t>A. Có tất cả; B. Chỉ danh sách; C. Chọn cảnh báo cụ thể.</t>
        </is>
      </c>
      <c r="F76" s="85" t="inlineStr">
        <is>
          <t>A</t>
        </is>
      </c>
      <c r="G76" s="85" t="n"/>
      <c r="H76" s="85" t="inlineStr">
        <is>
          <t>Đã chốt</t>
        </is>
      </c>
      <c r="I76" s="83" t="inlineStr">
        <is>
          <t>Các TBP</t>
        </is>
      </c>
      <c r="J76" s="83" t="n"/>
      <c r="K76" s="83" t="n"/>
      <c r="L76" s="83" t="n"/>
      <c r="M76" s="83" t="inlineStr">
        <is>
          <t>Trao đổi nghiệp vụ Sơn Cảng, 10-11/10/2026</t>
        </is>
      </c>
      <c r="N76" s="57" t="n"/>
      <c r="O76" s="57" t="n"/>
      <c r="P76" s="57" t="n"/>
      <c r="Q76" s="57" t="n"/>
      <c r="R76" s="57" t="n"/>
      <c r="S76" s="57" t="n"/>
      <c r="T76" s="57" t="n"/>
      <c r="U76" s="57" t="n"/>
      <c r="V76" s="57" t="n"/>
      <c r="W76" s="57" t="n"/>
      <c r="X76" s="57" t="n"/>
      <c r="Y76" s="57" t="n"/>
      <c r="Z76" s="57" t="n"/>
    </row>
    <row r="77" ht="54" customHeight="1" s="94">
      <c r="A77" s="81" t="inlineStr">
        <is>
          <t>R04</t>
        </is>
      </c>
      <c r="B77" s="81" t="inlineStr">
        <is>
          <t>07. Báo cáo / đối soát</t>
        </is>
      </c>
      <c r="C77" s="81" t="inlineStr">
        <is>
          <t>P2</t>
        </is>
      </c>
      <c r="D77" s="81" t="inlineStr">
        <is>
          <t>Các báo cáo xuất Excel/PDF có cần theo mẫu nội bộ và phân quyền người tải xuống?</t>
        </is>
      </c>
      <c r="E77" s="81" t="inlineStr">
        <is>
          <t>A. Excel; B. Excel + PDF; C. Có mẫu ban hành.</t>
        </is>
      </c>
      <c r="F77" s="84" t="inlineStr">
        <is>
          <t>B</t>
        </is>
      </c>
      <c r="G77" s="84" t="n"/>
      <c r="H77" s="84" t="inlineStr">
        <is>
          <t>Đã chốt</t>
        </is>
      </c>
      <c r="I77" s="81" t="inlineStr">
        <is>
          <t>Các TBP</t>
        </is>
      </c>
      <c r="J77" s="81" t="n"/>
      <c r="K77" s="81" t="n"/>
      <c r="L77" s="81" t="n"/>
      <c r="M77" s="81" t="inlineStr">
        <is>
          <t>Trao đổi nghiệp vụ Sơn Cảng, 10-11/10/2026</t>
        </is>
      </c>
      <c r="N77" s="57" t="n"/>
      <c r="O77" s="57" t="n"/>
      <c r="P77" s="57" t="n"/>
      <c r="Q77" s="57" t="n"/>
      <c r="R77" s="57" t="n"/>
      <c r="S77" s="57" t="n"/>
      <c r="T77" s="57" t="n"/>
      <c r="U77" s="57" t="n"/>
      <c r="V77" s="57" t="n"/>
      <c r="W77" s="57" t="n"/>
      <c r="X77" s="57" t="n"/>
      <c r="Y77" s="57" t="n"/>
      <c r="Z77" s="57" t="n"/>
    </row>
    <row r="78" ht="54" customHeight="1" s="94">
      <c r="A78" s="83" t="inlineStr">
        <is>
          <t>R05</t>
        </is>
      </c>
      <c r="B78" s="83" t="inlineStr">
        <is>
          <t>07. Báo cáo / đối soát</t>
        </is>
      </c>
      <c r="C78" s="83" t="inlineStr">
        <is>
          <t>P1</t>
        </is>
      </c>
      <c r="D78" s="83" t="inlineStr">
        <is>
          <t>Người quản lý muốn dashboard thời gian thực chỉ số nào: xe trong bãi, cont trong bãi, cont đang cắm, doanh thu, công nợ?</t>
        </is>
      </c>
      <c r="E78" s="83" t="inlineStr">
        <is>
          <t>A. Tất cả; B. Chọn KPI cụ thể; C. Xem theo bộ phận.</t>
        </is>
      </c>
      <c r="F78" s="85" t="inlineStr">
        <is>
          <t>A</t>
        </is>
      </c>
      <c r="G78" s="85" t="n"/>
      <c r="H78" s="85" t="inlineStr">
        <is>
          <t>Đã chốt</t>
        </is>
      </c>
      <c r="I78" s="83" t="inlineStr">
        <is>
          <t>Ban quản lý Sơn Cảng</t>
        </is>
      </c>
      <c r="J78" s="83" t="n"/>
      <c r="K78" s="83" t="n"/>
      <c r="L78" s="83" t="n"/>
      <c r="M78" s="83" t="inlineStr">
        <is>
          <t>Trao đổi nghiệp vụ Sơn Cảng, 10-11/10/2026</t>
        </is>
      </c>
      <c r="N78" s="57" t="n"/>
      <c r="O78" s="57" t="n"/>
      <c r="P78" s="57" t="n"/>
      <c r="Q78" s="57" t="n"/>
      <c r="R78" s="57" t="n"/>
      <c r="S78" s="57" t="n"/>
      <c r="T78" s="57" t="n"/>
      <c r="U78" s="57" t="n"/>
      <c r="V78" s="57" t="n"/>
      <c r="W78" s="57" t="n"/>
      <c r="X78" s="57" t="n"/>
      <c r="Y78" s="57" t="n"/>
      <c r="Z78" s="57" t="n"/>
    </row>
    <row r="79" ht="54" customHeight="1" s="94">
      <c r="A79" s="81" t="inlineStr">
        <is>
          <t>R06</t>
        </is>
      </c>
      <c r="B79" s="81" t="inlineStr">
        <is>
          <t>07. Báo cáo / đối soát</t>
        </is>
      </c>
      <c r="C79" s="81" t="inlineStr">
        <is>
          <t>P1</t>
        </is>
      </c>
      <c r="D79" s="81" t="inlineStr">
        <is>
          <t>Có bắt buộc đối chiếu sao kê chuyển khoản với chứng từ và ghi lịch sử xác minh trên PWA không?</t>
        </is>
      </c>
      <c r="E79" s="81" t="inlineStr">
        <is>
          <t>A. Có; B. Đối soát ngoài hệ thống; C. Theo hạn mức.</t>
        </is>
      </c>
      <c r="F79" s="84" t="inlineStr">
        <is>
          <t>B</t>
        </is>
      </c>
      <c r="G79" s="84" t="n"/>
      <c r="H79" s="84" t="inlineStr">
        <is>
          <t>Đã chốt</t>
        </is>
      </c>
      <c r="I79" s="81" t="inlineStr">
        <is>
          <t>Trưởng BP CCKB + Kế toán</t>
        </is>
      </c>
      <c r="J79" s="81" t="n"/>
      <c r="K79" s="81" t="n"/>
      <c r="L79" s="81" t="n"/>
      <c r="M79" s="81" t="inlineStr">
        <is>
          <t>Trao đổi nghiệp vụ Sơn Cảng, 10-11/10/2026</t>
        </is>
      </c>
      <c r="N79" s="57" t="n"/>
      <c r="O79" s="57" t="n"/>
      <c r="P79" s="57" t="n"/>
      <c r="Q79" s="57" t="n"/>
      <c r="R79" s="57" t="n"/>
      <c r="S79" s="57" t="n"/>
      <c r="T79" s="57" t="n"/>
      <c r="U79" s="57" t="n"/>
      <c r="V79" s="57" t="n"/>
      <c r="W79" s="57" t="n"/>
      <c r="X79" s="57" t="n"/>
      <c r="Y79" s="57" t="n"/>
      <c r="Z79" s="57" t="n"/>
    </row>
    <row r="80" ht="54" customHeight="1" s="94">
      <c r="A80" s="83" t="inlineStr">
        <is>
          <t>R07</t>
        </is>
      </c>
      <c r="B80" s="83" t="inlineStr">
        <is>
          <t>07. Báo cáo / đối soát</t>
        </is>
      </c>
      <c r="C80" s="83" t="inlineStr">
        <is>
          <t>P2</t>
        </is>
      </c>
      <c r="D80" s="83" t="inlineStr">
        <is>
          <t>Các báo cáo cần tự động gửi qua email/Zalo theo lịch hay chỉ xem khi đăng nhập?</t>
        </is>
      </c>
      <c r="E80" s="83" t="inlineStr">
        <is>
          <t>A. Chỉ trong app; B. Gửi email; C. Tích hợp Zalo sau.</t>
        </is>
      </c>
      <c r="F80" s="85" t="inlineStr">
        <is>
          <t>B</t>
        </is>
      </c>
      <c r="G80" s="85" t="inlineStr">
        <is>
          <t>cả 3, zalo thì sau</t>
        </is>
      </c>
      <c r="H80" s="85" t="inlineStr">
        <is>
          <t>Đã chốt</t>
        </is>
      </c>
      <c r="I80" s="83" t="inlineStr">
        <is>
          <t>Ban quản lý Sơn Cảng</t>
        </is>
      </c>
      <c r="J80" s="83" t="n"/>
      <c r="K80" s="83" t="n"/>
      <c r="L80" s="83" t="n"/>
      <c r="M80" s="83" t="inlineStr">
        <is>
          <t>Trao đổi nghiệp vụ Sơn Cảng, 10-11/10/2026</t>
        </is>
      </c>
      <c r="N80" s="57" t="n"/>
      <c r="O80" s="57" t="n"/>
      <c r="P80" s="57" t="n"/>
      <c r="Q80" s="57" t="n"/>
      <c r="R80" s="57" t="n"/>
      <c r="S80" s="57" t="n"/>
      <c r="T80" s="57" t="n"/>
      <c r="U80" s="57" t="n"/>
      <c r="V80" s="57" t="n"/>
      <c r="W80" s="57" t="n"/>
      <c r="X80" s="57" t="n"/>
      <c r="Y80" s="57" t="n"/>
      <c r="Z80" s="57" t="n"/>
    </row>
    <row r="81" ht="54" customHeight="1" s="94">
      <c r="A81" s="81" t="inlineStr">
        <is>
          <t>K01</t>
        </is>
      </c>
      <c r="B81" s="81" t="inlineStr">
        <is>
          <t>08. Kỹ thuật / bảo mật</t>
        </is>
      </c>
      <c r="C81" s="81" t="inlineStr">
        <is>
          <t>P0</t>
        </is>
      </c>
      <c r="D81" s="81" t="inlineStr">
        <is>
          <t>Phần mềm chạy trên tên miền/subdomain nào và ai chịu trách nhiệm quản trị máy chủ?</t>
        </is>
      </c>
      <c r="E81" s="81" t="inlineStr">
        <is>
          <t>A. Subdomain talunglogistics.com; B. Domain riêng; C. Chưa quyết.</t>
        </is>
      </c>
      <c r="F81" s="84" t="n"/>
      <c r="G81" s="84" t="n"/>
      <c r="H81" s="84" t="inlineStr">
        <is>
          <t>Đã chốt</t>
        </is>
      </c>
      <c r="I81" s="81" t="inlineStr">
        <is>
          <t>Quản trị + CNTT</t>
        </is>
      </c>
      <c r="J81" s="81" t="n"/>
      <c r="K81" s="81" t="n"/>
      <c r="L81" s="81" t="n"/>
      <c r="M81" s="81" t="inlineStr">
        <is>
          <t>Trao đổi nghiệp vụ Sơn Cảng, 10-11/10/2026</t>
        </is>
      </c>
      <c r="N81" s="57" t="n"/>
      <c r="O81" s="57" t="n"/>
      <c r="P81" s="57" t="n"/>
      <c r="Q81" s="57" t="n"/>
      <c r="R81" s="57" t="n"/>
      <c r="S81" s="57" t="n"/>
      <c r="T81" s="57" t="n"/>
      <c r="U81" s="57" t="n"/>
      <c r="V81" s="57" t="n"/>
      <c r="W81" s="57" t="n"/>
      <c r="X81" s="57" t="n"/>
      <c r="Y81" s="57" t="n"/>
      <c r="Z81" s="57" t="n"/>
    </row>
    <row r="82" ht="54" customHeight="1" s="94">
      <c r="A82" s="83" t="inlineStr">
        <is>
          <t>K02</t>
        </is>
      </c>
      <c r="B82" s="83" t="inlineStr">
        <is>
          <t>08. Kỹ thuật / bảo mật</t>
        </is>
      </c>
      <c r="C82" s="83" t="inlineStr">
        <is>
          <t>P0</t>
        </is>
      </c>
      <c r="D82" s="83" t="inlineStr">
        <is>
          <t>Cơ sở dữ liệu, backend, hosting chọn theo phương án nào? Có yêu cầu dữ liệu lưu tại Việt Nam không?</t>
        </is>
      </c>
      <c r="E82" s="83" t="inlineStr">
        <is>
          <t>A. Đề xuất Next.js + PostgreSQL; B. Hạ tầng đang có; C. Phương án khác (cần thẩm định).</t>
        </is>
      </c>
      <c r="F82" s="85" t="inlineStr">
        <is>
          <t>A</t>
        </is>
      </c>
      <c r="G82" s="85" t="inlineStr">
        <is>
          <t>công cụ free supabase, vercel</t>
        </is>
      </c>
      <c r="H82" s="85" t="inlineStr">
        <is>
          <t>Đã chốt</t>
        </is>
      </c>
      <c r="I82" s="83" t="inlineStr">
        <is>
          <t>CNTT + Ban quản lý</t>
        </is>
      </c>
      <c r="J82" s="83" t="n"/>
      <c r="K82" s="83" t="n"/>
      <c r="L82" s="83" t="n"/>
      <c r="M82" s="83" t="inlineStr">
        <is>
          <t>Trao đổi nghiệp vụ Sơn Cảng, 10-11/10/2026</t>
        </is>
      </c>
      <c r="N82" s="57" t="n"/>
      <c r="O82" s="57" t="n"/>
      <c r="P82" s="57" t="n"/>
      <c r="Q82" s="57" t="n"/>
      <c r="R82" s="57" t="n"/>
      <c r="S82" s="57" t="n"/>
      <c r="T82" s="57" t="n"/>
      <c r="U82" s="57" t="n"/>
      <c r="V82" s="57" t="n"/>
      <c r="W82" s="57" t="n"/>
      <c r="X82" s="57" t="n"/>
      <c r="Y82" s="57" t="n"/>
      <c r="Z82" s="57" t="n"/>
    </row>
    <row r="83" ht="54" customHeight="1" s="94">
      <c r="A83" s="81" t="inlineStr">
        <is>
          <t>K03</t>
        </is>
      </c>
      <c r="B83" s="81" t="inlineStr">
        <is>
          <t>08. Kỹ thuật / bảo mật</t>
        </is>
      </c>
      <c r="C83" s="81" t="inlineStr">
        <is>
          <t>P0</t>
        </is>
      </c>
      <c r="D83" s="81" t="inlineStr">
        <is>
          <t>Khi mất Internet tại cổng: cho phép nhập lượt xe offline nhưng chặn xác nhận xuất, hay cho phép xuất theo quy trình ngoại lệ?</t>
        </is>
      </c>
      <c r="E83" s="81" t="inlineStr">
        <is>
          <t>A. Offline chỉ nhập/đợi đồng bộ; B. Cho xuất ngoại lệ có chứng từ/TBP; C. Chỉ online.</t>
        </is>
      </c>
      <c r="F83" s="84" t="inlineStr">
        <is>
          <t>A</t>
        </is>
      </c>
      <c r="G83" s="84" t="n"/>
      <c r="H83" s="84" t="inlineStr">
        <is>
          <t>Đã chốt</t>
        </is>
      </c>
      <c r="I83" s="81" t="inlineStr">
        <is>
          <t>CNTT + Trưởng BP An ninh + CCKB</t>
        </is>
      </c>
      <c r="J83" s="81" t="n"/>
      <c r="K83" s="81" t="n"/>
      <c r="L83" s="81" t="n"/>
      <c r="M83" s="81" t="inlineStr">
        <is>
          <t>Trao đổi nghiệp vụ Sơn Cảng, 10-11/10/2026</t>
        </is>
      </c>
      <c r="N83" s="57" t="n"/>
      <c r="O83" s="57" t="n"/>
      <c r="P83" s="57" t="n"/>
      <c r="Q83" s="57" t="n"/>
      <c r="R83" s="57" t="n"/>
      <c r="S83" s="57" t="n"/>
      <c r="T83" s="57" t="n"/>
      <c r="U83" s="57" t="n"/>
      <c r="V83" s="57" t="n"/>
      <c r="W83" s="57" t="n"/>
      <c r="X83" s="57" t="n"/>
      <c r="Y83" s="57" t="n"/>
      <c r="Z83" s="57" t="n"/>
    </row>
    <row r="84" ht="54" customHeight="1" s="94">
      <c r="A84" s="83" t="inlineStr">
        <is>
          <t>K04</t>
        </is>
      </c>
      <c r="B84" s="83" t="inlineStr">
        <is>
          <t>08. Kỹ thuật / bảo mật</t>
        </is>
      </c>
      <c r="C84" s="83" t="inlineStr">
        <is>
          <t>P0</t>
        </is>
      </c>
      <c r="D84" s="83" t="inlineStr">
        <is>
          <t>PWA dùng điện thoại cá nhân hay thiết bị công ty? Có yêu cầu camera chụp chứng từ/quét QR số container không?</t>
        </is>
      </c>
      <c r="E84" s="83" t="inlineStr">
        <is>
          <t>A. Điện thoại + PC; B. Thiết bị công ty; C. Cần đầu đọc/QR.</t>
        </is>
      </c>
      <c r="F84" s="85" t="inlineStr">
        <is>
          <t>A</t>
        </is>
      </c>
      <c r="G84" s="85" t="inlineStr">
        <is>
          <t>A và B</t>
        </is>
      </c>
      <c r="H84" s="85" t="inlineStr">
        <is>
          <t>Đã chốt</t>
        </is>
      </c>
      <c r="I84" s="83" t="inlineStr">
        <is>
          <t>CNTT + Các TBP</t>
        </is>
      </c>
      <c r="J84" s="83" t="n"/>
      <c r="K84" s="83" t="n"/>
      <c r="L84" s="83" t="n"/>
      <c r="M84" s="83" t="inlineStr">
        <is>
          <t>Trao đổi nghiệp vụ Sơn Cảng, 10-11/10/2026</t>
        </is>
      </c>
      <c r="N84" s="57" t="n"/>
      <c r="O84" s="57" t="n"/>
      <c r="P84" s="57" t="n"/>
      <c r="Q84" s="57" t="n"/>
      <c r="R84" s="57" t="n"/>
      <c r="S84" s="57" t="n"/>
      <c r="T84" s="57" t="n"/>
      <c r="U84" s="57" t="n"/>
      <c r="V84" s="57" t="n"/>
      <c r="W84" s="57" t="n"/>
      <c r="X84" s="57" t="n"/>
      <c r="Y84" s="57" t="n"/>
      <c r="Z84" s="57" t="n"/>
    </row>
    <row r="85" ht="54" customHeight="1" s="94">
      <c r="A85" s="81" t="inlineStr">
        <is>
          <t>K05</t>
        </is>
      </c>
      <c r="B85" s="81" t="inlineStr">
        <is>
          <t>08. Kỹ thuật / bảo mật</t>
        </is>
      </c>
      <c r="C85" s="81" t="inlineStr">
        <is>
          <t>P1</t>
        </is>
      </c>
      <c r="D85" s="81" t="inlineStr">
        <is>
          <t>Có cần bắt buộc đăng nhập 2 yếu tố với quản trị/TBP, phân quyền theo phiên đăng nhập/thiết bị không?</t>
        </is>
      </c>
      <c r="E85" s="81" t="inlineStr">
        <is>
          <t>A. 2FA cho TBP/Quản trị; B. Toàn bộ; C. SSO Google.</t>
        </is>
      </c>
      <c r="F85" s="84" t="inlineStr">
        <is>
          <t>Khác</t>
        </is>
      </c>
      <c r="G85" s="84" t="inlineStr">
        <is>
          <t>Chưa áp dụng nhưng có thì tốt</t>
        </is>
      </c>
      <c r="H85" s="84" t="inlineStr">
        <is>
          <t>Đã chốt</t>
        </is>
      </c>
      <c r="I85" s="81" t="inlineStr">
        <is>
          <t>CNTT</t>
        </is>
      </c>
      <c r="J85" s="81" t="n"/>
      <c r="K85" s="81" t="n"/>
      <c r="L85" s="81" t="n"/>
      <c r="M85" s="81" t="inlineStr">
        <is>
          <t>Trao đổi nghiệp vụ Sơn Cảng, 10-11/10/2026</t>
        </is>
      </c>
      <c r="N85" s="57" t="n"/>
      <c r="O85" s="57" t="n"/>
      <c r="P85" s="57" t="n"/>
      <c r="Q85" s="57" t="n"/>
      <c r="R85" s="57" t="n"/>
      <c r="S85" s="57" t="n"/>
      <c r="T85" s="57" t="n"/>
      <c r="U85" s="57" t="n"/>
      <c r="V85" s="57" t="n"/>
      <c r="W85" s="57" t="n"/>
      <c r="X85" s="57" t="n"/>
      <c r="Y85" s="57" t="n"/>
      <c r="Z85" s="57" t="n"/>
    </row>
    <row r="86" ht="54" customHeight="1" s="94">
      <c r="A86" s="83" t="inlineStr">
        <is>
          <t>K06</t>
        </is>
      </c>
      <c r="B86" s="83" t="inlineStr">
        <is>
          <t>08. Kỹ thuật / bảo mật</t>
        </is>
      </c>
      <c r="C86" s="83" t="inlineStr">
        <is>
          <t>P1</t>
        </is>
      </c>
      <c r="D86" s="83" t="inlineStr">
        <is>
          <t>Ảnh thu tiền và chứng từ cần lưu bao lâu, dung lượng giới hạn, ai có quyền xem/xóa?</t>
        </is>
      </c>
      <c r="E86" s="83" t="inlineStr">
        <is>
          <t>A. Theo thời hạn công ty; B. Tối thiểu 3 năm; C. Theo quy định cụ thể.</t>
        </is>
      </c>
      <c r="F86" s="85" t="inlineStr">
        <is>
          <t>A</t>
        </is>
      </c>
      <c r="G86" s="85" t="inlineStr">
        <is>
          <t>Chưa áp dụng, lưu trên đâu đó free, cloudflrae R2 10G</t>
        </is>
      </c>
      <c r="H86" s="85" t="inlineStr">
        <is>
          <t>Đã chốt</t>
        </is>
      </c>
      <c r="I86" s="83" t="inlineStr">
        <is>
          <t>CNTT + Kế toán</t>
        </is>
      </c>
      <c r="J86" s="83" t="n"/>
      <c r="K86" s="83" t="n"/>
      <c r="L86" s="83" t="n"/>
      <c r="M86" s="83" t="inlineStr">
        <is>
          <t>Trao đổi nghiệp vụ Sơn Cảng, 10-11/10/2026</t>
        </is>
      </c>
      <c r="N86" s="57" t="n"/>
      <c r="O86" s="57" t="n"/>
      <c r="P86" s="57" t="n"/>
      <c r="Q86" s="57" t="n"/>
      <c r="R86" s="57" t="n"/>
      <c r="S86" s="57" t="n"/>
      <c r="T86" s="57" t="n"/>
      <c r="U86" s="57" t="n"/>
      <c r="V86" s="57" t="n"/>
      <c r="W86" s="57" t="n"/>
      <c r="X86" s="57" t="n"/>
      <c r="Y86" s="57" t="n"/>
      <c r="Z86" s="57" t="n"/>
    </row>
    <row r="87" ht="54" customHeight="1" s="94">
      <c r="A87" s="81" t="inlineStr">
        <is>
          <t>K07</t>
        </is>
      </c>
      <c r="B87" s="81" t="inlineStr">
        <is>
          <t>08. Kỹ thuật / bảo mật</t>
        </is>
      </c>
      <c r="C87" s="81" t="inlineStr">
        <is>
          <t>P1</t>
        </is>
      </c>
      <c r="D87" s="81" t="inlineStr">
        <is>
          <t>Tần suất sao lưu, khôi phục sau sự cố và lưu bản sao dữ liệu ở đâu?</t>
        </is>
      </c>
      <c r="E87" s="81" t="inlineStr">
        <is>
          <t>A. Hằng ngày; B. Nhiều lần/ngày; C. Yêu cầu cụ thể.</t>
        </is>
      </c>
      <c r="F87" s="84" t="inlineStr">
        <is>
          <t>A</t>
        </is>
      </c>
      <c r="G87" s="84" t="n"/>
      <c r="H87" s="84" t="inlineStr">
        <is>
          <t>Đã chốt</t>
        </is>
      </c>
      <c r="I87" s="81" t="inlineStr">
        <is>
          <t>CNTT</t>
        </is>
      </c>
      <c r="J87" s="81" t="n"/>
      <c r="K87" s="81" t="n"/>
      <c r="L87" s="81" t="n"/>
      <c r="M87" s="81" t="inlineStr">
        <is>
          <t>Trao đổi nghiệp vụ Sơn Cảng, 10-11/10/2026</t>
        </is>
      </c>
      <c r="N87" s="57" t="n"/>
      <c r="O87" s="57" t="n"/>
      <c r="P87" s="57" t="n"/>
      <c r="Q87" s="57" t="n"/>
      <c r="R87" s="57" t="n"/>
      <c r="S87" s="57" t="n"/>
      <c r="T87" s="57" t="n"/>
      <c r="U87" s="57" t="n"/>
      <c r="V87" s="57" t="n"/>
      <c r="W87" s="57" t="n"/>
      <c r="X87" s="57" t="n"/>
      <c r="Y87" s="57" t="n"/>
      <c r="Z87" s="57" t="n"/>
    </row>
    <row r="88" ht="54" customHeight="1" s="94">
      <c r="A88" s="83" t="inlineStr">
        <is>
          <t>K08</t>
        </is>
      </c>
      <c r="B88" s="83" t="inlineStr">
        <is>
          <t>08. Kỹ thuật / bảo mật</t>
        </is>
      </c>
      <c r="C88" s="83" t="inlineStr">
        <is>
          <t>P1</t>
        </is>
      </c>
      <c r="D88" s="83" t="inlineStr">
        <is>
          <t>Cần môi trường thử nghiệm và chính thức riêng biệt, đồng thời có nhật ký thao tác chi tiết không?</t>
        </is>
      </c>
      <c r="E88" s="83" t="inlineStr">
        <is>
          <t>A. Có cả hai + audit; B. Một môi trường; C. Lộ trình khác.</t>
        </is>
      </c>
      <c r="F88" s="85" t="inlineStr">
        <is>
          <t>A</t>
        </is>
      </c>
      <c r="G88" s="85" t="n"/>
      <c r="H88" s="85" t="inlineStr">
        <is>
          <t>Đã chốt</t>
        </is>
      </c>
      <c r="I88" s="83" t="inlineStr">
        <is>
          <t>CNTT</t>
        </is>
      </c>
      <c r="J88" s="83" t="n"/>
      <c r="K88" s="83" t="n"/>
      <c r="L88" s="83" t="n"/>
      <c r="M88" s="83" t="inlineStr">
        <is>
          <t>Trao đổi nghiệp vụ Sơn Cảng, 10-11/10/2026</t>
        </is>
      </c>
      <c r="N88" s="57" t="n"/>
      <c r="O88" s="57" t="n"/>
      <c r="P88" s="57" t="n"/>
      <c r="Q88" s="57" t="n"/>
      <c r="R88" s="57" t="n"/>
      <c r="S88" s="57" t="n"/>
      <c r="T88" s="57" t="n"/>
      <c r="U88" s="57" t="n"/>
      <c r="V88" s="57" t="n"/>
      <c r="W88" s="57" t="n"/>
      <c r="X88" s="57" t="n"/>
      <c r="Y88" s="57" t="n"/>
      <c r="Z88" s="57" t="n"/>
    </row>
    <row r="89" ht="54" customHeight="1" s="94">
      <c r="A89" s="81" t="inlineStr">
        <is>
          <t>K09</t>
        </is>
      </c>
      <c r="B89" s="81" t="inlineStr">
        <is>
          <t>08. Kỹ thuật / bảo mật</t>
        </is>
      </c>
      <c r="C89" s="81" t="inlineStr">
        <is>
          <t>P2</t>
        </is>
      </c>
      <c r="D89" s="81" t="inlineStr">
        <is>
          <t>Giai đoạn đầu có cần tích hợp Zalo thông báo lệnh cắm/rút tự động không?</t>
        </is>
      </c>
      <c r="E89" s="81" t="inlineStr">
        <is>
          <t>A. Không, tiếp tục Zalo thủ công; B. Nhắc qua kênh khác; C. Tích hợp khi khả thi.</t>
        </is>
      </c>
      <c r="F89" s="84" t="inlineStr">
        <is>
          <t>A</t>
        </is>
      </c>
      <c r="G89" s="84" t="inlineStr">
        <is>
          <t>A B C</t>
        </is>
      </c>
      <c r="H89" s="84" t="inlineStr">
        <is>
          <t>Đã chốt</t>
        </is>
      </c>
      <c r="I89" s="81" t="inlineStr">
        <is>
          <t>CNTT + CCKB</t>
        </is>
      </c>
      <c r="J89" s="81" t="n"/>
      <c r="K89" s="81" t="n"/>
      <c r="L89" s="81" t="n"/>
      <c r="M89" s="81" t="inlineStr">
        <is>
          <t>Trao đổi nghiệp vụ Sơn Cảng, 10-11/10/2026</t>
        </is>
      </c>
      <c r="N89" s="57" t="n"/>
      <c r="O89" s="57" t="n"/>
      <c r="P89" s="57" t="n"/>
      <c r="Q89" s="57" t="n"/>
      <c r="R89" s="57" t="n"/>
      <c r="S89" s="57" t="n"/>
      <c r="T89" s="57" t="n"/>
      <c r="U89" s="57" t="n"/>
      <c r="V89" s="57" t="n"/>
      <c r="W89" s="57" t="n"/>
      <c r="X89" s="57" t="n"/>
      <c r="Y89" s="57" t="n"/>
      <c r="Z89" s="57" t="n"/>
    </row>
    <row r="90" ht="54" customHeight="1" s="94">
      <c r="A90" s="83" t="inlineStr">
        <is>
          <t>M01</t>
        </is>
      </c>
      <c r="B90" s="83" t="inlineStr">
        <is>
          <t>09. Chuyển dữ liệu</t>
        </is>
      </c>
      <c r="C90" s="83" t="inlineStr">
        <is>
          <t>P0</t>
        </is>
      </c>
      <c r="D90" s="83" t="inlineStr">
        <is>
          <t>Phạm vi chuyển dữ liệu AppSheet: toàn bộ lịch sử VEHICLE/CONTAINER hay chỉ bản ghi đang hoạt động + lưu kho lịch sử?</t>
        </is>
      </c>
      <c r="E90" s="83" t="inlineStr">
        <is>
          <t>A. Toàn bộ; B. Đang hoạt động + kho lưu lịch sử; C. Từ một mốc ngày.</t>
        </is>
      </c>
      <c r="F90" s="85" t="inlineStr">
        <is>
          <t>A</t>
        </is>
      </c>
      <c r="G90" s="85" t="n"/>
      <c r="H90" s="85" t="inlineStr">
        <is>
          <t>Đã chốt</t>
        </is>
      </c>
      <c r="I90" s="83" t="inlineStr">
        <is>
          <t>CNTT + Các TBP</t>
        </is>
      </c>
      <c r="J90" s="83" t="n"/>
      <c r="K90" s="83" t="n"/>
      <c r="L90" s="83" t="n"/>
      <c r="M90" s="83" t="inlineStr">
        <is>
          <t>Tập dữ liệu AppSheet do Sơn Cảng cung cấp</t>
        </is>
      </c>
      <c r="N90" s="57" t="n"/>
      <c r="O90" s="57" t="n"/>
      <c r="P90" s="57" t="n"/>
      <c r="Q90" s="57" t="n"/>
      <c r="R90" s="57" t="n"/>
      <c r="S90" s="57" t="n"/>
      <c r="T90" s="57" t="n"/>
      <c r="U90" s="57" t="n"/>
      <c r="V90" s="57" t="n"/>
      <c r="W90" s="57" t="n"/>
      <c r="X90" s="57" t="n"/>
      <c r="Y90" s="57" t="n"/>
      <c r="Z90" s="57" t="n"/>
    </row>
    <row r="91" ht="54" customHeight="1" s="94">
      <c r="A91" s="81" t="inlineStr">
        <is>
          <t>M02</t>
        </is>
      </c>
      <c r="B91" s="81" t="inlineStr">
        <is>
          <t>09. Chuyển dữ liệu</t>
        </is>
      </c>
      <c r="C91" s="81" t="inlineStr">
        <is>
          <t>P0</t>
        </is>
      </c>
      <c r="D91" s="81" t="inlineStr">
        <is>
          <t>Ngày/giờ chốt dữ liệu và đóng AppSheet để chuyển sang PWA là khi nào?</t>
        </is>
      </c>
      <c r="E91" s="81" t="inlineStr">
        <is>
          <t>A. Sau UAT; B. Chạy song song ngắn hạn; C. Cần kế hoạch chi tiết.</t>
        </is>
      </c>
      <c r="F91" s="84" t="inlineStr">
        <is>
          <t>A</t>
        </is>
      </c>
      <c r="G91" s="84" t="n"/>
      <c r="H91" s="84" t="inlineStr">
        <is>
          <t>Đã chốt</t>
        </is>
      </c>
      <c r="I91" s="81" t="inlineStr">
        <is>
          <t>CNTT + Ban quản lý</t>
        </is>
      </c>
      <c r="J91" s="81" t="n"/>
      <c r="K91" s="81" t="n"/>
      <c r="L91" s="81" t="n"/>
      <c r="M91" s="81" t="inlineStr">
        <is>
          <t>Trao đổi nghiệp vụ Sơn Cảng, 10-11/10/2026</t>
        </is>
      </c>
      <c r="N91" s="57" t="n"/>
      <c r="O91" s="57" t="n"/>
      <c r="P91" s="57" t="n"/>
      <c r="Q91" s="57" t="n"/>
      <c r="R91" s="57" t="n"/>
      <c r="S91" s="57" t="n"/>
      <c r="T91" s="57" t="n"/>
      <c r="U91" s="57" t="n"/>
      <c r="V91" s="57" t="n"/>
      <c r="W91" s="57" t="n"/>
      <c r="X91" s="57" t="n"/>
      <c r="Y91" s="57" t="n"/>
      <c r="Z91" s="57" t="n"/>
    </row>
    <row r="92" ht="54" customHeight="1" s="94">
      <c r="A92" s="83" t="inlineStr">
        <is>
          <t>M03</t>
        </is>
      </c>
      <c r="B92" s="83" t="inlineStr">
        <is>
          <t>09. Chuyển dữ liệu</t>
        </is>
      </c>
      <c r="C92" s="83" t="inlineStr">
        <is>
          <t>P0</t>
        </is>
      </c>
      <c r="D92" s="83" t="inlineStr">
        <is>
          <t>Các dòng dữ liệu cũ có ghi chú tiền thực thu khác tiền phải thu: ai là người kiểm tra, xác nhận kết quả trước chuyển?</t>
        </is>
      </c>
      <c r="E92" s="83" t="inlineStr">
        <is>
          <t>A. TBP CCKB; B. Kế toán + CCKB; C. Nhóm đối soát liên BP.</t>
        </is>
      </c>
      <c r="F92" s="85" t="inlineStr">
        <is>
          <t>Khác</t>
        </is>
      </c>
      <c r="G92" s="85" t="inlineStr">
        <is>
          <t>Tiền thì tạm thời bỏ qua vò giờ trên hệ thống nhiều xe quên chưa cho ra lắ</t>
        </is>
      </c>
      <c r="H92" s="85" t="inlineStr">
        <is>
          <t>Đã chốt</t>
        </is>
      </c>
      <c r="I92" s="83" t="inlineStr">
        <is>
          <t>Trưởng BP CCKB + Kế toán</t>
        </is>
      </c>
      <c r="J92" s="83" t="n"/>
      <c r="K92" s="83" t="n"/>
      <c r="L92" s="83" t="n"/>
      <c r="M92" s="83" t="inlineStr">
        <is>
          <t>CONTAINER V1: xem 08_DOI_SOAT</t>
        </is>
      </c>
      <c r="N92" s="57" t="n"/>
      <c r="O92" s="57" t="n"/>
      <c r="P92" s="57" t="n"/>
      <c r="Q92" s="57" t="n"/>
      <c r="R92" s="57" t="n"/>
      <c r="S92" s="57" t="n"/>
      <c r="T92" s="57" t="n"/>
      <c r="U92" s="57" t="n"/>
      <c r="V92" s="57" t="n"/>
      <c r="W92" s="57" t="n"/>
      <c r="X92" s="57" t="n"/>
      <c r="Y92" s="57" t="n"/>
      <c r="Z92" s="57" t="n"/>
    </row>
    <row r="93" ht="54" customHeight="1" s="94">
      <c r="A93" s="81" t="inlineStr">
        <is>
          <t>M04</t>
        </is>
      </c>
      <c r="B93" s="81" t="inlineStr">
        <is>
          <t>09. Chuyển dữ liệu</t>
        </is>
      </c>
      <c r="C93" s="81" t="inlineStr">
        <is>
          <t>P0</t>
        </is>
      </c>
      <c r="D93" s="81" t="inlineStr">
        <is>
          <t>Giờ ra xe/container thực tế khác dữ liệu nhập do bổ sung muộn: dùng mốc nào làm dữ liệu gốc khi chuyển?</t>
        </is>
      </c>
      <c r="E93" s="81" t="inlineStr">
        <is>
          <t>A. Giờ hệ thống; B. Giờ trên chứng từ đã xác minh; C. Tùy từng dòng có xác nhận.</t>
        </is>
      </c>
      <c r="F93" s="84" t="inlineStr">
        <is>
          <t>A</t>
        </is>
      </c>
      <c r="G93" s="84" t="inlineStr">
        <is>
          <t>quan trị viên cấp cao có thể sửa trực tiếp hết nhé, vì hiện tại tôi thấy lỗi nhieuf chính trên GG sheets đang đễ sau này sửa thì vào db sửa lại khó hơn</t>
        </is>
      </c>
      <c r="H93" s="84" t="inlineStr">
        <is>
          <t>Đã chốt</t>
        </is>
      </c>
      <c r="I93" s="81" t="inlineStr">
        <is>
          <t>An ninh + CCKB + CNTT</t>
        </is>
      </c>
      <c r="J93" s="81" t="n"/>
      <c r="K93" s="81" t="n"/>
      <c r="L93" s="81" t="n"/>
      <c r="M93" s="81" t="inlineStr">
        <is>
          <t>Dữ liệu VEHICLE/CONTAINER có ghi chú chỉnh ngày</t>
        </is>
      </c>
      <c r="N93" s="57" t="n"/>
      <c r="O93" s="57" t="n"/>
      <c r="P93" s="57" t="n"/>
      <c r="Q93" s="57" t="n"/>
      <c r="R93" s="57" t="n"/>
      <c r="S93" s="57" t="n"/>
      <c r="T93" s="57" t="n"/>
      <c r="U93" s="57" t="n"/>
      <c r="V93" s="57" t="n"/>
      <c r="W93" s="57" t="n"/>
      <c r="X93" s="57" t="n"/>
      <c r="Y93" s="57" t="n"/>
      <c r="Z93" s="57" t="n"/>
    </row>
    <row r="94" ht="54" customHeight="1" s="94">
      <c r="A94" s="83" t="inlineStr">
        <is>
          <t>M05</t>
        </is>
      </c>
      <c r="B94" s="83" t="inlineStr">
        <is>
          <t>09. Chuyển dữ liệu</t>
        </is>
      </c>
      <c r="C94" s="83" t="inlineStr">
        <is>
          <t>P1</t>
        </is>
      </c>
      <c r="D94" s="83" t="inlineStr">
        <is>
          <t>Mã ID cũ trong AppSheet cần giữ làm khóa tham chiếu hay chỉ lưu LEGACY_ID để tra cứu?</t>
        </is>
      </c>
      <c r="E94" s="83" t="inlineStr">
        <is>
          <t>A. Giữ ID cũ; B. Sinh ID mới và lưu LEGACY_ID; C. Khác.</t>
        </is>
      </c>
      <c r="F94" s="85" t="inlineStr">
        <is>
          <t>A</t>
        </is>
      </c>
      <c r="G94" s="85" t="n"/>
      <c r="H94" s="85" t="inlineStr">
        <is>
          <t>Đã chốt</t>
        </is>
      </c>
      <c r="I94" s="83" t="inlineStr">
        <is>
          <t>CNTT</t>
        </is>
      </c>
      <c r="J94" s="83" t="n"/>
      <c r="K94" s="83" t="n"/>
      <c r="L94" s="83" t="n"/>
      <c r="M94" s="83" t="inlineStr">
        <is>
          <t>Trao đổi nghiệp vụ Sơn Cảng, 10-11/10/2026</t>
        </is>
      </c>
      <c r="N94" s="57" t="n"/>
      <c r="O94" s="57" t="n"/>
      <c r="P94" s="57" t="n"/>
      <c r="Q94" s="57" t="n"/>
      <c r="R94" s="57" t="n"/>
      <c r="S94" s="57" t="n"/>
      <c r="T94" s="57" t="n"/>
      <c r="U94" s="57" t="n"/>
      <c r="V94" s="57" t="n"/>
      <c r="W94" s="57" t="n"/>
      <c r="X94" s="57" t="n"/>
      <c r="Y94" s="57" t="n"/>
      <c r="Z94" s="57" t="n"/>
    </row>
    <row r="95" ht="54" customHeight="1" s="94">
      <c r="A95" s="81" t="inlineStr">
        <is>
          <t>M06</t>
        </is>
      </c>
      <c r="B95" s="81" t="inlineStr">
        <is>
          <t>09. Chuyển dữ liệu</t>
        </is>
      </c>
      <c r="C95" s="81" t="inlineStr">
        <is>
          <t>P1</t>
        </is>
      </c>
      <c r="D95" s="81" t="inlineStr">
        <is>
          <t>Tài khoản Google cũ cần phân sang 7 vai trò PWA như thế nào và có vô hiệu hóa tài khoản nào không?</t>
        </is>
      </c>
      <c r="E95" s="81" t="inlineStr">
        <is>
          <t>A. Map theo bảng 07_TAI_KHOAN; B. Tạo tài khoản mới; C. Kết hợp.</t>
        </is>
      </c>
      <c r="F95" s="84" t="inlineStr">
        <is>
          <t>B</t>
        </is>
      </c>
      <c r="G95" s="84" t="n"/>
      <c r="H95" s="84" t="inlineStr">
        <is>
          <t>Đã chốt</t>
        </is>
      </c>
      <c r="I95" s="81" t="inlineStr">
        <is>
          <t>Quản trị + Các TBP</t>
        </is>
      </c>
      <c r="J95" s="81" t="n"/>
      <c r="K95" s="81" t="n"/>
      <c r="L95" s="81" t="n"/>
      <c r="M95" s="81" t="inlineStr">
        <is>
          <t>Trao đổi nghiệp vụ Sơn Cảng, 10-11/10/2026</t>
        </is>
      </c>
      <c r="N95" s="57" t="n"/>
      <c r="O95" s="57" t="n"/>
      <c r="P95" s="57" t="n"/>
      <c r="Q95" s="57" t="n"/>
      <c r="R95" s="57" t="n"/>
      <c r="S95" s="57" t="n"/>
      <c r="T95" s="57" t="n"/>
      <c r="U95" s="57" t="n"/>
      <c r="V95" s="57" t="n"/>
      <c r="W95" s="57" t="n"/>
      <c r="X95" s="57" t="n"/>
      <c r="Y95" s="57" t="n"/>
      <c r="Z95" s="57" t="n"/>
    </row>
    <row r="96" ht="54" customHeight="1" s="94">
      <c r="A96" s="83" t="inlineStr">
        <is>
          <t>M07</t>
        </is>
      </c>
      <c r="B96" s="83" t="inlineStr">
        <is>
          <t>09. Chuyển dữ liệu</t>
        </is>
      </c>
      <c r="C96" s="83" t="inlineStr">
        <is>
          <t>P1</t>
        </is>
      </c>
      <c r="D96" s="83" t="inlineStr">
        <is>
          <t>Các container cùng SO_CONTAINER xuất hiện ở nhiều lượt: muốn lưu lịch sử theo mỗi lượt hay hồ sơ container dùng lại nhiều lần?</t>
        </is>
      </c>
      <c r="E96" s="83" t="inlineStr">
        <is>
          <t>A. Hồ sơ container + lượt ra/vào; B. Mỗi lượt là một bản ghi; C. Thiết kế lai.</t>
        </is>
      </c>
      <c r="F96" s="85" t="inlineStr">
        <is>
          <t>A</t>
        </is>
      </c>
      <c r="G96" s="85" t="n"/>
      <c r="H96" s="85" t="inlineStr">
        <is>
          <t>Đã chốt</t>
        </is>
      </c>
      <c r="I96" s="83" t="inlineStr">
        <is>
          <t>CNTT + Điều phối</t>
        </is>
      </c>
      <c r="J96" s="83" t="n"/>
      <c r="K96" s="83" t="n"/>
      <c r="L96" s="83" t="n"/>
      <c r="M96" s="83" t="inlineStr">
        <is>
          <t>Trao đổi nghiệp vụ Sơn Cảng, 10-11/10/2026</t>
        </is>
      </c>
      <c r="N96" s="57" t="n"/>
      <c r="O96" s="57" t="n"/>
      <c r="P96" s="57" t="n"/>
      <c r="Q96" s="57" t="n"/>
      <c r="R96" s="57" t="n"/>
      <c r="S96" s="57" t="n"/>
      <c r="T96" s="57" t="n"/>
      <c r="U96" s="57" t="n"/>
      <c r="V96" s="57" t="n"/>
      <c r="W96" s="57" t="n"/>
      <c r="X96" s="57" t="n"/>
      <c r="Y96" s="57" t="n"/>
      <c r="Z96" s="57" t="n"/>
    </row>
    <row r="97" ht="54" customHeight="1" s="94">
      <c r="A97" s="81" t="inlineStr">
        <is>
          <t>M08</t>
        </is>
      </c>
      <c r="B97" s="81" t="inlineStr">
        <is>
          <t>09. Chuyển dữ liệu</t>
        </is>
      </c>
      <c r="C97" s="81" t="inlineStr">
        <is>
          <t>P1</t>
        </is>
      </c>
      <c r="D97" s="81" t="inlineStr">
        <is>
          <t>Dữ liệu cắm điện AppSheet trước đây có nhập vào PWA cùng lúc không, hay triển khai riêng từ ngày vận hành mới?</t>
        </is>
      </c>
      <c r="E97" s="81" t="inlineStr">
        <is>
          <t>A. Chuyển toàn bộ; B. Chỉ phiên đang cắm/chưa thu; C. Bắt đầu mới và lưu lịch sử cũ.</t>
        </is>
      </c>
      <c r="F97" s="84" t="inlineStr">
        <is>
          <t>Khác</t>
        </is>
      </c>
      <c r="G97" s="84" t="inlineStr">
        <is>
          <t>CHưa có những sẽ chuyneenr 1 số cái tồn</t>
        </is>
      </c>
      <c r="H97" s="84" t="inlineStr">
        <is>
          <t>Đã chốt</t>
        </is>
      </c>
      <c r="I97" s="81" t="inlineStr">
        <is>
          <t>CNTT + CCKB</t>
        </is>
      </c>
      <c r="J97" s="81" t="n"/>
      <c r="K97" s="81" t="n"/>
      <c r="L97" s="81" t="n"/>
      <c r="M97" s="81" t="inlineStr">
        <is>
          <t>Trao đổi nghiệp vụ Sơn Cảng, 10-11/10/2026</t>
        </is>
      </c>
      <c r="N97" s="57" t="n"/>
      <c r="O97" s="57" t="n"/>
      <c r="P97" s="57" t="n"/>
      <c r="Q97" s="57" t="n"/>
      <c r="R97" s="57" t="n"/>
      <c r="S97" s="57" t="n"/>
      <c r="T97" s="57" t="n"/>
      <c r="U97" s="57" t="n"/>
      <c r="V97" s="57" t="n"/>
      <c r="W97" s="57" t="n"/>
      <c r="X97" s="57" t="n"/>
      <c r="Y97" s="57" t="n"/>
      <c r="Z97" s="57" t="n"/>
    </row>
    <row r="98" ht="54" customHeight="1" s="94">
      <c r="A98" s="83" t="inlineStr">
        <is>
          <t>U01</t>
        </is>
      </c>
      <c r="B98" s="83" t="inlineStr">
        <is>
          <t>10. Nghiệm thu / triển khai</t>
        </is>
      </c>
      <c r="C98" s="83" t="inlineStr">
        <is>
          <t>P0</t>
        </is>
      </c>
      <c r="D98" s="83" t="inlineStr">
        <is>
          <t>Ai đại diện mỗi bộ phận ký nghiệm thu và xác nhận nghiệp vụ chuẩn trước chuyển hệ thống?</t>
        </is>
      </c>
      <c r="E98" s="83" t="inlineStr">
        <is>
          <t>A. 3 TBP + CNTT; B. Có Ban quản lý/BLĐ; C. Tổ UAT chỉ định.</t>
        </is>
      </c>
      <c r="F98" s="85" t="inlineStr">
        <is>
          <t>Không áp dụng</t>
        </is>
      </c>
      <c r="G98" s="85" t="n"/>
      <c r="H98" s="85" t="inlineStr">
        <is>
          <t>Đã chốt</t>
        </is>
      </c>
      <c r="I98" s="83" t="inlineStr">
        <is>
          <t>Ban quản lý Sơn Cảng</t>
        </is>
      </c>
      <c r="J98" s="83" t="n"/>
      <c r="K98" s="83" t="n"/>
      <c r="L98" s="83" t="n"/>
      <c r="M98" s="83" t="inlineStr">
        <is>
          <t>Trao đổi nghiệp vụ Sơn Cảng, 10-11/10/2026</t>
        </is>
      </c>
      <c r="N98" s="57" t="n"/>
      <c r="O98" s="57" t="n"/>
      <c r="P98" s="57" t="n"/>
      <c r="Q98" s="57" t="n"/>
      <c r="R98" s="57" t="n"/>
      <c r="S98" s="57" t="n"/>
      <c r="T98" s="57" t="n"/>
      <c r="U98" s="57" t="n"/>
      <c r="V98" s="57" t="n"/>
      <c r="W98" s="57" t="n"/>
      <c r="X98" s="57" t="n"/>
      <c r="Y98" s="57" t="n"/>
      <c r="Z98" s="57" t="n"/>
    </row>
    <row r="99" ht="54" customHeight="1" s="94">
      <c r="A99" s="81" t="inlineStr">
        <is>
          <t>U02</t>
        </is>
      </c>
      <c r="B99" s="81" t="inlineStr">
        <is>
          <t>10. Nghiệm thu / triển khai</t>
        </is>
      </c>
      <c r="C99" s="81" t="inlineStr">
        <is>
          <t>P0</t>
        </is>
      </c>
      <c r="D99" s="81" t="inlineStr">
        <is>
          <t>Điều kiện bắt buộc để ngừng AppSheet: chốt chuyển dữ liệu, đối soát tài chính, không lỗi chặn cổng ra, hoàn thành đào tạo?</t>
        </is>
      </c>
      <c r="E99" s="81" t="inlineStr">
        <is>
          <t>A. Tất cả; B. Tiêu chí chốt riêng; C. Theo giai đoạn.</t>
        </is>
      </c>
      <c r="F99" s="84" t="inlineStr">
        <is>
          <t>A</t>
        </is>
      </c>
      <c r="G99" s="84" t="n"/>
      <c r="H99" s="84" t="inlineStr">
        <is>
          <t>Đã chốt</t>
        </is>
      </c>
      <c r="I99" s="81" t="inlineStr">
        <is>
          <t>Ban quản lý + CNTT</t>
        </is>
      </c>
      <c r="J99" s="81" t="n"/>
      <c r="K99" s="81" t="n"/>
      <c r="L99" s="81" t="n"/>
      <c r="M99" s="81" t="inlineStr">
        <is>
          <t>Trao đổi nghiệp vụ Sơn Cảng, 10-11/10/2026</t>
        </is>
      </c>
      <c r="N99" s="57" t="n"/>
      <c r="O99" s="57" t="n"/>
      <c r="P99" s="57" t="n"/>
      <c r="Q99" s="57" t="n"/>
      <c r="R99" s="57" t="n"/>
      <c r="S99" s="57" t="n"/>
      <c r="T99" s="57" t="n"/>
      <c r="U99" s="57" t="n"/>
      <c r="V99" s="57" t="n"/>
      <c r="W99" s="57" t="n"/>
      <c r="X99" s="57" t="n"/>
      <c r="Y99" s="57" t="n"/>
      <c r="Z99" s="57" t="n"/>
    </row>
    <row r="100" ht="54" customHeight="1" s="94">
      <c r="A100" s="83" t="inlineStr">
        <is>
          <t>U03</t>
        </is>
      </c>
      <c r="B100" s="83" t="inlineStr">
        <is>
          <t>10. Nghiệm thu / triển khai</t>
        </is>
      </c>
      <c r="C100" s="83" t="inlineStr">
        <is>
          <t>P1</t>
        </is>
      </c>
      <c r="D100" s="83" t="inlineStr">
        <is>
          <t>Nếu PWA gặp lỗi trong tuần đầu, quy trình quay lại AppSheet hoặc ghi giấy tạm thời và đồng bộ lại dữ liệu thế nào?</t>
        </is>
      </c>
      <c r="E100" s="83" t="inlineStr">
        <is>
          <t>A. Quy trình dự phòng bằng giấy; B. Tạm quay về AppSheet có kế hoạch hòa giải; C. Khác.</t>
        </is>
      </c>
      <c r="F100" s="85" t="inlineStr">
        <is>
          <t>A</t>
        </is>
      </c>
      <c r="G100" s="85" t="n"/>
      <c r="H100" s="85" t="inlineStr">
        <is>
          <t>Đã chốt</t>
        </is>
      </c>
      <c r="I100" s="83" t="inlineStr">
        <is>
          <t>CNTT + An ninh + CCKB</t>
        </is>
      </c>
      <c r="J100" s="83" t="n"/>
      <c r="K100" s="83" t="n"/>
      <c r="L100" s="83" t="n"/>
      <c r="M100" s="83" t="inlineStr">
        <is>
          <t>Trao đổi nghiệp vụ Sơn Cảng, 10-11/10/2026</t>
        </is>
      </c>
      <c r="N100" s="57" t="n"/>
      <c r="O100" s="57" t="n"/>
      <c r="P100" s="57" t="n"/>
      <c r="Q100" s="57" t="n"/>
      <c r="R100" s="57" t="n"/>
      <c r="S100" s="57" t="n"/>
      <c r="T100" s="57" t="n"/>
      <c r="U100" s="57" t="n"/>
      <c r="V100" s="57" t="n"/>
      <c r="W100" s="57" t="n"/>
      <c r="X100" s="57" t="n"/>
      <c r="Y100" s="57" t="n"/>
      <c r="Z100" s="57" t="n"/>
    </row>
    <row r="101" ht="54" customHeight="1" s="94">
      <c r="A101" s="81" t="inlineStr">
        <is>
          <t>U04</t>
        </is>
      </c>
      <c r="B101" s="81" t="inlineStr">
        <is>
          <t>10. Nghiệm thu / triển khai</t>
        </is>
      </c>
      <c r="C101" s="81" t="inlineStr">
        <is>
          <t>P1</t>
        </is>
      </c>
      <c r="D101" s="81" t="inlineStr">
        <is>
          <t>Đào tạo nhân viên theo bộ phận, cần thao tác thử trước khi cấp quyền thật và phân công người hỗ trợ ca đêm không?</t>
        </is>
      </c>
      <c r="E101" s="81" t="inlineStr">
        <is>
          <t>A. Có đào tạo + UAT; B. Chỉ hướng dẫn nhanh; C. Kế hoạch riêng.</t>
        </is>
      </c>
      <c r="F101" s="84" t="inlineStr">
        <is>
          <t>A</t>
        </is>
      </c>
      <c r="G101" s="84" t="n"/>
      <c r="H101" s="84" t="inlineStr">
        <is>
          <t>Đã chốt</t>
        </is>
      </c>
      <c r="I101" s="81" t="inlineStr">
        <is>
          <t>CNTT + Các TBP</t>
        </is>
      </c>
      <c r="J101" s="81" t="n"/>
      <c r="K101" s="81" t="n"/>
      <c r="L101" s="81" t="n"/>
      <c r="M101" s="81" t="inlineStr">
        <is>
          <t>Trao đổi nghiệp vụ Sơn Cảng, 10-11/10/2026</t>
        </is>
      </c>
      <c r="N101" s="57" t="n"/>
      <c r="O101" s="57" t="n"/>
      <c r="P101" s="57" t="n"/>
      <c r="Q101" s="57" t="n"/>
      <c r="R101" s="57" t="n"/>
      <c r="S101" s="57" t="n"/>
      <c r="T101" s="57" t="n"/>
      <c r="U101" s="57" t="n"/>
      <c r="V101" s="57" t="n"/>
      <c r="W101" s="57" t="n"/>
      <c r="X101" s="57" t="n"/>
      <c r="Y101" s="57" t="n"/>
      <c r="Z101" s="57" t="n"/>
    </row>
    <row r="102" ht="54" customHeight="1" s="94">
      <c r="A102" s="83" t="inlineStr">
        <is>
          <t>U05</t>
        </is>
      </c>
      <c r="B102" s="83" t="inlineStr">
        <is>
          <t>10. Nghiệm thu / triển khai</t>
        </is>
      </c>
      <c r="C102" s="83" t="inlineStr">
        <is>
          <t>P1</t>
        </is>
      </c>
      <c r="D102" s="83" t="inlineStr">
        <is>
          <t>Trong giai đoạn pilot có kiểm soát giao dịch bất thường/mất mạng, thời gian phản hồi xử lý sự cố là bao lâu?</t>
        </is>
      </c>
      <c r="E102" s="83" t="inlineStr">
        <is>
          <t>A. Theo ca 24/7; B. Giờ hành chính + đầu mối ca; C. SLA khác.</t>
        </is>
      </c>
      <c r="F102" s="85" t="inlineStr">
        <is>
          <t>A</t>
        </is>
      </c>
      <c r="G102" s="85" t="n"/>
      <c r="H102" s="85" t="inlineStr">
        <is>
          <t>Đã chốt</t>
        </is>
      </c>
      <c r="I102" s="83" t="inlineStr">
        <is>
          <t>CNTT + Các TBP</t>
        </is>
      </c>
      <c r="J102" s="83" t="n"/>
      <c r="K102" s="83" t="n"/>
      <c r="L102" s="83" t="n"/>
      <c r="M102" s="83" t="inlineStr">
        <is>
          <t>Trao đổi nghiệp vụ Sơn Cảng, 10-11/10/2026</t>
        </is>
      </c>
      <c r="N102" s="57" t="n"/>
      <c r="O102" s="57" t="n"/>
      <c r="P102" s="57" t="n"/>
      <c r="Q102" s="57" t="n"/>
      <c r="R102" s="57" t="n"/>
      <c r="S102" s="57" t="n"/>
      <c r="T102" s="57" t="n"/>
      <c r="U102" s="57" t="n"/>
      <c r="V102" s="57" t="n"/>
      <c r="W102" s="57" t="n"/>
      <c r="X102" s="57" t="n"/>
      <c r="Y102" s="57" t="n"/>
      <c r="Z102" s="57" t="n"/>
    </row>
    <row r="103" ht="15.75" customHeight="1" s="94">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s="9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s="94">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s="94">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s="94">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s="94">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s="94">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s="94">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s="94">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s="94">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s="94">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s="9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s="94">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s="94">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s="94">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s="94">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s="94">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s="94">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s="94">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s="94">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s="94">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s="9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s="94">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s="94">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s="94">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s="94">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s="94">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s="94">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s="94">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s="94">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s="94">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s="9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s="94">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s="94">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s="94">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s="94">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s="94">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s="94">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s="94">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s="94">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s="94">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s="9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s="94">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s="94">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s="94">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s="94">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s="94">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s="94">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s="94">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s="94">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s="94">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s="9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s="94">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s="94">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s="94">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s="94">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s="94">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s="94">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s="94">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s="94">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s="94">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s="9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s="94">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s="94">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s="94">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s="94">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s="94">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s="94">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s="94">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s="94">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s="94">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s="9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s="94">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s="94">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s="94">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s="94">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s="94">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s="94">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s="94">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s="94">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s="94">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s="9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s="94">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s="94">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s="94">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s="94">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s="94">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s="94">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s="94">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s="94">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s="94">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s="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s="94">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s="94">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s="94">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s="94">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s="94">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s="94">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s="94">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s="94">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s="94">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s="9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s="94">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s="94">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s="94">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s="94">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s="94">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s="94">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s="94">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s="94">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s="94">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s="9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s="94">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s="94">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s="94">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s="94">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s="94">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s="94">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s="94">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s="94">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s="94">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s="9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s="94">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s="94">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s="94">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s="94">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s="94">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s="94">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s="94">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s="94">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s="94">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s="9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s="94">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s="94">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s="94">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s="94">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s="94">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s="94">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s="94">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s="94">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s="94">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s="9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s="94">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s="94">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s="94">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s="94">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s="94">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s="94">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s="94">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s="94">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s="94">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s="9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s="94">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s="94">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s="94">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s="94">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s="94">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s="94">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s="94">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s="94">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s="94">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s="9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s="94">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s="94">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s="94">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s="94">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s="94">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s="94">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s="94">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s="94">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s="94">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s="9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s="94">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s="94">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s="94">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s="94">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s="94">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s="94">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s="94">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s="94">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s="94">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s="9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s="94">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s="94">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s="94">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s="94">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s="94">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s="94">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s="94">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s="94">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s="94">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s="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s="94">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s="94">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s="94">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s="94">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s="94">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s="94">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s="94">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s="94">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s="94">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s="9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s="94">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s="94">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s="94">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s="94">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s="94">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s="94">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s="94">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s="94">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s="94">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s="9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s="94">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s="94">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s="94">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s="94">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s="94">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s="94">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s="94">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s="94">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s="94">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s="9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s="94">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s="94">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s="94">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s="94">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s="94">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s="94">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s="94">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s="94">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s="94">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s="9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s="94">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s="94">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s="94">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s="94">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s="94">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s="94">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s="94">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s="94">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s="94">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s="9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s="94">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s="94">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s="94">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s="94">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s="94">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s="94">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s="94">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s="94">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s="94">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s="9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s="94">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s="94">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s="94">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s="94">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s="94">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s="94">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s="94">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s="94">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s="94">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s="9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s="94">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s="94">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s="94">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s="94">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s="94">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s="94">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s="94">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s="94">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s="94">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s="9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s="94">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s="94">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s="94">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s="94">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s="94">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s="94">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s="94">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s="94">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s="94">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s="9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s="94">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s="94">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s="94">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s="94">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s="94">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s="94">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s="94">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s="94">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s="94">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s="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s="94">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s="94">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s="94">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s="94">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s="94">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s="94">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s="94">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s="94">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s="94">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s="9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s="94">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s="94">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s="94">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s="94">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s="94">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s="94">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s="94">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s="94">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s="94">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s="9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s="94">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s="94">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s="94">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s="94">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s="94">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s="94">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s="94">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s="94">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s="94">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s="9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s="94">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s="94">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s="94">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s="94">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s="94">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s="94">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s="94">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s="94">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s="94">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s="9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s="94">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s="94">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s="94">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s="94">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s="94">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s="94">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s="94">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s="94">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s="94">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s="9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s="94">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s="94">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s="94">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s="94">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s="94">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s="94">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s="94">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s="94">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s="94">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s="9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s="94">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s="94">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s="94">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s="94">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s="94">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s="94">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s="94">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s="94">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s="94">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s="9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s="94">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s="94">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s="94">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s="94">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s="94">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s="94">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s="94">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s="94">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s="94">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s="9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s="94">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s="94">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s="94">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s="94">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s="94">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s="94">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s="94">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s="94">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s="94">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s="9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s="94">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s="94">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s="94">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s="94">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s="94">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s="94">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s="94">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s="94">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s="94">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s="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s="94">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s="94">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s="94">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s="94">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s="94">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s="94">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s="94">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s="94">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s="94">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s="9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s="94">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s="94">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s="94">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s="94">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s="94">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s="94">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s="94">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s="94">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s="94">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s="9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s="94">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s="94">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s="94">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s="94">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s="94">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s="94">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s="94">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s="94">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s="94">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s="9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s="94">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s="94">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s="94">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s="94">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s="94">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s="94">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s="94">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s="94">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s="94">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s="9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s="94">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s="94">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s="94">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s="94">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s="94">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s="94">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s="94">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s="94">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s="94">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s="9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s="94">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s="94">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s="94">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s="94">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s="94">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s="94">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s="94">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s="94">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s="94">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s="9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s="94">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s="94">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s="94">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s="94">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s="94">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s="94">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s="94">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s="94">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s="94">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s="9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s="94">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s="94">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s="94">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s="94">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s="94">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s="94">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s="94">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s="94">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s="94">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s="9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s="94">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s="94">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s="94">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s="94">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s="94">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s="94">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s="94">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s="94">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s="94">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s="9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s="94">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s="94">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s="94">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s="94">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s="94">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s="94">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s="94">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s="94">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s="94">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s="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s="94">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s="94">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s="94">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s="94">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s="94">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s="94">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s="94">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s="94">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s="94">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s="9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s="94">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s="94">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s="94">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s="94">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s="94">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s="94">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s="94">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s="94">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s="94">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s="9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s="94">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s="94">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s="94">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s="94">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s="94">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s="94">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s="94">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s="94">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s="94">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s="9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s="94">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s="94">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s="94">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s="94">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s="94">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s="94">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s="94">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s="94">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s="94">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s="9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s="94">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s="94">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s="94">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s="94">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s="94">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s="94">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s="94">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s="94">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s="94">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s="9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s="94">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s="94">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s="94">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s="94">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s="94">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s="94">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s="94">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s="94">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s="94">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s="9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s="94">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s="94">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s="94">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s="94">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s="94">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s="94">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s="94">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s="94">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s="94">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s="9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s="94">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s="94">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s="94">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s="94">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s="94">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s="94">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s="94">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s="94">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s="94">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s="9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s="94">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s="94">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s="94">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s="94">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s="94">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s="94">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s="94">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s="94">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s="94">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s="9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s="94">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s="94">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s="94">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s="94">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s="94">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s="94">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s="94">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s="94">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s="94">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s="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s="94">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s="94">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s="94">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s="94">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s="94">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s="94">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s="94">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s="94">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s="94">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s="9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s="94">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s="94">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s="94">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s="94">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s="94">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s="94">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s="94">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s="94">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s="94">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s="9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s="94">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s="94">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s="94">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s="94">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s="94">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s="94">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s="94">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s="94">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s="94">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s="9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s="94">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s="94">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s="94">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s="94">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s="94">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s="94">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s="94">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s="94">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s="94">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s="9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s="94">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s="94">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s="94">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s="94">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s="94">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s="94">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s="94">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s="94">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s="94">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s="9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s="94">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s="94">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s="94">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s="94">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s="94">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s="94">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s="94">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s="94">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s="94">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s="9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s="94">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s="94">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s="94">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s="94">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s="94">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s="94">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s="94">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s="94">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s="94">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s="9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s="94">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s="94">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s="94">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s="94">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s="94">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s="94">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s="94">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s="94">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s="94">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s="9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s="94">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s="94">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s="94">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s="94">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s="94">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s="94">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s="94">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s="94">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s="94">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s="9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s="94">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s="94">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s="94">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s="94">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s="94">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s="94">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s="94">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s="94">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s="94">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s="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s="94">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s="94">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s="94">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s="94">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s="94">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s="94">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s="94">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s="94">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s="94">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s="9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s="94">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s="94">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s="94">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s="94">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s="94">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s="94">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s="94">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s="94">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s="94">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s="9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s="94">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s="94">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s="94">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s="94">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s="94">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s="94">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s="94">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s="94">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s="94">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s="9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s="94">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s="94">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s="94">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s="94">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s="94">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s="94">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s="94">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s="94">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s="94">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s="9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s="94">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s="94">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s="94">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s="94">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s="94">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s="94">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s="94">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s="94">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s="94">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s="9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s="94">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s="94">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s="94">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s="94">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s="94">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s="94">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s="94">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s="94">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s="94">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s="9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s="94">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s="94">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s="94">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s="94">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s="94">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s="94">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s="94">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s="94">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s="94">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s="9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s="94">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s="94">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s="94">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s="94">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s="94">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s="94">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s="94">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s="94">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s="94">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s="9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s="94">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s="94">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s="94">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s="94">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s="94">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s="94">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s="94">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s="94">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s="94">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s="9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s="94">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s="94">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s="94">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s="94">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s="94">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s="94">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s="94">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s="94">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s="94">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s="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s="94">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s="94">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s="94">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s="94">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s="94">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s="94">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s="94">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s="94">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s="94">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s="9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s="94">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s="94">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s="94">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s="94">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s="94">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s="94">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s="94">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s="94">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s="94">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s="9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s="94">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s="94">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s="94">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s="94">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s="94">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s="94">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s="94">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s="94">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s="94">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s="9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s="94">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s="94">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s="94">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s="94">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s="94">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s="94">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s="94">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s="94">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s="94">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s="9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s="94">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s="94">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s="94">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s="94">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s="94">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s="94">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s="94">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s="94">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s="94">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s="9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s="94">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s="94">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s="94">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s="94">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s="94">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s="94">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s="94">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s="94">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s="94">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s="9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s="94">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s="94">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s="94">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s="94">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s="94">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s="94">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s="94">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s="94">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s="94">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s="9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s="94">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s="94">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s="94">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s="94">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s="94">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s="94">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s="94">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s="94">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s="94">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s="9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s="94">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s="94">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s="94">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s="94">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s="94">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s="94">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s="94">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s="94">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s="94">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s="9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s="94">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s="94">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s="94">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s="94">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s="94">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s="94">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s="94">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s="94">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s="94">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s="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s="94">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s="94">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s="94">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s="94">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s="94">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s="94">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sheetData>
  <autoFilter ref="$A$4:$M$102"/>
  <mergeCells count="2">
    <mergeCell ref="A2:M2"/>
    <mergeCell ref="A1:M1"/>
  </mergeCell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fitToPage="1"/>
  </sheetPr>
  <dimension ref="A1:G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12" customWidth="1" style="94" min="1" max="1"/>
    <col width="19" customWidth="1" style="94" min="2" max="3"/>
    <col width="100" customWidth="1" style="94" min="4" max="4"/>
    <col width="31" customWidth="1" style="94" min="5" max="5"/>
    <col width="11" customWidth="1" style="94" min="6" max="6"/>
    <col width="22" customWidth="1" style="94" min="7" max="7"/>
    <col width="8.710000000000001" customWidth="1" style="94" min="8" max="26"/>
  </cols>
  <sheetData>
    <row r="1" ht="33.75" customHeight="1" s="94">
      <c r="A1" s="86" t="inlineStr">
        <is>
          <t>V4 | QUY TẮC ĐÃ CHUẨN HÓA</t>
        </is>
      </c>
    </row>
    <row r="2" ht="27.75" customHeight="1" s="94">
      <c r="A2" s="87" t="inlineStr">
        <is>
          <t>Giữ nguyên toàn bộ 117 câu trả lời tab 01. Các mục “Đã chốt mới” phản ánh quyết định của người dùng sau khi điền Excel.</t>
        </is>
      </c>
    </row>
    <row r="3">
      <c r="A3" s="57" t="n"/>
      <c r="B3" s="57" t="n"/>
      <c r="C3" s="57" t="n"/>
      <c r="D3" s="57" t="n"/>
      <c r="E3" s="57" t="n"/>
      <c r="F3" s="57" t="n"/>
      <c r="G3" s="57" t="n"/>
    </row>
    <row r="4" ht="33" customHeight="1" s="94">
      <c r="A4" s="88" t="inlineStr">
        <is>
          <t>Mã</t>
        </is>
      </c>
      <c r="B4" s="88" t="inlineStr">
        <is>
          <t>Phân hệ</t>
        </is>
      </c>
      <c r="C4" s="88" t="inlineStr">
        <is>
          <t>Trạng thái</t>
        </is>
      </c>
      <c r="D4" s="88" t="inlineStr">
        <is>
          <t>Quy tắc / mô tả chính thức</t>
        </is>
      </c>
      <c r="E4" s="88" t="inlineStr">
        <is>
          <t>Căn cứ</t>
        </is>
      </c>
      <c r="F4" s="88" t="inlineStr">
        <is>
          <t>Ưu tiên</t>
        </is>
      </c>
      <c r="G4" s="88" t="inlineStr">
        <is>
          <t>Phạm vi</t>
        </is>
      </c>
    </row>
    <row r="5" ht="51" customHeight="1" s="94">
      <c r="A5" s="89" t="inlineStr">
        <is>
          <t>BG-01</t>
        </is>
      </c>
      <c r="B5" s="90" t="inlineStr">
        <is>
          <t>Phạm vi</t>
        </is>
      </c>
      <c r="C5" s="90" t="inlineStr">
        <is>
          <t>Đã chốt</t>
        </is>
      </c>
      <c r="D5" s="90" t="inlineStr">
        <is>
          <t>Website + PWA thay AppSheet sau UAT và chuyển dữ liệu; triển khai cả cổng, container, điện, thu tiền, báo cáo.</t>
        </is>
      </c>
      <c r="E5" s="90" t="inlineStr">
        <is>
          <t>Trao đổi; U02</t>
        </is>
      </c>
      <c r="F5" s="90" t="inlineStr">
        <is>
          <t>P0</t>
        </is>
      </c>
      <c r="G5" s="90" t="inlineStr">
        <is>
          <t>V1</t>
        </is>
      </c>
    </row>
    <row r="6" ht="51" customHeight="1" s="94">
      <c r="A6" s="91" t="inlineStr">
        <is>
          <t>BG-02</t>
        </is>
      </c>
      <c r="B6" s="92" t="inlineStr">
        <is>
          <t>Tên gọi</t>
        </is>
      </c>
      <c r="C6" s="92" t="inlineStr">
        <is>
          <t>Đã chốt</t>
        </is>
      </c>
      <c r="D6" s="92" t="inlineStr">
        <is>
          <t>Sử dụng thuật ngữ “Phần mềm quản lý bến bãi/cảng cạn” trong đặc tả CNTT.</t>
        </is>
      </c>
      <c r="E6" s="92" t="inlineStr">
        <is>
          <t>Quy định TLQM</t>
        </is>
      </c>
      <c r="F6" s="92" t="inlineStr">
        <is>
          <t>P1</t>
        </is>
      </c>
      <c r="G6" s="92" t="inlineStr">
        <is>
          <t>V1</t>
        </is>
      </c>
    </row>
    <row r="7" ht="51" customHeight="1" s="94">
      <c r="A7" s="89" t="inlineStr">
        <is>
          <t>GT-01</t>
        </is>
      </c>
      <c r="B7" s="90" t="inlineStr">
        <is>
          <t>Cổng vào</t>
        </is>
      </c>
      <c r="C7" s="90" t="inlineStr">
        <is>
          <t>Đã chốt</t>
        </is>
      </c>
      <c r="D7" s="90" t="inlineStr">
        <is>
          <t>An ninh ghi nhận lượt xe vào, loại xe, biển số theo yêu cầu loại xe, container kéo theo và GIO_VAO.</t>
        </is>
      </c>
      <c r="E7" s="90" t="inlineStr">
        <is>
          <t>V09,V10, trao đổi</t>
        </is>
      </c>
      <c r="F7" s="90" t="inlineStr">
        <is>
          <t>P0</t>
        </is>
      </c>
      <c r="G7" s="90" t="inlineStr">
        <is>
          <t>V1</t>
        </is>
      </c>
    </row>
    <row r="8" ht="51" customHeight="1" s="94">
      <c r="A8" s="91" t="inlineStr">
        <is>
          <t>GT-02</t>
        </is>
      </c>
      <c r="B8" s="92" t="inlineStr">
        <is>
          <t>Vé xe</t>
        </is>
      </c>
      <c r="C8" s="92" t="inlineStr">
        <is>
          <t>Đã chốt</t>
        </is>
      </c>
      <c r="D8" s="92" t="inlineStr">
        <is>
          <t>Xe container thu vé 250.000đ khi vào; đầu kéo không container 0đ; đầu kéo 0đ vào rồi ra kéo container KHÔNG thu bổ sung 250.000đ.</t>
        </is>
      </c>
      <c r="E8" s="92" t="inlineStr">
        <is>
          <t>PRICE_LIST,V01,V03</t>
        </is>
      </c>
      <c r="F8" s="92" t="inlineStr">
        <is>
          <t>P0</t>
        </is>
      </c>
      <c r="G8" s="92" t="inlineStr">
        <is>
          <t>V1</t>
        </is>
      </c>
    </row>
    <row r="9" ht="51" customHeight="1" s="94">
      <c r="A9" s="89" t="inlineStr">
        <is>
          <t>GT-03</t>
        </is>
      </c>
      <c r="B9" s="90" t="inlineStr">
        <is>
          <t>Vé xe</t>
        </is>
      </c>
      <c r="C9" s="90" t="inlineStr">
        <is>
          <t>Đã chốt</t>
        </is>
      </c>
      <c r="D9" s="90" t="inlineStr">
        <is>
          <t>Các mã/giá khác giữ PRICE_LIST gốc: bo 4 chân 200k, bo 3 chân 200k, bo 8 tấn/2 chân 100k, bo ba bánh 40k, xe sang tải 0đ.</t>
        </is>
      </c>
      <c r="E9" s="90" t="inlineStr">
        <is>
          <t>PRICE_LIST</t>
        </is>
      </c>
      <c r="F9" s="90" t="inlineStr">
        <is>
          <t>P0</t>
        </is>
      </c>
      <c r="G9" s="90" t="inlineStr">
        <is>
          <t>V1</t>
        </is>
      </c>
    </row>
    <row r="10" ht="51" customHeight="1" s="94">
      <c r="A10" s="91" t="inlineStr">
        <is>
          <t>GT-04</t>
        </is>
      </c>
      <c r="B10" s="92" t="inlineStr">
        <is>
          <t>Kiểm soát</t>
        </is>
      </c>
      <c r="C10" s="92" t="inlineStr">
        <is>
          <t>Đã chốt</t>
        </is>
      </c>
      <c r="D10" s="92" t="inlineStr">
        <is>
          <t>Mặc định An ninh thu vé lúc xe vào, có trường hợp hiếm thu sau; khi thu sau phải để trạng thái Chưa thu.</t>
        </is>
      </c>
      <c r="E10" s="92" t="inlineStr">
        <is>
          <t>V02,T03</t>
        </is>
      </c>
      <c r="F10" s="92" t="inlineStr">
        <is>
          <t>P0</t>
        </is>
      </c>
      <c r="G10" s="92" t="inlineStr">
        <is>
          <t>V1</t>
        </is>
      </c>
    </row>
    <row r="11" ht="51" customHeight="1" s="94">
      <c r="A11" s="89" t="inlineStr">
        <is>
          <t>GT-05</t>
        </is>
      </c>
      <c r="B11" s="90" t="inlineStr">
        <is>
          <t>Nhận diện</t>
        </is>
      </c>
      <c r="C11" s="90" t="inlineStr">
        <is>
          <t>Đã chốt</t>
        </is>
      </c>
      <c r="D11" s="90" t="inlineStr">
        <is>
          <t>Xe bo ba bánh không bắt buộc biển số, tạo ID lượt/mã vé để tìm khi ra; xe không kéo cont không cần số container.</t>
        </is>
      </c>
      <c r="E11" s="90" t="inlineStr">
        <is>
          <t>V04, trao đổi</t>
        </is>
      </c>
      <c r="F11" s="90" t="inlineStr">
        <is>
          <t>P1</t>
        </is>
      </c>
      <c r="G11" s="90" t="inlineStr">
        <is>
          <t>V1</t>
        </is>
      </c>
    </row>
    <row r="12" ht="51" customHeight="1" s="94">
      <c r="A12" s="91" t="inlineStr">
        <is>
          <t>GT-06</t>
        </is>
      </c>
      <c r="B12" s="92" t="inlineStr">
        <is>
          <t>Vé giấy</t>
        </is>
      </c>
      <c r="C12" s="92" t="inlineStr">
        <is>
          <t>Đã chốt</t>
        </is>
      </c>
      <c r="D12" s="92" t="inlineStr">
        <is>
          <t>Duy trì vé giấy hai liên; mất liên 02 phát sinh khoản phạt 250.000đ riêng. Việc in vé từ PWA làm giai đoạn sau.</t>
        </is>
      </c>
      <c r="E12" s="92" t="inlineStr">
        <is>
          <t>V05,V06,T05</t>
        </is>
      </c>
      <c r="F12" s="92" t="inlineStr">
        <is>
          <t>P1</t>
        </is>
      </c>
      <c r="G12" s="92" t="inlineStr">
        <is>
          <t>V1</t>
        </is>
      </c>
    </row>
    <row r="13" ht="51" customHeight="1" s="94">
      <c r="A13" s="89" t="inlineStr">
        <is>
          <t>GT-07</t>
        </is>
      </c>
      <c r="B13" s="90" t="inlineStr">
        <is>
          <t>Lượt xe</t>
        </is>
      </c>
      <c r="C13" s="90" t="inlineStr">
        <is>
          <t>Đã chốt</t>
        </is>
      </c>
      <c r="D13" s="90" t="inlineStr">
        <is>
          <t>Mỗi lượt xe hiện chỉ mang tối đa 01 container; lượt xe và lượt container độc lập, xe đưa vào có thể khác xe kéo ra.</t>
        </is>
      </c>
      <c r="E13" s="90" t="inlineStr">
        <is>
          <t>V10,D03</t>
        </is>
      </c>
      <c r="F13" s="90" t="inlineStr">
        <is>
          <t>P0</t>
        </is>
      </c>
      <c r="G13" s="90" t="inlineStr">
        <is>
          <t>V1</t>
        </is>
      </c>
    </row>
    <row r="14" ht="51" customHeight="1" s="94">
      <c r="A14" s="91" t="inlineStr">
        <is>
          <t>GT-08</t>
        </is>
      </c>
      <c r="B14" s="92" t="inlineStr">
        <is>
          <t>Số container</t>
        </is>
      </c>
      <c r="C14" s="92" t="inlineStr">
        <is>
          <t>Đã chốt</t>
        </is>
      </c>
      <c r="D14" s="92" t="inlineStr">
        <is>
          <t>Có kéo container thì nhập số cont; tìm theo đủ mã, 7 số cuối; gợi ý mã gần giống nhưng người dùng xác nhận ghép.</t>
        </is>
      </c>
      <c r="E14" s="92" t="inlineStr">
        <is>
          <t>V09,PR04,SC07</t>
        </is>
      </c>
      <c r="F14" s="92" t="inlineStr">
        <is>
          <t>P0</t>
        </is>
      </c>
      <c r="G14" s="92" t="inlineStr">
        <is>
          <t>V1</t>
        </is>
      </c>
    </row>
    <row r="15" ht="51" customHeight="1" s="94">
      <c r="A15" s="89" t="inlineStr">
        <is>
          <t>GT-09</t>
        </is>
      </c>
      <c r="B15" s="90" t="inlineStr">
        <is>
          <t>Xuất xe</t>
        </is>
      </c>
      <c r="C15" s="90" t="inlineStr">
        <is>
          <t>Đã chốt</t>
        </is>
      </c>
      <c r="D15" s="90" t="inlineStr">
        <is>
          <t>Xe ra không kéo cont không đòi CCKB phê duyệt tài chính riêng cho lượt xe; An ninh ghi xe ra.</t>
        </is>
      </c>
      <c r="E15" s="90" t="inlineStr">
        <is>
          <t>T10,V11</t>
        </is>
      </c>
      <c r="F15" s="90" t="inlineStr">
        <is>
          <t>P0</t>
        </is>
      </c>
      <c r="G15" s="90" t="inlineStr">
        <is>
          <t>V1</t>
        </is>
      </c>
    </row>
    <row r="16" ht="51" customHeight="1" s="94">
      <c r="A16" s="91" t="inlineStr">
        <is>
          <t>GT-10</t>
        </is>
      </c>
      <c r="B16" s="92" t="inlineStr">
        <is>
          <t>Xuất cont</t>
        </is>
      </c>
      <c r="C16" s="92" t="inlineStr">
        <is>
          <t>Đã chốt</t>
        </is>
      </c>
      <c r="D16" s="92" t="inlineStr">
        <is>
          <t>An ninh chọn đúng lượt container rời bãi khi xe ra kéo cont, ghi GIO_CONT_RA thực tế.</t>
        </is>
      </c>
      <c r="E16" s="92" t="inlineStr">
        <is>
          <t>D03,CNT01</t>
        </is>
      </c>
      <c r="F16" s="92" t="inlineStr">
        <is>
          <t>P0</t>
        </is>
      </c>
      <c r="G16" s="92" t="inlineStr">
        <is>
          <t>V1</t>
        </is>
      </c>
    </row>
    <row r="17" ht="51" customHeight="1" s="94">
      <c r="A17" s="89" t="inlineStr">
        <is>
          <t>CT-01</t>
        </is>
      </c>
      <c r="B17" s="90" t="inlineStr">
        <is>
          <t>Container</t>
        </is>
      </c>
      <c r="C17" s="90" t="inlineStr">
        <is>
          <t>Đã chốt</t>
        </is>
      </c>
      <c r="D17" s="90" t="inlineStr">
        <is>
          <t>Mỗi lượt container vào/ra lưu độc lập; cont còn trong bãi vẫn tính thời gian lưu, dù có hạ xuống hay ở trên xe.</t>
        </is>
      </c>
      <c r="E17" s="90" t="inlineStr">
        <is>
          <t>Trao đổi; L10</t>
        </is>
      </c>
      <c r="F17" s="90" t="inlineStr">
        <is>
          <t>P0</t>
        </is>
      </c>
      <c r="G17" s="90" t="inlineStr">
        <is>
          <t>V1</t>
        </is>
      </c>
    </row>
    <row r="18" ht="51" customHeight="1" s="94">
      <c r="A18" s="91" t="inlineStr">
        <is>
          <t>CT-02</t>
        </is>
      </c>
      <c r="B18" s="92" t="inlineStr">
        <is>
          <t>Phí lưu</t>
        </is>
      </c>
      <c r="C18" s="92" t="inlineStr">
        <is>
          <t>Đã chốt</t>
        </is>
      </c>
      <c r="D18" s="92" t="inlineStr">
        <is>
          <t>Phí lưu cont dựa duy nhất GIO_CONT_VAO -&gt; GIO_CONT_RA, chốt lúc cont ra thực tế; KHÔNG khóa/bảo lưu phí tại giờ CCKB duyệt hay rút điện.</t>
        </is>
      </c>
      <c r="E18" s="92" t="inlineStr">
        <is>
          <t>L04 [bị đính chính], T09, CNT01, quyết định cuối</t>
        </is>
      </c>
      <c r="F18" s="92" t="inlineStr">
        <is>
          <t>P0</t>
        </is>
      </c>
      <c r="G18" s="92" t="inlineStr">
        <is>
          <t>V1</t>
        </is>
      </c>
    </row>
    <row r="19" ht="51" customHeight="1" s="94">
      <c r="A19" s="89" t="inlineStr">
        <is>
          <t>CT-03</t>
        </is>
      </c>
      <c r="B19" s="90" t="inlineStr">
        <is>
          <t>Phí lưu</t>
        </is>
      </c>
      <c r="C19" s="90" t="inlineStr">
        <is>
          <t>Đã chốt</t>
        </is>
      </c>
      <c r="D19" s="90" t="inlineStr">
        <is>
          <t>100.000đ/container/đêm, miễn 01 đêm đầu; khung kỳ đêm 22:00–06:00. Vào trước 22 và còn lúc 22 tính kỳ đêm; vào sau 22 đến trước 06 ghi nhận kỳ đêm đầu.</t>
        </is>
      </c>
      <c r="E19" s="90" t="inlineStr">
        <is>
          <t>PRICE_LIST, L01-L03</t>
        </is>
      </c>
      <c r="F19" s="90" t="inlineStr">
        <is>
          <t>P0</t>
        </is>
      </c>
      <c r="G19" s="90" t="inlineStr">
        <is>
          <t>V1</t>
        </is>
      </c>
    </row>
    <row r="20" ht="51" customHeight="1" s="94">
      <c r="A20" s="91" t="inlineStr">
        <is>
          <t>CT-04</t>
        </is>
      </c>
      <c r="B20" s="92" t="inlineStr">
        <is>
          <t>Số đêm</t>
        </is>
      </c>
      <c r="C20" s="92" t="inlineStr">
        <is>
          <t>Đã chốt</t>
        </is>
      </c>
      <c r="D20" s="92" t="inlineStr">
        <is>
          <t>Container vào ra trong ngày chưa qua kỳ đêm hiển thị SO_DEM_LUU=1 (đêm miễn) theo L05, tiền lưu vẫn 0.</t>
        </is>
      </c>
      <c r="E20" s="92" t="inlineStr">
        <is>
          <t>L05</t>
        </is>
      </c>
      <c r="F20" s="92" t="inlineStr">
        <is>
          <t>P1</t>
        </is>
      </c>
      <c r="G20" s="92" t="inlineStr">
        <is>
          <t>V1</t>
        </is>
      </c>
    </row>
    <row r="21" ht="51" customHeight="1" s="94">
      <c r="A21" s="89" t="inlineStr">
        <is>
          <t>CT-05</t>
        </is>
      </c>
      <c r="B21" s="90" t="inlineStr">
        <is>
          <t>Tài chính lưu</t>
        </is>
      </c>
      <c r="C21" s="90" t="inlineStr">
        <is>
          <t>Đã chốt</t>
        </is>
      </c>
      <c r="D21" s="90" t="inlineStr">
        <is>
          <t>An ninh tính/chốt và thu tiền lưu cont ở bước ra; CCKB xác nhận điều kiện tài chính cho cont ra ở quy trình khác.</t>
        </is>
      </c>
      <c r="E21" s="90" t="inlineStr">
        <is>
          <t>CNT01,T09,trao đổi mới</t>
        </is>
      </c>
      <c r="F21" s="90" t="inlineStr">
        <is>
          <t>P0</t>
        </is>
      </c>
      <c r="G21" s="90" t="inlineStr">
        <is>
          <t>V1</t>
        </is>
      </c>
    </row>
    <row r="22" ht="51" customHeight="1" s="94">
      <c r="A22" s="91" t="inlineStr">
        <is>
          <t>CT-06</t>
        </is>
      </c>
      <c r="B22" s="92" t="inlineStr">
        <is>
          <t>Không trả trước</t>
        </is>
      </c>
      <c r="C22" s="92" t="inlineStr">
        <is>
          <t>Đã chốt</t>
        </is>
      </c>
      <c r="D22" s="92" t="inlineStr">
        <is>
          <t>Không thu trước một phần phí lưu khi container còn lưu trong bãi; tiền lưu phát sinh và chốt tại giờ ra.</t>
        </is>
      </c>
      <c r="E22" s="92" t="inlineStr">
        <is>
          <t>L08, quyết định cuối</t>
        </is>
      </c>
      <c r="F22" s="92" t="inlineStr">
        <is>
          <t>P0</t>
        </is>
      </c>
      <c r="G22" s="92" t="inlineStr">
        <is>
          <t>V1</t>
        </is>
      </c>
    </row>
    <row r="23" ht="51" customHeight="1" s="94">
      <c r="A23" s="89" t="inlineStr">
        <is>
          <t>CT-07</t>
        </is>
      </c>
      <c r="B23" s="90" t="inlineStr">
        <is>
          <t>Trạng thái hàng</t>
        </is>
      </c>
      <c r="C23" s="90" t="inlineStr">
        <is>
          <t>Đã chốt</t>
        </is>
      </c>
      <c r="D23" s="90" t="inlineStr">
        <is>
          <t>Điều phối quản lý HÀNG/RỖNG, có thể để trống lúc cont mới vào; việc xác định HÀNG/RỖNG không chặn tính phí lưu.</t>
        </is>
      </c>
      <c r="E23" s="90" t="inlineStr">
        <is>
          <t>D01,D02,L10</t>
        </is>
      </c>
      <c r="F23" s="90" t="inlineStr">
        <is>
          <t>P1</t>
        </is>
      </c>
      <c r="G23" s="90" t="inlineStr">
        <is>
          <t>V1</t>
        </is>
      </c>
    </row>
    <row r="24" ht="51" customHeight="1" s="94">
      <c r="A24" s="91" t="inlineStr">
        <is>
          <t>CD-01</t>
        </is>
      </c>
      <c r="B24" s="92" t="inlineStr">
        <is>
          <t>Điện dự kiến</t>
        </is>
      </c>
      <c r="C24" s="92" t="inlineStr">
        <is>
          <t>Đã chốt</t>
        </is>
      </c>
      <c r="D24" s="92" t="inlineStr">
        <is>
          <t>CCKB được tạo yêu cầu cắm điện trước khi container vào; một phiếu cho một cont và có thể chứa nhiều phiên cắm/rút.</t>
        </is>
      </c>
      <c r="E24" s="92" t="inlineStr">
        <is>
          <t>PR01,PR03</t>
        </is>
      </c>
      <c r="F24" s="92" t="inlineStr">
        <is>
          <t>P0</t>
        </is>
      </c>
      <c r="G24" s="92" t="inlineStr">
        <is>
          <t>V1</t>
        </is>
      </c>
    </row>
    <row r="25" ht="51" customHeight="1" s="94">
      <c r="A25" s="89" t="inlineStr">
        <is>
          <t>CD-02</t>
        </is>
      </c>
      <c r="B25" s="90" t="inlineStr">
        <is>
          <t>Điện dự kiến</t>
        </is>
      </c>
      <c r="C25" s="90" t="inlineStr">
        <is>
          <t>Đã chốt</t>
        </is>
      </c>
      <c r="D25" s="90" t="inlineStr">
        <is>
          <t>Bắt buộc số cont + khách hàng + loại yêu cầu trên phiếu dự kiến; chưa vào không có giờ vào thực, không tính phí lưu hay điện.</t>
        </is>
      </c>
      <c r="E25" s="90" t="inlineStr">
        <is>
          <t>PR05</t>
        </is>
      </c>
      <c r="F25" s="90" t="inlineStr">
        <is>
          <t>P0</t>
        </is>
      </c>
      <c r="G25" s="90" t="inlineStr">
        <is>
          <t>V1</t>
        </is>
      </c>
    </row>
    <row r="26" ht="51" customHeight="1" s="94">
      <c r="A26" s="91" t="inlineStr">
        <is>
          <t>CD-03</t>
        </is>
      </c>
      <c r="B26" s="92" t="inlineStr">
        <is>
          <t>Điện dự kiến</t>
        </is>
      </c>
      <c r="C26" s="92" t="inlineStr">
        <is>
          <t>Đã chốt</t>
        </is>
      </c>
      <c r="D26" s="92" t="inlineStr">
        <is>
          <t>Khi An ninh tạo lượt cont vào, PWA hiện yêu cầu dự kiến phù hợp; gợi ý trùng số đủ/7 số cuối/gần giống và người dùng xác nhận ghép.</t>
        </is>
      </c>
      <c r="E26" s="92" t="inlineStr">
        <is>
          <t>PR02,PR04,SC07</t>
        </is>
      </c>
      <c r="F26" s="92" t="inlineStr">
        <is>
          <t>P0</t>
        </is>
      </c>
      <c r="G26" s="92" t="inlineStr">
        <is>
          <t>V1</t>
        </is>
      </c>
    </row>
    <row r="27" ht="51" customHeight="1" s="94">
      <c r="A27" s="89" t="inlineStr">
        <is>
          <t>CD-04</t>
        </is>
      </c>
      <c r="B27" s="90" t="inlineStr">
        <is>
          <t>Điện dự kiến</t>
        </is>
      </c>
      <c r="C27" s="90" t="inlineStr">
        <is>
          <t>Đã chốt</t>
        </is>
      </c>
      <c r="D27" s="90" t="inlineStr">
        <is>
          <t>CCKB được sửa mã cont dự kiến và thông báo An ninh; yêu cầu hủy có lịch sử/hết hạn có cấu hình.</t>
        </is>
      </c>
      <c r="E27" s="90" t="inlineStr">
        <is>
          <t>PR06,PR07</t>
        </is>
      </c>
      <c r="F27" s="90" t="inlineStr">
        <is>
          <t>P1</t>
        </is>
      </c>
      <c r="G27" s="90" t="inlineStr">
        <is>
          <t>V1</t>
        </is>
      </c>
    </row>
    <row r="28" ht="51" customHeight="1" s="94">
      <c r="A28" s="91" t="inlineStr">
        <is>
          <t>CD-05</t>
        </is>
      </c>
      <c r="B28" s="92" t="inlineStr">
        <is>
          <t>Điện thực tế</t>
        </is>
      </c>
      <c r="C28" s="92" t="inlineStr">
        <is>
          <t>Đã chốt</t>
        </is>
      </c>
      <c r="D28" s="92" t="inlineStr">
        <is>
          <t>An ninh cắm/rút ngoài hiện trường, báo bằng nhóm Zalo/ảnh-video timestamp; CCKB nhập và được sửa GIO_CAM_THUC_TE/GIO_RUT_THUC_TE, kể cả nhập hồi tố.</t>
        </is>
      </c>
      <c r="E28" s="92" t="inlineStr">
        <is>
          <t>E01,E04,E05,trao đổi</t>
        </is>
      </c>
      <c r="F28" s="92" t="inlineStr">
        <is>
          <t>P0</t>
        </is>
      </c>
      <c r="G28" s="92" t="inlineStr">
        <is>
          <t>V1</t>
        </is>
      </c>
    </row>
    <row r="29" ht="51" customHeight="1" s="94">
      <c r="A29" s="89" t="inlineStr">
        <is>
          <t>CD-06</t>
        </is>
      </c>
      <c r="B29" s="90" t="inlineStr">
        <is>
          <t>Hình thức</t>
        </is>
      </c>
      <c r="C29" s="90" t="inlineStr">
        <is>
          <t>Đã chốt</t>
        </is>
      </c>
      <c r="D29" s="90" t="inlineStr">
        <is>
          <t>Theo giờ và Cắm liên tục đều 100.000đ/giờ; Theo giờ thường biết giờ rút dự kiến; Cắm liên tục chưa biết. Giờ dự kiến không bắt buộc.</t>
        </is>
      </c>
      <c r="E29" s="90" t="inlineStr">
        <is>
          <t>E03,trao đổi</t>
        </is>
      </c>
      <c r="F29" s="90" t="inlineStr">
        <is>
          <t>P0</t>
        </is>
      </c>
      <c r="G29" s="90" t="inlineStr">
        <is>
          <t>V1</t>
        </is>
      </c>
    </row>
    <row r="30" ht="51" customHeight="1" s="94">
      <c r="A30" s="91" t="inlineStr">
        <is>
          <t>CD-07</t>
        </is>
      </c>
      <c r="B30" s="92" t="inlineStr">
        <is>
          <t>Làm tròn</t>
        </is>
      </c>
      <c r="C30" s="92" t="inlineStr">
        <is>
          <t>Đã chốt mới</t>
        </is>
      </c>
      <c r="D30" s="92" t="inlineStr">
        <is>
          <t>PWA tự tính thời gian từng phiên từ giờ cắm/rút và làm tròn LÊN các mức 15 phút; E09/E10 lấy chính sách mới thay thói quen thủ công.</t>
        </is>
      </c>
      <c r="E30" s="92" t="inlineStr">
        <is>
          <t>Quyết định mới 11/10/2026,E09-E11</t>
        </is>
      </c>
      <c r="F30" s="92" t="inlineStr">
        <is>
          <t>P0</t>
        </is>
      </c>
      <c r="G30" s="92" t="inlineStr">
        <is>
          <t>V1</t>
        </is>
      </c>
    </row>
    <row r="31" ht="51" customHeight="1" s="94">
      <c r="A31" s="89" t="inlineStr">
        <is>
          <t>CD-08</t>
        </is>
      </c>
      <c r="B31" s="90" t="inlineStr">
        <is>
          <t>Điều chỉnh</t>
        </is>
      </c>
      <c r="C31" s="90" t="inlineStr">
        <is>
          <t>Đã chốt mới</t>
        </is>
      </c>
      <c r="D31" s="90" t="inlineStr">
        <is>
          <t>CCKB được chỉnh giờ thực tế hoặc thời lượng tính tiền, có lý do/audit; sau thu tiền NV đề nghị và TBP CCKB phê duyệt hoặc TBP sửa trực tiếp có audit, không ghi đè tiền đã thu.</t>
        </is>
      </c>
      <c r="E31" s="90" t="inlineStr">
        <is>
          <t>E06, P03,P04,quyết định mới</t>
        </is>
      </c>
      <c r="F31" s="90" t="inlineStr">
        <is>
          <t>P0</t>
        </is>
      </c>
      <c r="G31" s="90" t="inlineStr">
        <is>
          <t>V1</t>
        </is>
      </c>
    </row>
    <row r="32" ht="51" customHeight="1" s="94">
      <c r="A32" s="91" t="inlineStr">
        <is>
          <t>CD-09</t>
        </is>
      </c>
      <c r="B32" s="92" t="inlineStr">
        <is>
          <t>Nhiều phiên</t>
        </is>
      </c>
      <c r="C32" s="92" t="inlineStr">
        <is>
          <t>Đã chốt</t>
        </is>
      </c>
      <c r="D32" s="92" t="inlineStr">
        <is>
          <t>Một cont được có nhiều phiên cắm/rút nối tiếp; thời gian và làm tròn của mỗi phiên độc lập; không có 2 phiên đang cắm đồng thời.</t>
        </is>
      </c>
      <c r="E32" s="92" t="inlineStr">
        <is>
          <t>PR03,E11,E12</t>
        </is>
      </c>
      <c r="F32" s="92" t="inlineStr">
        <is>
          <t>P0</t>
        </is>
      </c>
      <c r="G32" s="92" t="inlineStr">
        <is>
          <t>V1</t>
        </is>
      </c>
    </row>
    <row r="33" ht="51" customHeight="1" s="94">
      <c r="A33" s="89" t="inlineStr">
        <is>
          <t>CD-10</t>
        </is>
      </c>
      <c r="B33" s="90" t="inlineStr">
        <is>
          <t>Thời điểm điện</t>
        </is>
      </c>
      <c r="C33" s="90" t="inlineStr">
        <is>
          <t>Đã chốt</t>
        </is>
      </c>
      <c r="D33" s="90" t="inlineStr">
        <is>
          <t>Chốt thời lượng và số tiền điện khi rút điện; CCKB có thể thu ngay hoặc gộp thu lúc cont xuất.</t>
        </is>
      </c>
      <c r="E33" s="90" t="inlineStr">
        <is>
          <t>Trao đổi phương án C</t>
        </is>
      </c>
      <c r="F33" s="90" t="inlineStr">
        <is>
          <t>P0</t>
        </is>
      </c>
      <c r="G33" s="90" t="inlineStr">
        <is>
          <t>V1</t>
        </is>
      </c>
    </row>
    <row r="34" ht="51" customHeight="1" s="94">
      <c r="A34" s="91" t="inlineStr">
        <is>
          <t>CD-11</t>
        </is>
      </c>
      <c r="B34" s="92" t="inlineStr">
        <is>
          <t>Ảnh video</t>
        </is>
      </c>
      <c r="C34" s="92" t="inlineStr">
        <is>
          <t>Đã chốt</t>
        </is>
      </c>
      <c r="D34" s="92" t="inlineStr">
        <is>
          <t>Có thể lưu ảnh/video hiện trường làm bằng chứng; với sửa cont khuyến khích bằng chứng, thiếu ghi lý do.</t>
        </is>
      </c>
      <c r="E34" s="92" t="inlineStr">
        <is>
          <t>E05,SC03</t>
        </is>
      </c>
      <c r="F34" s="92" t="inlineStr">
        <is>
          <t>P1</t>
        </is>
      </c>
      <c r="G34" s="92" t="inlineStr">
        <is>
          <t>V1</t>
        </is>
      </c>
    </row>
    <row r="35" ht="51" customHeight="1" s="94">
      <c r="A35" s="89" t="inlineStr">
        <is>
          <t>CD-12</t>
        </is>
      </c>
      <c r="B35" s="90" t="inlineStr">
        <is>
          <t>Bảng giá điện</t>
        </is>
      </c>
      <c r="C35" s="90" t="inlineStr">
        <is>
          <t>Đã chốt</t>
        </is>
      </c>
      <c r="D35" s="90" t="inlineStr">
        <is>
          <t>Hai mã giá độc lập: DIEN_CONT_GIO và DIEN_CONT_LIEN_TUC, hiện đều 100.000đ/giờ; giá quản lý cấu hình không sửa code; Quản trị được sửa giá (theo E15).</t>
        </is>
      </c>
      <c r="E35" s="90" t="inlineStr">
        <is>
          <t>E15,trao đổi</t>
        </is>
      </c>
      <c r="F35" s="90" t="inlineStr">
        <is>
          <t>P0</t>
        </is>
      </c>
      <c r="G35" s="90" t="inlineStr">
        <is>
          <t>V1</t>
        </is>
      </c>
    </row>
    <row r="36" ht="51" customHeight="1" s="94">
      <c r="A36" s="91" t="inlineStr">
        <is>
          <t>SC-01</t>
        </is>
      </c>
      <c r="B36" s="92" t="inlineStr">
        <is>
          <t>Sửa số cont</t>
        </is>
      </c>
      <c r="C36" s="92" t="inlineStr">
        <is>
          <t>Đã chốt</t>
        </is>
      </c>
      <c r="D36" s="92" t="inlineStr">
        <is>
          <t>An ninh được sửa cont sai dù do khách/CCKB/người hiện trường nhập nhầm; lưu số cũ/mới/người/giờ/lý do và thông báo CCKB trên PWA.</t>
        </is>
      </c>
      <c r="E36" s="92" t="inlineStr">
        <is>
          <t>SC01,SC04</t>
        </is>
      </c>
      <c r="F36" s="92" t="inlineStr">
        <is>
          <t>P0</t>
        </is>
      </c>
      <c r="G36" s="92" t="inlineStr">
        <is>
          <t>V1</t>
        </is>
      </c>
    </row>
    <row r="37" ht="51" customHeight="1" s="94">
      <c r="A37" s="89" t="inlineStr">
        <is>
          <t>SC-02</t>
        </is>
      </c>
      <c r="B37" s="90" t="inlineStr">
        <is>
          <t>Sửa số cont</t>
        </is>
      </c>
      <c r="C37" s="90" t="inlineStr">
        <is>
          <t>Đã chốt</t>
        </is>
      </c>
      <c r="D37" s="90" t="inlineStr">
        <is>
          <t>Sửa số cont sau cắm/rút hoặc đã thu: giữ nguyên giao dịch đã thu, CCKB đối soát lại; không tự tạo lại phí hoặc đổi ID lượt.</t>
        </is>
      </c>
      <c r="E37" s="90" t="inlineStr">
        <is>
          <t>SC02</t>
        </is>
      </c>
      <c r="F37" s="90" t="inlineStr">
        <is>
          <t>P0</t>
        </is>
      </c>
      <c r="G37" s="90" t="inlineStr">
        <is>
          <t>V1</t>
        </is>
      </c>
    </row>
    <row r="38" ht="51" customHeight="1" s="94">
      <c r="A38" s="91" t="inlineStr">
        <is>
          <t>SC-03</t>
        </is>
      </c>
      <c r="B38" s="92" t="inlineStr">
        <is>
          <t>Sửa số cont</t>
        </is>
      </c>
      <c r="C38" s="92" t="inlineStr">
        <is>
          <t>Đã chốt</t>
        </is>
      </c>
      <c r="D38" s="92" t="inlineStr">
        <is>
          <t>Cho sửa thành số trùng lượt cont khác đang trong bãi nhưng cảnh báo rõ, không tự ghép; sau duyệt tài chính chỉ cảnh báo, không tự chặn xuất.</t>
        </is>
      </c>
      <c r="E38" s="92" t="inlineStr">
        <is>
          <t>SC06,SC08</t>
        </is>
      </c>
      <c r="F38" s="92" t="inlineStr">
        <is>
          <t>P0</t>
        </is>
      </c>
      <c r="G38" s="92" t="inlineStr">
        <is>
          <t>V1</t>
        </is>
      </c>
    </row>
    <row r="39" ht="51" customHeight="1" s="94">
      <c r="A39" s="89" t="inlineStr">
        <is>
          <t>SC-04</t>
        </is>
      </c>
      <c r="B39" s="90" t="inlineStr">
        <is>
          <t>Sửa số cont</t>
        </is>
      </c>
      <c r="C39" s="90" t="inlineStr">
        <is>
          <t>Đã chốt</t>
        </is>
      </c>
      <c r="D39" s="90" t="inlineStr">
        <is>
          <t>Nếu số thực tế khác số dự kiến, được sửa số trên phiếu dự kiến và lưu lịch sử.</t>
        </is>
      </c>
      <c r="E39" s="90" t="inlineStr">
        <is>
          <t>SC05</t>
        </is>
      </c>
      <c r="F39" s="90" t="inlineStr">
        <is>
          <t>P0</t>
        </is>
      </c>
      <c r="G39" s="90" t="inlineStr">
        <is>
          <t>V1</t>
        </is>
      </c>
    </row>
    <row r="40" ht="51" customHeight="1" s="94">
      <c r="A40" s="91" t="inlineStr">
        <is>
          <t>TT-01</t>
        </is>
      </c>
      <c r="B40" s="92" t="inlineStr">
        <is>
          <t>Thu phí</t>
        </is>
      </c>
      <c r="C40" s="92" t="inlineStr">
        <is>
          <t>Đã chốt</t>
        </is>
      </c>
      <c r="D40" s="92" t="inlineStr">
        <is>
          <t>An ninh thu vé vào và phí lưu cont ra; CCKB quản lý/thu điện, kiểm soát tài chính container trước xuất.</t>
        </is>
      </c>
      <c r="E40" s="92" t="inlineStr">
        <is>
          <t>T03,CNT01,trao đổi mới</t>
        </is>
      </c>
      <c r="F40" s="92" t="inlineStr">
        <is>
          <t>P0</t>
        </is>
      </c>
      <c r="G40" s="92" t="inlineStr">
        <is>
          <t>V1</t>
        </is>
      </c>
    </row>
    <row r="41" ht="51" customHeight="1" s="94">
      <c r="A41" s="89" t="inlineStr">
        <is>
          <t>TT-02</t>
        </is>
      </c>
      <c r="B41" s="90" t="inlineStr">
        <is>
          <t>Thanh toán</t>
        </is>
      </c>
      <c r="C41" s="90" t="inlineStr">
        <is>
          <t>Đã chốt</t>
        </is>
      </c>
      <c r="D41" s="90" t="inlineStr">
        <is>
          <t>Điện có thể thanh toán từng phần, kết hợp tiền mặt/chuyển khoản và một lần thanh toán cho nhiều khoản/cont có phân bổ.</t>
        </is>
      </c>
      <c r="E41" s="90" t="inlineStr">
        <is>
          <t>T01,T02,T11</t>
        </is>
      </c>
      <c r="F41" s="90" t="inlineStr">
        <is>
          <t>P0</t>
        </is>
      </c>
      <c r="G41" s="90" t="inlineStr">
        <is>
          <t>V1</t>
        </is>
      </c>
    </row>
    <row r="42" ht="51" customHeight="1" s="94">
      <c r="A42" s="91" t="inlineStr">
        <is>
          <t>TT-03</t>
        </is>
      </c>
      <c r="B42" s="92" t="inlineStr">
        <is>
          <t>Ngoại lệ ra</t>
        </is>
      </c>
      <c r="C42" s="92" t="inlineStr">
        <is>
          <t>Đã chốt</t>
        </is>
      </c>
      <c r="D42" s="92" t="inlineStr">
        <is>
          <t>Nếu còn phí chưa thu CCKB NV có thể xác nhận cho cont ra bằng tay, bắt buộc lý do/cảnh báo và giữ công nợ.</t>
        </is>
      </c>
      <c r="E42" s="92" t="inlineStr">
        <is>
          <t>T08,OUT01</t>
        </is>
      </c>
      <c r="F42" s="92" t="inlineStr">
        <is>
          <t>P0</t>
        </is>
      </c>
      <c r="G42" s="92" t="inlineStr">
        <is>
          <t>V1</t>
        </is>
      </c>
    </row>
    <row r="43" ht="51" customHeight="1" s="94">
      <c r="A43" s="89" t="inlineStr">
        <is>
          <t>TT-04</t>
        </is>
      </c>
      <c r="B43" s="90" t="inlineStr">
        <is>
          <t>Giao dịch</t>
        </is>
      </c>
      <c r="C43" s="90" t="inlineStr">
        <is>
          <t>Đã chốt</t>
        </is>
      </c>
      <c r="D43" s="90" t="inlineStr">
        <is>
          <t>Phạt mất vé 250.000đ là khoản phí riêng, không âm thầm gộp; giao dịch thu được truy ra người/giờ/nguồn.</t>
        </is>
      </c>
      <c r="E43" s="90" t="inlineStr">
        <is>
          <t>V06,T05</t>
        </is>
      </c>
      <c r="F43" s="90" t="inlineStr">
        <is>
          <t>P1</t>
        </is>
      </c>
      <c r="G43" s="90" t="inlineStr">
        <is>
          <t>V1</t>
        </is>
      </c>
    </row>
    <row r="44" ht="51" customHeight="1" s="94">
      <c r="A44" s="91" t="inlineStr">
        <is>
          <t>TT-05</t>
        </is>
      </c>
      <c r="B44" s="92" t="inlineStr">
        <is>
          <t>Đối soát</t>
        </is>
      </c>
      <c r="C44" s="92" t="inlineStr">
        <is>
          <t>Đã chốt</t>
        </is>
      </c>
      <c r="D44" s="92" t="inlineStr">
        <is>
          <t>Báo cáo doanh thu theo cá nhân/ca và nhiều chiều; ca An ninh có thể là 06–18 nhưng giờ chốt doanh thu có thể khác ca thực tế.</t>
        </is>
      </c>
      <c r="E44" s="92" t="inlineStr">
        <is>
          <t>T14,R01</t>
        </is>
      </c>
      <c r="F44" s="92" t="inlineStr">
        <is>
          <t>P1</t>
        </is>
      </c>
      <c r="G44" s="92" t="inlineStr">
        <is>
          <t>V1</t>
        </is>
      </c>
    </row>
    <row r="45" ht="51" customHeight="1" s="94">
      <c r="A45" s="89" t="inlineStr">
        <is>
          <t>PQ-01</t>
        </is>
      </c>
      <c r="B45" s="90" t="inlineStr">
        <is>
          <t>Bộ phận</t>
        </is>
      </c>
      <c r="C45" s="90" t="inlineStr">
        <is>
          <t>Đã chốt</t>
        </is>
      </c>
      <c r="D45" s="90" t="inlineStr">
        <is>
          <t>Vai trò NV/TBP An ninh, NV/TBP CCKB, NV/TBP Điều phối, Quản trị; vai trò Kế toán được đề cập để mở rộng phạm vi sau.</t>
        </is>
      </c>
      <c r="E45" s="90" t="inlineStr">
        <is>
          <t>P01,P07,INV01</t>
        </is>
      </c>
      <c r="F45" s="90" t="inlineStr">
        <is>
          <t>P0</t>
        </is>
      </c>
      <c r="G45" s="90" t="inlineStr">
        <is>
          <t>V1 + kế toán giai đoạn sau</t>
        </is>
      </c>
    </row>
    <row r="46" ht="51" customHeight="1" s="94">
      <c r="A46" s="91" t="inlineStr">
        <is>
          <t>PQ-02</t>
        </is>
      </c>
      <c r="B46" s="92" t="inlineStr">
        <is>
          <t>Phê duyệt</t>
        </is>
      </c>
      <c r="C46" s="92" t="inlineStr">
        <is>
          <t>Đã chốt</t>
        </is>
      </c>
      <c r="D46" s="92" t="inlineStr">
        <is>
          <t>TBP An ninh được sửa thời điểm xe và thao tác thay NV có audit; TBP CCKB xử lý ngoại lệ theo quyền và có audit.</t>
        </is>
      </c>
      <c r="E46" s="92" t="inlineStr">
        <is>
          <t>P02,P03</t>
        </is>
      </c>
      <c r="F46" s="92" t="inlineStr">
        <is>
          <t>P0</t>
        </is>
      </c>
      <c r="G46" s="92" t="inlineStr">
        <is>
          <t>V1</t>
        </is>
      </c>
    </row>
    <row r="47" ht="51" customHeight="1" s="94">
      <c r="A47" s="89" t="inlineStr">
        <is>
          <t>PQ-03</t>
        </is>
      </c>
      <c r="B47" s="90" t="inlineStr">
        <is>
          <t>Đăng nhập</t>
        </is>
      </c>
      <c r="C47" s="90" t="inlineStr">
        <is>
          <t>Đã chốt</t>
        </is>
      </c>
      <c r="D47" s="90" t="inlineStr">
        <is>
          <t>Giai đoạn đầu CCKB dùng tài khoản cá nhân; bốt An ninh dùng thiết bị/tài khoản vận hành cần gắn người thao tác để có audit, phân quyền ca phát triển sau.</t>
        </is>
      </c>
      <c r="E47" s="90" t="inlineStr">
        <is>
          <t>P07,P08</t>
        </is>
      </c>
      <c r="F47" s="90" t="inlineStr">
        <is>
          <t>P0</t>
        </is>
      </c>
      <c r="G47" s="90" t="inlineStr">
        <is>
          <t>V1</t>
        </is>
      </c>
    </row>
    <row r="48" ht="51" customHeight="1" s="94">
      <c r="A48" s="91" t="inlineStr">
        <is>
          <t>BC-01</t>
        </is>
      </c>
      <c r="B48" s="92" t="inlineStr">
        <is>
          <t>Báo cáo</t>
        </is>
      </c>
      <c r="C48" s="92" t="inlineStr">
        <is>
          <t>Đã chốt</t>
        </is>
      </c>
      <c r="D48" s="92" t="inlineStr">
        <is>
          <t>Dashboard xe/cont trong bãi, điện đang cắm, doanh thu, nợ; báo cáo theo ca/nhân viên/bộ phận/ngày/tháng, xuất Excel.</t>
        </is>
      </c>
      <c r="E48" s="92" t="inlineStr">
        <is>
          <t>R01,R03,R05</t>
        </is>
      </c>
      <c r="F48" s="92" t="inlineStr">
        <is>
          <t>P1</t>
        </is>
      </c>
      <c r="G48" s="92" t="inlineStr">
        <is>
          <t>V1</t>
        </is>
      </c>
    </row>
    <row r="49" ht="51" customHeight="1" s="94">
      <c r="A49" s="89" t="inlineStr">
        <is>
          <t>BC-02</t>
        </is>
      </c>
      <c r="B49" s="90" t="inlineStr">
        <is>
          <t>Hóa đơn</t>
        </is>
      </c>
      <c r="C49" s="90" t="inlineStr">
        <is>
          <t>Đã chốt</t>
        </is>
      </c>
      <c r="D49" s="90" t="inlineStr">
        <is>
          <t>Giai đoạn đầu chỉ lưu cờ Cần hóa đơn và dữ liệu khách hàng/hóa đơn; Kế toán có nhiệm vụ sau, KHÔNG tích hợp phát hành hóa đơn trong V1.</t>
        </is>
      </c>
      <c r="E49" s="90" t="inlineStr">
        <is>
          <t>T12,INV01,INV02</t>
        </is>
      </c>
      <c r="F49" s="90" t="inlineStr">
        <is>
          <t>P1</t>
        </is>
      </c>
      <c r="G49" s="90" t="inlineStr">
        <is>
          <t>V1 lưu dữ liệu</t>
        </is>
      </c>
    </row>
    <row r="50" ht="51" customHeight="1" s="94">
      <c r="A50" s="91" t="inlineStr">
        <is>
          <t>CN-01</t>
        </is>
      </c>
      <c r="B50" s="92" t="inlineStr">
        <is>
          <t>Hạ tầng</t>
        </is>
      </c>
      <c r="C50" s="92" t="inlineStr">
        <is>
          <t>Đã chốt định hướng</t>
        </is>
      </c>
      <c r="D50" s="92" t="inlineStr">
        <is>
          <t>Ưu tiên Next.js + PostgreSQL/Supabase, Vercel, subdomain công ty hoặc Vercel free; chi phí thực tế cần kiểm tra hạn mức trước vận hành.</t>
        </is>
      </c>
      <c r="E50" s="92" t="inlineStr">
        <is>
          <t>K01,K02</t>
        </is>
      </c>
      <c r="F50" s="92" t="inlineStr">
        <is>
          <t>P0</t>
        </is>
      </c>
      <c r="G50" s="92" t="inlineStr">
        <is>
          <t>V1</t>
        </is>
      </c>
    </row>
    <row r="51" ht="51" customHeight="1" s="94">
      <c r="A51" s="89" t="inlineStr">
        <is>
          <t>CN-02</t>
        </is>
      </c>
      <c r="B51" s="90" t="inlineStr">
        <is>
          <t>Mất mạng</t>
        </is>
      </c>
      <c r="C51" s="90" t="inlineStr">
        <is>
          <t>Đã chốt</t>
        </is>
      </c>
      <c r="D51" s="90" t="inlineStr">
        <is>
          <t>Offline cho phép nhập nháp và đợi đồng bộ; không được tự hoàn tất xuất xe/container chưa xác minh trạng thái máy chủ.</t>
        </is>
      </c>
      <c r="E51" s="90" t="inlineStr">
        <is>
          <t>K03</t>
        </is>
      </c>
      <c r="F51" s="90" t="inlineStr">
        <is>
          <t>P0</t>
        </is>
      </c>
      <c r="G51" s="90" t="inlineStr">
        <is>
          <t>V1</t>
        </is>
      </c>
    </row>
    <row r="52" ht="51" customHeight="1" s="94">
      <c r="A52" s="91" t="inlineStr">
        <is>
          <t>CN-03</t>
        </is>
      </c>
      <c r="B52" s="92" t="inlineStr">
        <is>
          <t>Kiểm soát</t>
        </is>
      </c>
      <c r="C52" s="92" t="inlineStr">
        <is>
          <t>Đã chốt</t>
        </is>
      </c>
      <c r="D52" s="92" t="inlineStr">
        <is>
          <t>Phân môi trường test/production, audit, sao lưu hằng ngày, vận hành bằng điện thoại và PC.</t>
        </is>
      </c>
      <c r="E52" s="92" t="inlineStr">
        <is>
          <t>K04,K07,K08</t>
        </is>
      </c>
      <c r="F52" s="92" t="inlineStr">
        <is>
          <t>P0</t>
        </is>
      </c>
      <c r="G52" s="92" t="inlineStr">
        <is>
          <t>V1</t>
        </is>
      </c>
    </row>
    <row r="53" ht="51" customHeight="1" s="94">
      <c r="A53" s="89" t="inlineStr">
        <is>
          <t>DL-01</t>
        </is>
      </c>
      <c r="B53" s="90" t="inlineStr">
        <is>
          <t>Chuyển đổi</t>
        </is>
      </c>
      <c r="C53" s="90" t="inlineStr">
        <is>
          <t>Đã chốt</t>
        </is>
      </c>
      <c r="D53" s="90" t="inlineStr">
        <is>
          <t>Chuyển toàn bộ VEHICLE/CONTAINER AppSheet sau UAT; giữ ID cũ và nguồn gốc; nhập các phiên điện tồn nếu có.</t>
        </is>
      </c>
      <c r="E53" s="90" t="inlineStr">
        <is>
          <t>M01,M02,M05,M08</t>
        </is>
      </c>
      <c r="F53" s="90" t="inlineStr">
        <is>
          <t>P0</t>
        </is>
      </c>
      <c r="G53" s="90" t="inlineStr">
        <is>
          <t>V1</t>
        </is>
      </c>
    </row>
    <row r="54" ht="51" customHeight="1" s="94">
      <c r="A54" s="91" t="inlineStr">
        <is>
          <t>DL-02</t>
        </is>
      </c>
      <c r="B54" s="92" t="inlineStr">
        <is>
          <t>Dữ liệu cũ</t>
        </is>
      </c>
      <c r="C54" s="92" t="inlineStr">
        <is>
          <t>Đã chốt</t>
        </is>
      </c>
      <c r="D54" s="92" t="inlineStr">
        <is>
          <t>Dữ liệu lịch sử đang sai/trống giờ ra và tiền chưa đáng tin: không tự kết luận công nợ; Quản trị cấp cao được sửa qua giao diện có audit, không trực tiếp sửa DB.</t>
        </is>
      </c>
      <c r="E54" s="92" t="inlineStr">
        <is>
          <t>M03,M04,trao đổi</t>
        </is>
      </c>
      <c r="F54" s="92" t="inlineStr">
        <is>
          <t>P0</t>
        </is>
      </c>
      <c r="G54" s="92" t="inlineStr">
        <is>
          <t>V1</t>
        </is>
      </c>
    </row>
    <row r="55" ht="51" customHeight="1" s="94">
      <c r="A55" s="89" t="inlineStr">
        <is>
          <t>DL-03</t>
        </is>
      </c>
      <c r="B55" s="90" t="inlineStr">
        <is>
          <t>Chuyển đổi</t>
        </is>
      </c>
      <c r="C55" s="90" t="inlineStr">
        <is>
          <t>Đã chốt</t>
        </is>
      </c>
      <c r="D55" s="90" t="inlineStr">
        <is>
          <t>Tạo tài khoản đăng nhập mới, map role theo chức năng; ngừng AppSheet sau UAT, có phương án vận hành giấy khi có sự cố.</t>
        </is>
      </c>
      <c r="E55" s="90" t="inlineStr">
        <is>
          <t>M06,U02,U03</t>
        </is>
      </c>
      <c r="F55" s="90" t="inlineStr">
        <is>
          <t>P0</t>
        </is>
      </c>
      <c r="G55" s="90" t="inlineStr">
        <is>
          <t>V1</t>
        </is>
      </c>
    </row>
    <row r="56" ht="15.75" customHeight="1" s="94">
      <c r="A56" s="57" t="n"/>
      <c r="B56" s="57" t="n"/>
      <c r="C56" s="57" t="n"/>
      <c r="D56" s="57" t="n"/>
      <c r="E56" s="57" t="n"/>
      <c r="F56" s="57" t="n"/>
      <c r="G56" s="57" t="n"/>
    </row>
    <row r="57" ht="15.75" customHeight="1" s="94">
      <c r="A57" s="57" t="n"/>
      <c r="B57" s="57" t="n"/>
      <c r="C57" s="57" t="n"/>
      <c r="D57" s="57" t="n"/>
      <c r="E57" s="57" t="n"/>
      <c r="F57" s="57" t="n"/>
      <c r="G57" s="57" t="n"/>
    </row>
    <row r="58" ht="15.75" customHeight="1" s="94">
      <c r="A58" s="57" t="n"/>
      <c r="B58" s="57" t="n"/>
      <c r="C58" s="57" t="n"/>
      <c r="D58" s="57" t="n"/>
      <c r="E58" s="57" t="n"/>
      <c r="F58" s="57" t="n"/>
      <c r="G58" s="57" t="n"/>
    </row>
    <row r="59" ht="15.75" customHeight="1" s="94">
      <c r="A59" s="57" t="n"/>
      <c r="B59" s="57" t="n"/>
      <c r="C59" s="57" t="n"/>
      <c r="D59" s="57" t="n"/>
      <c r="E59" s="57" t="n"/>
      <c r="F59" s="57" t="n"/>
      <c r="G59" s="57" t="n"/>
    </row>
    <row r="60" ht="15.75" customHeight="1" s="94">
      <c r="A60" s="57" t="n"/>
      <c r="B60" s="57" t="n"/>
      <c r="C60" s="57" t="n"/>
      <c r="D60" s="57" t="n"/>
      <c r="E60" s="57" t="n"/>
      <c r="F60" s="57" t="n"/>
      <c r="G60" s="57" t="n"/>
    </row>
    <row r="61" ht="15.75" customHeight="1" s="94">
      <c r="A61" s="57" t="n"/>
      <c r="B61" s="57" t="n"/>
      <c r="C61" s="57" t="n"/>
      <c r="D61" s="57" t="n"/>
      <c r="E61" s="57" t="n"/>
      <c r="F61" s="57" t="n"/>
      <c r="G61" s="57" t="n"/>
    </row>
    <row r="62" ht="15.75" customHeight="1" s="94">
      <c r="A62" s="57" t="n"/>
      <c r="B62" s="57" t="n"/>
      <c r="C62" s="57" t="n"/>
      <c r="D62" s="57" t="n"/>
      <c r="E62" s="57" t="n"/>
      <c r="F62" s="57" t="n"/>
      <c r="G62" s="57" t="n"/>
    </row>
    <row r="63" ht="15.75" customHeight="1" s="94">
      <c r="A63" s="57" t="n"/>
      <c r="B63" s="57" t="n"/>
      <c r="C63" s="57" t="n"/>
      <c r="D63" s="57" t="n"/>
      <c r="E63" s="57" t="n"/>
      <c r="F63" s="57" t="n"/>
      <c r="G63" s="57" t="n"/>
    </row>
    <row r="64" ht="15.75" customHeight="1" s="94">
      <c r="A64" s="57" t="n"/>
      <c r="B64" s="57" t="n"/>
      <c r="C64" s="57" t="n"/>
      <c r="D64" s="57" t="n"/>
      <c r="E64" s="57" t="n"/>
      <c r="F64" s="57" t="n"/>
      <c r="G64" s="57" t="n"/>
    </row>
    <row r="65" ht="15.75" customHeight="1" s="94">
      <c r="A65" s="57" t="n"/>
      <c r="B65" s="57" t="n"/>
      <c r="C65" s="57" t="n"/>
      <c r="D65" s="57" t="n"/>
      <c r="E65" s="57" t="n"/>
      <c r="F65" s="57" t="n"/>
      <c r="G65" s="57" t="n"/>
    </row>
    <row r="66" ht="15.75" customHeight="1" s="94">
      <c r="A66" s="57" t="n"/>
      <c r="B66" s="57" t="n"/>
      <c r="C66" s="57" t="n"/>
      <c r="D66" s="57" t="n"/>
      <c r="E66" s="57" t="n"/>
      <c r="F66" s="57" t="n"/>
      <c r="G66" s="57" t="n"/>
    </row>
    <row r="67" ht="15.75" customHeight="1" s="94">
      <c r="A67" s="57" t="n"/>
      <c r="B67" s="57" t="n"/>
      <c r="C67" s="57" t="n"/>
      <c r="D67" s="57" t="n"/>
      <c r="E67" s="57" t="n"/>
      <c r="F67" s="57" t="n"/>
      <c r="G67" s="57" t="n"/>
    </row>
    <row r="68" ht="15.75" customHeight="1" s="94">
      <c r="A68" s="57" t="n"/>
      <c r="B68" s="57" t="n"/>
      <c r="C68" s="57" t="n"/>
      <c r="D68" s="57" t="n"/>
      <c r="E68" s="57" t="n"/>
      <c r="F68" s="57" t="n"/>
      <c r="G68" s="57" t="n"/>
    </row>
    <row r="69" ht="15.75" customHeight="1" s="94">
      <c r="A69" s="57" t="n"/>
      <c r="B69" s="57" t="n"/>
      <c r="C69" s="57" t="n"/>
      <c r="D69" s="57" t="n"/>
      <c r="E69" s="57" t="n"/>
      <c r="F69" s="57" t="n"/>
      <c r="G69" s="57" t="n"/>
    </row>
    <row r="70" ht="15.75" customHeight="1" s="94">
      <c r="A70" s="57" t="n"/>
      <c r="B70" s="57" t="n"/>
      <c r="C70" s="57" t="n"/>
      <c r="D70" s="57" t="n"/>
      <c r="E70" s="57" t="n"/>
      <c r="F70" s="57" t="n"/>
      <c r="G70" s="57" t="n"/>
    </row>
    <row r="71" ht="15.75" customHeight="1" s="94">
      <c r="A71" s="57" t="n"/>
      <c r="B71" s="57" t="n"/>
      <c r="C71" s="57" t="n"/>
      <c r="D71" s="57" t="n"/>
      <c r="E71" s="57" t="n"/>
      <c r="F71" s="57" t="n"/>
      <c r="G71" s="57" t="n"/>
    </row>
    <row r="72" ht="15.75" customHeight="1" s="94">
      <c r="A72" s="57" t="n"/>
      <c r="B72" s="57" t="n"/>
      <c r="C72" s="57" t="n"/>
      <c r="D72" s="57" t="n"/>
      <c r="E72" s="57" t="n"/>
      <c r="F72" s="57" t="n"/>
      <c r="G72" s="57" t="n"/>
    </row>
    <row r="73" ht="15.75" customHeight="1" s="94">
      <c r="A73" s="57" t="n"/>
      <c r="B73" s="57" t="n"/>
      <c r="C73" s="57" t="n"/>
      <c r="D73" s="57" t="n"/>
      <c r="E73" s="57" t="n"/>
      <c r="F73" s="57" t="n"/>
      <c r="G73" s="57" t="n"/>
    </row>
    <row r="74" ht="15.75" customHeight="1" s="94">
      <c r="A74" s="57" t="n"/>
      <c r="B74" s="57" t="n"/>
      <c r="C74" s="57" t="n"/>
      <c r="D74" s="57" t="n"/>
      <c r="E74" s="57" t="n"/>
      <c r="F74" s="57" t="n"/>
      <c r="G74" s="57" t="n"/>
    </row>
    <row r="75" ht="15.75" customHeight="1" s="94">
      <c r="A75" s="57" t="n"/>
      <c r="B75" s="57" t="n"/>
      <c r="C75" s="57" t="n"/>
      <c r="D75" s="57" t="n"/>
      <c r="E75" s="57" t="n"/>
      <c r="F75" s="57" t="n"/>
      <c r="G75" s="57" t="n"/>
    </row>
    <row r="76" ht="15.75" customHeight="1" s="94">
      <c r="A76" s="57" t="n"/>
      <c r="B76" s="57" t="n"/>
      <c r="C76" s="57" t="n"/>
      <c r="D76" s="57" t="n"/>
      <c r="E76" s="57" t="n"/>
      <c r="F76" s="57" t="n"/>
      <c r="G76" s="57" t="n"/>
    </row>
    <row r="77" ht="15.75" customHeight="1" s="94">
      <c r="A77" s="57" t="n"/>
      <c r="B77" s="57" t="n"/>
      <c r="C77" s="57" t="n"/>
      <c r="D77" s="57" t="n"/>
      <c r="E77" s="57" t="n"/>
      <c r="F77" s="57" t="n"/>
      <c r="G77" s="57" t="n"/>
    </row>
    <row r="78" ht="15.75" customHeight="1" s="94">
      <c r="A78" s="57" t="n"/>
      <c r="B78" s="57" t="n"/>
      <c r="C78" s="57" t="n"/>
      <c r="D78" s="57" t="n"/>
      <c r="E78" s="57" t="n"/>
      <c r="F78" s="57" t="n"/>
      <c r="G78" s="57" t="n"/>
    </row>
    <row r="79" ht="15.75" customHeight="1" s="94">
      <c r="A79" s="57" t="n"/>
      <c r="B79" s="57" t="n"/>
      <c r="C79" s="57" t="n"/>
      <c r="D79" s="57" t="n"/>
      <c r="E79" s="57" t="n"/>
      <c r="F79" s="57" t="n"/>
      <c r="G79" s="57" t="n"/>
    </row>
    <row r="80" ht="15.75" customHeight="1" s="94">
      <c r="A80" s="57" t="n"/>
      <c r="B80" s="57" t="n"/>
      <c r="C80" s="57" t="n"/>
      <c r="D80" s="57" t="n"/>
      <c r="E80" s="57" t="n"/>
      <c r="F80" s="57" t="n"/>
      <c r="G80" s="57" t="n"/>
    </row>
    <row r="81" ht="15.75" customHeight="1" s="94">
      <c r="A81" s="57" t="n"/>
      <c r="B81" s="57" t="n"/>
      <c r="C81" s="57" t="n"/>
      <c r="D81" s="57" t="n"/>
      <c r="E81" s="57" t="n"/>
      <c r="F81" s="57" t="n"/>
      <c r="G81" s="57" t="n"/>
    </row>
    <row r="82" ht="15.75" customHeight="1" s="94">
      <c r="A82" s="57" t="n"/>
      <c r="B82" s="57" t="n"/>
      <c r="C82" s="57" t="n"/>
      <c r="D82" s="57" t="n"/>
      <c r="E82" s="57" t="n"/>
      <c r="F82" s="57" t="n"/>
      <c r="G82" s="57" t="n"/>
    </row>
    <row r="83" ht="15.75" customHeight="1" s="94">
      <c r="A83" s="57" t="n"/>
      <c r="B83" s="57" t="n"/>
      <c r="C83" s="57" t="n"/>
      <c r="D83" s="57" t="n"/>
      <c r="E83" s="57" t="n"/>
      <c r="F83" s="57" t="n"/>
      <c r="G83" s="57" t="n"/>
    </row>
    <row r="84" ht="15.75" customHeight="1" s="94">
      <c r="A84" s="57" t="n"/>
      <c r="B84" s="57" t="n"/>
      <c r="C84" s="57" t="n"/>
      <c r="D84" s="57" t="n"/>
      <c r="E84" s="57" t="n"/>
      <c r="F84" s="57" t="n"/>
      <c r="G84" s="57" t="n"/>
    </row>
    <row r="85" ht="15.75" customHeight="1" s="94">
      <c r="A85" s="57" t="n"/>
      <c r="B85" s="57" t="n"/>
      <c r="C85" s="57" t="n"/>
      <c r="D85" s="57" t="n"/>
      <c r="E85" s="57" t="n"/>
      <c r="F85" s="57" t="n"/>
      <c r="G85" s="57" t="n"/>
    </row>
    <row r="86" ht="15.75" customHeight="1" s="94">
      <c r="A86" s="57" t="n"/>
      <c r="B86" s="57" t="n"/>
      <c r="C86" s="57" t="n"/>
      <c r="D86" s="57" t="n"/>
      <c r="E86" s="57" t="n"/>
      <c r="F86" s="57" t="n"/>
      <c r="G86" s="57" t="n"/>
    </row>
    <row r="87" ht="15.75" customHeight="1" s="94">
      <c r="A87" s="57" t="n"/>
      <c r="B87" s="57" t="n"/>
      <c r="C87" s="57" t="n"/>
      <c r="D87" s="57" t="n"/>
      <c r="E87" s="57" t="n"/>
      <c r="F87" s="57" t="n"/>
      <c r="G87" s="57" t="n"/>
    </row>
    <row r="88" ht="15.75" customHeight="1" s="94">
      <c r="A88" s="57" t="n"/>
      <c r="B88" s="57" t="n"/>
      <c r="C88" s="57" t="n"/>
      <c r="D88" s="57" t="n"/>
      <c r="E88" s="57" t="n"/>
      <c r="F88" s="57" t="n"/>
      <c r="G88" s="57" t="n"/>
    </row>
    <row r="89" ht="15.75" customHeight="1" s="94">
      <c r="A89" s="57" t="n"/>
      <c r="B89" s="57" t="n"/>
      <c r="C89" s="57" t="n"/>
      <c r="D89" s="57" t="n"/>
      <c r="E89" s="57" t="n"/>
      <c r="F89" s="57" t="n"/>
      <c r="G89" s="57" t="n"/>
    </row>
    <row r="90" ht="15.75" customHeight="1" s="94">
      <c r="A90" s="57" t="n"/>
      <c r="B90" s="57" t="n"/>
      <c r="C90" s="57" t="n"/>
      <c r="D90" s="57" t="n"/>
      <c r="E90" s="57" t="n"/>
      <c r="F90" s="57" t="n"/>
      <c r="G90" s="57" t="n"/>
    </row>
    <row r="91" ht="15.75" customHeight="1" s="94">
      <c r="A91" s="57" t="n"/>
      <c r="B91" s="57" t="n"/>
      <c r="C91" s="57" t="n"/>
      <c r="D91" s="57" t="n"/>
      <c r="E91" s="57" t="n"/>
      <c r="F91" s="57" t="n"/>
      <c r="G91" s="57" t="n"/>
    </row>
    <row r="92" ht="15.75" customHeight="1" s="94">
      <c r="A92" s="57" t="n"/>
      <c r="B92" s="57" t="n"/>
      <c r="C92" s="57" t="n"/>
      <c r="D92" s="57" t="n"/>
      <c r="E92" s="57" t="n"/>
      <c r="F92" s="57" t="n"/>
      <c r="G92" s="57" t="n"/>
    </row>
    <row r="93" ht="15.75" customHeight="1" s="94">
      <c r="A93" s="57" t="n"/>
      <c r="B93" s="57" t="n"/>
      <c r="C93" s="57" t="n"/>
      <c r="D93" s="57" t="n"/>
      <c r="E93" s="57" t="n"/>
      <c r="F93" s="57" t="n"/>
      <c r="G93" s="57" t="n"/>
    </row>
    <row r="94" ht="15.75" customHeight="1" s="94">
      <c r="A94" s="57" t="n"/>
      <c r="B94" s="57" t="n"/>
      <c r="C94" s="57" t="n"/>
      <c r="D94" s="57" t="n"/>
      <c r="E94" s="57" t="n"/>
      <c r="F94" s="57" t="n"/>
      <c r="G94" s="57" t="n"/>
    </row>
    <row r="95" ht="15.75" customHeight="1" s="94">
      <c r="A95" s="57" t="n"/>
      <c r="B95" s="57" t="n"/>
      <c r="C95" s="57" t="n"/>
      <c r="D95" s="57" t="n"/>
      <c r="E95" s="57" t="n"/>
      <c r="F95" s="57" t="n"/>
      <c r="G95" s="57" t="n"/>
    </row>
    <row r="96" ht="15.75" customHeight="1" s="94">
      <c r="A96" s="57" t="n"/>
      <c r="B96" s="57" t="n"/>
      <c r="C96" s="57" t="n"/>
      <c r="D96" s="57" t="n"/>
      <c r="E96" s="57" t="n"/>
      <c r="F96" s="57" t="n"/>
      <c r="G96" s="57" t="n"/>
    </row>
    <row r="97" ht="15.75" customHeight="1" s="94">
      <c r="A97" s="57" t="n"/>
      <c r="B97" s="57" t="n"/>
      <c r="C97" s="57" t="n"/>
      <c r="D97" s="57" t="n"/>
      <c r="E97" s="57" t="n"/>
      <c r="F97" s="57" t="n"/>
      <c r="G97" s="57" t="n"/>
    </row>
    <row r="98" ht="15.75" customHeight="1" s="94">
      <c r="A98" s="57" t="n"/>
      <c r="B98" s="57" t="n"/>
      <c r="C98" s="57" t="n"/>
      <c r="D98" s="57" t="n"/>
      <c r="E98" s="57" t="n"/>
      <c r="F98" s="57" t="n"/>
      <c r="G98" s="57" t="n"/>
    </row>
    <row r="99" ht="15.75" customHeight="1" s="94">
      <c r="A99" s="57" t="n"/>
      <c r="B99" s="57" t="n"/>
      <c r="C99" s="57" t="n"/>
      <c r="D99" s="57" t="n"/>
      <c r="E99" s="57" t="n"/>
      <c r="F99" s="57" t="n"/>
      <c r="G99" s="57" t="n"/>
    </row>
    <row r="100" ht="15.75" customHeight="1" s="94">
      <c r="A100" s="57" t="n"/>
      <c r="B100" s="57" t="n"/>
      <c r="C100" s="57" t="n"/>
      <c r="D100" s="57" t="n"/>
      <c r="E100" s="57" t="n"/>
      <c r="F100" s="57" t="n"/>
      <c r="G100" s="57" t="n"/>
    </row>
    <row r="101" ht="15.75" customHeight="1" s="94">
      <c r="A101" s="57" t="n"/>
      <c r="B101" s="57" t="n"/>
      <c r="C101" s="57" t="n"/>
      <c r="D101" s="57" t="n"/>
      <c r="E101" s="57" t="n"/>
      <c r="F101" s="57" t="n"/>
      <c r="G101" s="57" t="n"/>
    </row>
    <row r="102" ht="15.75" customHeight="1" s="94">
      <c r="A102" s="57" t="n"/>
      <c r="B102" s="57" t="n"/>
      <c r="C102" s="57" t="n"/>
      <c r="D102" s="57" t="n"/>
      <c r="E102" s="57" t="n"/>
      <c r="F102" s="57" t="n"/>
      <c r="G102" s="57" t="n"/>
    </row>
    <row r="103" ht="15.75" customHeight="1" s="94">
      <c r="A103" s="57" t="n"/>
      <c r="B103" s="57" t="n"/>
      <c r="C103" s="57" t="n"/>
      <c r="D103" s="57" t="n"/>
      <c r="E103" s="57" t="n"/>
      <c r="F103" s="57" t="n"/>
      <c r="G103" s="57" t="n"/>
    </row>
    <row r="104" ht="15.75" customHeight="1" s="94">
      <c r="A104" s="57" t="n"/>
      <c r="B104" s="57" t="n"/>
      <c r="C104" s="57" t="n"/>
      <c r="D104" s="57" t="n"/>
      <c r="E104" s="57" t="n"/>
      <c r="F104" s="57" t="n"/>
      <c r="G104" s="57" t="n"/>
    </row>
    <row r="105" ht="15.75" customHeight="1" s="94">
      <c r="A105" s="57" t="n"/>
      <c r="B105" s="57" t="n"/>
      <c r="C105" s="57" t="n"/>
      <c r="D105" s="57" t="n"/>
      <c r="E105" s="57" t="n"/>
      <c r="F105" s="57" t="n"/>
      <c r="G105" s="57" t="n"/>
    </row>
    <row r="106" ht="15.75" customHeight="1" s="94">
      <c r="A106" s="57" t="n"/>
      <c r="B106" s="57" t="n"/>
      <c r="C106" s="57" t="n"/>
      <c r="D106" s="57" t="n"/>
      <c r="E106" s="57" t="n"/>
      <c r="F106" s="57" t="n"/>
      <c r="G106" s="57" t="n"/>
    </row>
    <row r="107" ht="15.75" customHeight="1" s="94">
      <c r="A107" s="57" t="n"/>
      <c r="B107" s="57" t="n"/>
      <c r="C107" s="57" t="n"/>
      <c r="D107" s="57" t="n"/>
      <c r="E107" s="57" t="n"/>
      <c r="F107" s="57" t="n"/>
      <c r="G107" s="57" t="n"/>
    </row>
    <row r="108" ht="15.75" customHeight="1" s="94">
      <c r="A108" s="57" t="n"/>
      <c r="B108" s="57" t="n"/>
      <c r="C108" s="57" t="n"/>
      <c r="D108" s="57" t="n"/>
      <c r="E108" s="57" t="n"/>
      <c r="F108" s="57" t="n"/>
      <c r="G108" s="57" t="n"/>
    </row>
    <row r="109" ht="15.75" customHeight="1" s="94">
      <c r="A109" s="57" t="n"/>
      <c r="B109" s="57" t="n"/>
      <c r="C109" s="57" t="n"/>
      <c r="D109" s="57" t="n"/>
      <c r="E109" s="57" t="n"/>
      <c r="F109" s="57" t="n"/>
      <c r="G109" s="57" t="n"/>
    </row>
    <row r="110" ht="15.75" customHeight="1" s="94">
      <c r="A110" s="57" t="n"/>
      <c r="B110" s="57" t="n"/>
      <c r="C110" s="57" t="n"/>
      <c r="D110" s="57" t="n"/>
      <c r="E110" s="57" t="n"/>
      <c r="F110" s="57" t="n"/>
      <c r="G110" s="57" t="n"/>
    </row>
    <row r="111" ht="15.75" customHeight="1" s="94">
      <c r="A111" s="57" t="n"/>
      <c r="B111" s="57" t="n"/>
      <c r="C111" s="57" t="n"/>
      <c r="D111" s="57" t="n"/>
      <c r="E111" s="57" t="n"/>
      <c r="F111" s="57" t="n"/>
      <c r="G111" s="57" t="n"/>
    </row>
    <row r="112" ht="15.75" customHeight="1" s="94">
      <c r="A112" s="57" t="n"/>
      <c r="B112" s="57" t="n"/>
      <c r="C112" s="57" t="n"/>
      <c r="D112" s="57" t="n"/>
      <c r="E112" s="57" t="n"/>
      <c r="F112" s="57" t="n"/>
      <c r="G112" s="57" t="n"/>
    </row>
    <row r="113" ht="15.75" customHeight="1" s="94">
      <c r="A113" s="57" t="n"/>
      <c r="B113" s="57" t="n"/>
      <c r="C113" s="57" t="n"/>
      <c r="D113" s="57" t="n"/>
      <c r="E113" s="57" t="n"/>
      <c r="F113" s="57" t="n"/>
      <c r="G113" s="57" t="n"/>
    </row>
    <row r="114" ht="15.75" customHeight="1" s="94">
      <c r="A114" s="57" t="n"/>
      <c r="B114" s="57" t="n"/>
      <c r="C114" s="57" t="n"/>
      <c r="D114" s="57" t="n"/>
      <c r="E114" s="57" t="n"/>
      <c r="F114" s="57" t="n"/>
      <c r="G114" s="57" t="n"/>
    </row>
    <row r="115" ht="15.75" customHeight="1" s="94">
      <c r="A115" s="57" t="n"/>
      <c r="B115" s="57" t="n"/>
      <c r="C115" s="57" t="n"/>
      <c r="D115" s="57" t="n"/>
      <c r="E115" s="57" t="n"/>
      <c r="F115" s="57" t="n"/>
      <c r="G115" s="57" t="n"/>
    </row>
    <row r="116" ht="15.75" customHeight="1" s="94">
      <c r="A116" s="57" t="n"/>
      <c r="B116" s="57" t="n"/>
      <c r="C116" s="57" t="n"/>
      <c r="D116" s="57" t="n"/>
      <c r="E116" s="57" t="n"/>
      <c r="F116" s="57" t="n"/>
      <c r="G116" s="57" t="n"/>
    </row>
    <row r="117" ht="15.75" customHeight="1" s="94">
      <c r="A117" s="57" t="n"/>
      <c r="B117" s="57" t="n"/>
      <c r="C117" s="57" t="n"/>
      <c r="D117" s="57" t="n"/>
      <c r="E117" s="57" t="n"/>
      <c r="F117" s="57" t="n"/>
      <c r="G117" s="57" t="n"/>
    </row>
    <row r="118" ht="15.75" customHeight="1" s="94">
      <c r="A118" s="57" t="n"/>
      <c r="B118" s="57" t="n"/>
      <c r="C118" s="57" t="n"/>
      <c r="D118" s="57" t="n"/>
      <c r="E118" s="57" t="n"/>
      <c r="F118" s="57" t="n"/>
      <c r="G118" s="57" t="n"/>
    </row>
    <row r="119" ht="15.75" customHeight="1" s="94">
      <c r="A119" s="57" t="n"/>
      <c r="B119" s="57" t="n"/>
      <c r="C119" s="57" t="n"/>
      <c r="D119" s="57" t="n"/>
      <c r="E119" s="57" t="n"/>
      <c r="F119" s="57" t="n"/>
      <c r="G119" s="57" t="n"/>
    </row>
    <row r="120" ht="15.75" customHeight="1" s="94">
      <c r="A120" s="57" t="n"/>
      <c r="B120" s="57" t="n"/>
      <c r="C120" s="57" t="n"/>
      <c r="D120" s="57" t="n"/>
      <c r="E120" s="57" t="n"/>
      <c r="F120" s="57" t="n"/>
      <c r="G120" s="57" t="n"/>
    </row>
    <row r="121" ht="15.75" customHeight="1" s="94">
      <c r="A121" s="57" t="n"/>
      <c r="B121" s="57" t="n"/>
      <c r="C121" s="57" t="n"/>
      <c r="D121" s="57" t="n"/>
      <c r="E121" s="57" t="n"/>
      <c r="F121" s="57" t="n"/>
      <c r="G121" s="57" t="n"/>
    </row>
    <row r="122" ht="15.75" customHeight="1" s="94">
      <c r="A122" s="57" t="n"/>
      <c r="B122" s="57" t="n"/>
      <c r="C122" s="57" t="n"/>
      <c r="D122" s="57" t="n"/>
      <c r="E122" s="57" t="n"/>
      <c r="F122" s="57" t="n"/>
      <c r="G122" s="57" t="n"/>
    </row>
    <row r="123" ht="15.75" customHeight="1" s="94">
      <c r="A123" s="57" t="n"/>
      <c r="B123" s="57" t="n"/>
      <c r="C123" s="57" t="n"/>
      <c r="D123" s="57" t="n"/>
      <c r="E123" s="57" t="n"/>
      <c r="F123" s="57" t="n"/>
      <c r="G123" s="57" t="n"/>
    </row>
    <row r="124" ht="15.75" customHeight="1" s="94">
      <c r="A124" s="57" t="n"/>
      <c r="B124" s="57" t="n"/>
      <c r="C124" s="57" t="n"/>
      <c r="D124" s="57" t="n"/>
      <c r="E124" s="57" t="n"/>
      <c r="F124" s="57" t="n"/>
      <c r="G124" s="57" t="n"/>
    </row>
    <row r="125" ht="15.75" customHeight="1" s="94">
      <c r="A125" s="57" t="n"/>
      <c r="B125" s="57" t="n"/>
      <c r="C125" s="57" t="n"/>
      <c r="D125" s="57" t="n"/>
      <c r="E125" s="57" t="n"/>
      <c r="F125" s="57" t="n"/>
      <c r="G125" s="57" t="n"/>
    </row>
    <row r="126" ht="15.75" customHeight="1" s="94">
      <c r="A126" s="57" t="n"/>
      <c r="B126" s="57" t="n"/>
      <c r="C126" s="57" t="n"/>
      <c r="D126" s="57" t="n"/>
      <c r="E126" s="57" t="n"/>
      <c r="F126" s="57" t="n"/>
      <c r="G126" s="57" t="n"/>
    </row>
    <row r="127" ht="15.75" customHeight="1" s="94">
      <c r="A127" s="57" t="n"/>
      <c r="B127" s="57" t="n"/>
      <c r="C127" s="57" t="n"/>
      <c r="D127" s="57" t="n"/>
      <c r="E127" s="57" t="n"/>
      <c r="F127" s="57" t="n"/>
      <c r="G127" s="57" t="n"/>
    </row>
    <row r="128" ht="15.75" customHeight="1" s="94">
      <c r="A128" s="57" t="n"/>
      <c r="B128" s="57" t="n"/>
      <c r="C128" s="57" t="n"/>
      <c r="D128" s="57" t="n"/>
      <c r="E128" s="57" t="n"/>
      <c r="F128" s="57" t="n"/>
      <c r="G128" s="57" t="n"/>
    </row>
    <row r="129" ht="15.75" customHeight="1" s="94">
      <c r="A129" s="57" t="n"/>
      <c r="B129" s="57" t="n"/>
      <c r="C129" s="57" t="n"/>
      <c r="D129" s="57" t="n"/>
      <c r="E129" s="57" t="n"/>
      <c r="F129" s="57" t="n"/>
      <c r="G129" s="57" t="n"/>
    </row>
    <row r="130" ht="15.75" customHeight="1" s="94">
      <c r="A130" s="57" t="n"/>
      <c r="B130" s="57" t="n"/>
      <c r="C130" s="57" t="n"/>
      <c r="D130" s="57" t="n"/>
      <c r="E130" s="57" t="n"/>
      <c r="F130" s="57" t="n"/>
      <c r="G130" s="57" t="n"/>
    </row>
    <row r="131" ht="15.75" customHeight="1" s="94">
      <c r="A131" s="57" t="n"/>
      <c r="B131" s="57" t="n"/>
      <c r="C131" s="57" t="n"/>
      <c r="D131" s="57" t="n"/>
      <c r="E131" s="57" t="n"/>
      <c r="F131" s="57" t="n"/>
      <c r="G131" s="57" t="n"/>
    </row>
    <row r="132" ht="15.75" customHeight="1" s="94">
      <c r="A132" s="57" t="n"/>
      <c r="B132" s="57" t="n"/>
      <c r="C132" s="57" t="n"/>
      <c r="D132" s="57" t="n"/>
      <c r="E132" s="57" t="n"/>
      <c r="F132" s="57" t="n"/>
      <c r="G132" s="57" t="n"/>
    </row>
    <row r="133" ht="15.75" customHeight="1" s="94">
      <c r="A133" s="57" t="n"/>
      <c r="B133" s="57" t="n"/>
      <c r="C133" s="57" t="n"/>
      <c r="D133" s="57" t="n"/>
      <c r="E133" s="57" t="n"/>
      <c r="F133" s="57" t="n"/>
      <c r="G133" s="57" t="n"/>
    </row>
    <row r="134" ht="15.75" customHeight="1" s="94">
      <c r="A134" s="57" t="n"/>
      <c r="B134" s="57" t="n"/>
      <c r="C134" s="57" t="n"/>
      <c r="D134" s="57" t="n"/>
      <c r="E134" s="57" t="n"/>
      <c r="F134" s="57" t="n"/>
      <c r="G134" s="57" t="n"/>
    </row>
    <row r="135" ht="15.75" customHeight="1" s="94">
      <c r="A135" s="57" t="n"/>
      <c r="B135" s="57" t="n"/>
      <c r="C135" s="57" t="n"/>
      <c r="D135" s="57" t="n"/>
      <c r="E135" s="57" t="n"/>
      <c r="F135" s="57" t="n"/>
      <c r="G135" s="57" t="n"/>
    </row>
    <row r="136" ht="15.75" customHeight="1" s="94">
      <c r="A136" s="57" t="n"/>
      <c r="B136" s="57" t="n"/>
      <c r="C136" s="57" t="n"/>
      <c r="D136" s="57" t="n"/>
      <c r="E136" s="57" t="n"/>
      <c r="F136" s="57" t="n"/>
      <c r="G136" s="57" t="n"/>
    </row>
    <row r="137" ht="15.75" customHeight="1" s="94">
      <c r="A137" s="57" t="n"/>
      <c r="B137" s="57" t="n"/>
      <c r="C137" s="57" t="n"/>
      <c r="D137" s="57" t="n"/>
      <c r="E137" s="57" t="n"/>
      <c r="F137" s="57" t="n"/>
      <c r="G137" s="57" t="n"/>
    </row>
    <row r="138" ht="15.75" customHeight="1" s="94">
      <c r="A138" s="57" t="n"/>
      <c r="B138" s="57" t="n"/>
      <c r="C138" s="57" t="n"/>
      <c r="D138" s="57" t="n"/>
      <c r="E138" s="57" t="n"/>
      <c r="F138" s="57" t="n"/>
      <c r="G138" s="57" t="n"/>
    </row>
    <row r="139" ht="15.75" customHeight="1" s="94">
      <c r="A139" s="57" t="n"/>
      <c r="B139" s="57" t="n"/>
      <c r="C139" s="57" t="n"/>
      <c r="D139" s="57" t="n"/>
      <c r="E139" s="57" t="n"/>
      <c r="F139" s="57" t="n"/>
      <c r="G139" s="57" t="n"/>
    </row>
    <row r="140" ht="15.75" customHeight="1" s="94">
      <c r="A140" s="57" t="n"/>
      <c r="B140" s="57" t="n"/>
      <c r="C140" s="57" t="n"/>
      <c r="D140" s="57" t="n"/>
      <c r="E140" s="57" t="n"/>
      <c r="F140" s="57" t="n"/>
      <c r="G140" s="57" t="n"/>
    </row>
    <row r="141" ht="15.75" customHeight="1" s="94">
      <c r="A141" s="57" t="n"/>
      <c r="B141" s="57" t="n"/>
      <c r="C141" s="57" t="n"/>
      <c r="D141" s="57" t="n"/>
      <c r="E141" s="57" t="n"/>
      <c r="F141" s="57" t="n"/>
      <c r="G141" s="57" t="n"/>
    </row>
    <row r="142" ht="15.75" customHeight="1" s="94">
      <c r="A142" s="57" t="n"/>
      <c r="B142" s="57" t="n"/>
      <c r="C142" s="57" t="n"/>
      <c r="D142" s="57" t="n"/>
      <c r="E142" s="57" t="n"/>
      <c r="F142" s="57" t="n"/>
      <c r="G142" s="57" t="n"/>
    </row>
    <row r="143" ht="15.75" customHeight="1" s="94">
      <c r="A143" s="57" t="n"/>
      <c r="B143" s="57" t="n"/>
      <c r="C143" s="57" t="n"/>
      <c r="D143" s="57" t="n"/>
      <c r="E143" s="57" t="n"/>
      <c r="F143" s="57" t="n"/>
      <c r="G143" s="57" t="n"/>
    </row>
    <row r="144" ht="15.75" customHeight="1" s="94">
      <c r="A144" s="57" t="n"/>
      <c r="B144" s="57" t="n"/>
      <c r="C144" s="57" t="n"/>
      <c r="D144" s="57" t="n"/>
      <c r="E144" s="57" t="n"/>
      <c r="F144" s="57" t="n"/>
      <c r="G144" s="57" t="n"/>
    </row>
    <row r="145" ht="15.75" customHeight="1" s="94">
      <c r="A145" s="57" t="n"/>
      <c r="B145" s="57" t="n"/>
      <c r="C145" s="57" t="n"/>
      <c r="D145" s="57" t="n"/>
      <c r="E145" s="57" t="n"/>
      <c r="F145" s="57" t="n"/>
      <c r="G145" s="57" t="n"/>
    </row>
    <row r="146" ht="15.75" customHeight="1" s="94">
      <c r="A146" s="57" t="n"/>
      <c r="B146" s="57" t="n"/>
      <c r="C146" s="57" t="n"/>
      <c r="D146" s="57" t="n"/>
      <c r="E146" s="57" t="n"/>
      <c r="F146" s="57" t="n"/>
      <c r="G146" s="57" t="n"/>
    </row>
    <row r="147" ht="15.75" customHeight="1" s="94">
      <c r="A147" s="57" t="n"/>
      <c r="B147" s="57" t="n"/>
      <c r="C147" s="57" t="n"/>
      <c r="D147" s="57" t="n"/>
      <c r="E147" s="57" t="n"/>
      <c r="F147" s="57" t="n"/>
      <c r="G147" s="57" t="n"/>
    </row>
    <row r="148" ht="15.75" customHeight="1" s="94">
      <c r="A148" s="57" t="n"/>
      <c r="B148" s="57" t="n"/>
      <c r="C148" s="57" t="n"/>
      <c r="D148" s="57" t="n"/>
      <c r="E148" s="57" t="n"/>
      <c r="F148" s="57" t="n"/>
      <c r="G148" s="57" t="n"/>
    </row>
    <row r="149" ht="15.75" customHeight="1" s="94">
      <c r="A149" s="57" t="n"/>
      <c r="B149" s="57" t="n"/>
      <c r="C149" s="57" t="n"/>
      <c r="D149" s="57" t="n"/>
      <c r="E149" s="57" t="n"/>
      <c r="F149" s="57" t="n"/>
      <c r="G149" s="57" t="n"/>
    </row>
    <row r="150" ht="15.75" customHeight="1" s="94">
      <c r="A150" s="57" t="n"/>
      <c r="B150" s="57" t="n"/>
      <c r="C150" s="57" t="n"/>
      <c r="D150" s="57" t="n"/>
      <c r="E150" s="57" t="n"/>
      <c r="F150" s="57" t="n"/>
      <c r="G150" s="57" t="n"/>
    </row>
    <row r="151" ht="15.75" customHeight="1" s="94">
      <c r="A151" s="57" t="n"/>
      <c r="B151" s="57" t="n"/>
      <c r="C151" s="57" t="n"/>
      <c r="D151" s="57" t="n"/>
      <c r="E151" s="57" t="n"/>
      <c r="F151" s="57" t="n"/>
      <c r="G151" s="57" t="n"/>
    </row>
    <row r="152" ht="15.75" customHeight="1" s="94">
      <c r="A152" s="57" t="n"/>
      <c r="B152" s="57" t="n"/>
      <c r="C152" s="57" t="n"/>
      <c r="D152" s="57" t="n"/>
      <c r="E152" s="57" t="n"/>
      <c r="F152" s="57" t="n"/>
      <c r="G152" s="57" t="n"/>
    </row>
    <row r="153" ht="15.75" customHeight="1" s="94">
      <c r="A153" s="57" t="n"/>
      <c r="B153" s="57" t="n"/>
      <c r="C153" s="57" t="n"/>
      <c r="D153" s="57" t="n"/>
      <c r="E153" s="57" t="n"/>
      <c r="F153" s="57" t="n"/>
      <c r="G153" s="57" t="n"/>
    </row>
    <row r="154" ht="15.75" customHeight="1" s="94">
      <c r="A154" s="57" t="n"/>
      <c r="B154" s="57" t="n"/>
      <c r="C154" s="57" t="n"/>
      <c r="D154" s="57" t="n"/>
      <c r="E154" s="57" t="n"/>
      <c r="F154" s="57" t="n"/>
      <c r="G154" s="57" t="n"/>
    </row>
    <row r="155" ht="15.75" customHeight="1" s="94">
      <c r="A155" s="57" t="n"/>
      <c r="B155" s="57" t="n"/>
      <c r="C155" s="57" t="n"/>
      <c r="D155" s="57" t="n"/>
      <c r="E155" s="57" t="n"/>
      <c r="F155" s="57" t="n"/>
      <c r="G155" s="57" t="n"/>
    </row>
    <row r="156" ht="15.75" customHeight="1" s="94">
      <c r="A156" s="57" t="n"/>
      <c r="B156" s="57" t="n"/>
      <c r="C156" s="57" t="n"/>
      <c r="D156" s="57" t="n"/>
      <c r="E156" s="57" t="n"/>
      <c r="F156" s="57" t="n"/>
      <c r="G156" s="57" t="n"/>
    </row>
    <row r="157" ht="15.75" customHeight="1" s="94">
      <c r="A157" s="57" t="n"/>
      <c r="B157" s="57" t="n"/>
      <c r="C157" s="57" t="n"/>
      <c r="D157" s="57" t="n"/>
      <c r="E157" s="57" t="n"/>
      <c r="F157" s="57" t="n"/>
      <c r="G157" s="57" t="n"/>
    </row>
    <row r="158" ht="15.75" customHeight="1" s="94">
      <c r="A158" s="57" t="n"/>
      <c r="B158" s="57" t="n"/>
      <c r="C158" s="57" t="n"/>
      <c r="D158" s="57" t="n"/>
      <c r="E158" s="57" t="n"/>
      <c r="F158" s="57" t="n"/>
      <c r="G158" s="57" t="n"/>
    </row>
    <row r="159" ht="15.75" customHeight="1" s="94">
      <c r="A159" s="57" t="n"/>
      <c r="B159" s="57" t="n"/>
      <c r="C159" s="57" t="n"/>
      <c r="D159" s="57" t="n"/>
      <c r="E159" s="57" t="n"/>
      <c r="F159" s="57" t="n"/>
      <c r="G159" s="57" t="n"/>
    </row>
    <row r="160" ht="15.75" customHeight="1" s="94">
      <c r="A160" s="57" t="n"/>
      <c r="B160" s="57" t="n"/>
      <c r="C160" s="57" t="n"/>
      <c r="D160" s="57" t="n"/>
      <c r="E160" s="57" t="n"/>
      <c r="F160" s="57" t="n"/>
      <c r="G160" s="57" t="n"/>
    </row>
    <row r="161" ht="15.75" customHeight="1" s="94">
      <c r="A161" s="57" t="n"/>
      <c r="B161" s="57" t="n"/>
      <c r="C161" s="57" t="n"/>
      <c r="D161" s="57" t="n"/>
      <c r="E161" s="57" t="n"/>
      <c r="F161" s="57" t="n"/>
      <c r="G161" s="57" t="n"/>
    </row>
    <row r="162" ht="15.75" customHeight="1" s="94">
      <c r="A162" s="57" t="n"/>
      <c r="B162" s="57" t="n"/>
      <c r="C162" s="57" t="n"/>
      <c r="D162" s="57" t="n"/>
      <c r="E162" s="57" t="n"/>
      <c r="F162" s="57" t="n"/>
      <c r="G162" s="57" t="n"/>
    </row>
    <row r="163" ht="15.75" customHeight="1" s="94">
      <c r="A163" s="57" t="n"/>
      <c r="B163" s="57" t="n"/>
      <c r="C163" s="57" t="n"/>
      <c r="D163" s="57" t="n"/>
      <c r="E163" s="57" t="n"/>
      <c r="F163" s="57" t="n"/>
      <c r="G163" s="57" t="n"/>
    </row>
    <row r="164" ht="15.75" customHeight="1" s="94">
      <c r="A164" s="57" t="n"/>
      <c r="B164" s="57" t="n"/>
      <c r="C164" s="57" t="n"/>
      <c r="D164" s="57" t="n"/>
      <c r="E164" s="57" t="n"/>
      <c r="F164" s="57" t="n"/>
      <c r="G164" s="57" t="n"/>
    </row>
    <row r="165" ht="15.75" customHeight="1" s="94">
      <c r="A165" s="57" t="n"/>
      <c r="B165" s="57" t="n"/>
      <c r="C165" s="57" t="n"/>
      <c r="D165" s="57" t="n"/>
      <c r="E165" s="57" t="n"/>
      <c r="F165" s="57" t="n"/>
      <c r="G165" s="57" t="n"/>
    </row>
    <row r="166" ht="15.75" customHeight="1" s="94">
      <c r="A166" s="57" t="n"/>
      <c r="B166" s="57" t="n"/>
      <c r="C166" s="57" t="n"/>
      <c r="D166" s="57" t="n"/>
      <c r="E166" s="57" t="n"/>
      <c r="F166" s="57" t="n"/>
      <c r="G166" s="57" t="n"/>
    </row>
    <row r="167" ht="15.75" customHeight="1" s="94">
      <c r="A167" s="57" t="n"/>
      <c r="B167" s="57" t="n"/>
      <c r="C167" s="57" t="n"/>
      <c r="D167" s="57" t="n"/>
      <c r="E167" s="57" t="n"/>
      <c r="F167" s="57" t="n"/>
      <c r="G167" s="57" t="n"/>
    </row>
    <row r="168" ht="15.75" customHeight="1" s="94">
      <c r="A168" s="57" t="n"/>
      <c r="B168" s="57" t="n"/>
      <c r="C168" s="57" t="n"/>
      <c r="D168" s="57" t="n"/>
      <c r="E168" s="57" t="n"/>
      <c r="F168" s="57" t="n"/>
      <c r="G168" s="57" t="n"/>
    </row>
    <row r="169" ht="15.75" customHeight="1" s="94">
      <c r="A169" s="57" t="n"/>
      <c r="B169" s="57" t="n"/>
      <c r="C169" s="57" t="n"/>
      <c r="D169" s="57" t="n"/>
      <c r="E169" s="57" t="n"/>
      <c r="F169" s="57" t="n"/>
      <c r="G169" s="57" t="n"/>
    </row>
    <row r="170" ht="15.75" customHeight="1" s="94">
      <c r="A170" s="57" t="n"/>
      <c r="B170" s="57" t="n"/>
      <c r="C170" s="57" t="n"/>
      <c r="D170" s="57" t="n"/>
      <c r="E170" s="57" t="n"/>
      <c r="F170" s="57" t="n"/>
      <c r="G170" s="57" t="n"/>
    </row>
    <row r="171" ht="15.75" customHeight="1" s="94">
      <c r="A171" s="57" t="n"/>
      <c r="B171" s="57" t="n"/>
      <c r="C171" s="57" t="n"/>
      <c r="D171" s="57" t="n"/>
      <c r="E171" s="57" t="n"/>
      <c r="F171" s="57" t="n"/>
      <c r="G171" s="57" t="n"/>
    </row>
    <row r="172" ht="15.75" customHeight="1" s="94">
      <c r="A172" s="57" t="n"/>
      <c r="B172" s="57" t="n"/>
      <c r="C172" s="57" t="n"/>
      <c r="D172" s="57" t="n"/>
      <c r="E172" s="57" t="n"/>
      <c r="F172" s="57" t="n"/>
      <c r="G172" s="57" t="n"/>
    </row>
    <row r="173" ht="15.75" customHeight="1" s="94">
      <c r="A173" s="57" t="n"/>
      <c r="B173" s="57" t="n"/>
      <c r="C173" s="57" t="n"/>
      <c r="D173" s="57" t="n"/>
      <c r="E173" s="57" t="n"/>
      <c r="F173" s="57" t="n"/>
      <c r="G173" s="57" t="n"/>
    </row>
    <row r="174" ht="15.75" customHeight="1" s="94">
      <c r="A174" s="57" t="n"/>
      <c r="B174" s="57" t="n"/>
      <c r="C174" s="57" t="n"/>
      <c r="D174" s="57" t="n"/>
      <c r="E174" s="57" t="n"/>
      <c r="F174" s="57" t="n"/>
      <c r="G174" s="57" t="n"/>
    </row>
    <row r="175" ht="15.75" customHeight="1" s="94">
      <c r="A175" s="57" t="n"/>
      <c r="B175" s="57" t="n"/>
      <c r="C175" s="57" t="n"/>
      <c r="D175" s="57" t="n"/>
      <c r="E175" s="57" t="n"/>
      <c r="F175" s="57" t="n"/>
      <c r="G175" s="57" t="n"/>
    </row>
    <row r="176" ht="15.75" customHeight="1" s="94">
      <c r="A176" s="57" t="n"/>
      <c r="B176" s="57" t="n"/>
      <c r="C176" s="57" t="n"/>
      <c r="D176" s="57" t="n"/>
      <c r="E176" s="57" t="n"/>
      <c r="F176" s="57" t="n"/>
      <c r="G176" s="57" t="n"/>
    </row>
    <row r="177" ht="15.75" customHeight="1" s="94">
      <c r="A177" s="57" t="n"/>
      <c r="B177" s="57" t="n"/>
      <c r="C177" s="57" t="n"/>
      <c r="D177" s="57" t="n"/>
      <c r="E177" s="57" t="n"/>
      <c r="F177" s="57" t="n"/>
      <c r="G177" s="57" t="n"/>
    </row>
    <row r="178" ht="15.75" customHeight="1" s="94">
      <c r="A178" s="57" t="n"/>
      <c r="B178" s="57" t="n"/>
      <c r="C178" s="57" t="n"/>
      <c r="D178" s="57" t="n"/>
      <c r="E178" s="57" t="n"/>
      <c r="F178" s="57" t="n"/>
      <c r="G178" s="57" t="n"/>
    </row>
    <row r="179" ht="15.75" customHeight="1" s="94">
      <c r="A179" s="57" t="n"/>
      <c r="B179" s="57" t="n"/>
      <c r="C179" s="57" t="n"/>
      <c r="D179" s="57" t="n"/>
      <c r="E179" s="57" t="n"/>
      <c r="F179" s="57" t="n"/>
      <c r="G179" s="57" t="n"/>
    </row>
    <row r="180" ht="15.75" customHeight="1" s="94">
      <c r="A180" s="57" t="n"/>
      <c r="B180" s="57" t="n"/>
      <c r="C180" s="57" t="n"/>
      <c r="D180" s="57" t="n"/>
      <c r="E180" s="57" t="n"/>
      <c r="F180" s="57" t="n"/>
      <c r="G180" s="57" t="n"/>
    </row>
    <row r="181" ht="15.75" customHeight="1" s="94">
      <c r="A181" s="57" t="n"/>
      <c r="B181" s="57" t="n"/>
      <c r="C181" s="57" t="n"/>
      <c r="D181" s="57" t="n"/>
      <c r="E181" s="57" t="n"/>
      <c r="F181" s="57" t="n"/>
      <c r="G181" s="57" t="n"/>
    </row>
    <row r="182" ht="15.75" customHeight="1" s="94">
      <c r="A182" s="57" t="n"/>
      <c r="B182" s="57" t="n"/>
      <c r="C182" s="57" t="n"/>
      <c r="D182" s="57" t="n"/>
      <c r="E182" s="57" t="n"/>
      <c r="F182" s="57" t="n"/>
      <c r="G182" s="57" t="n"/>
    </row>
    <row r="183" ht="15.75" customHeight="1" s="94">
      <c r="A183" s="57" t="n"/>
      <c r="B183" s="57" t="n"/>
      <c r="C183" s="57" t="n"/>
      <c r="D183" s="57" t="n"/>
      <c r="E183" s="57" t="n"/>
      <c r="F183" s="57" t="n"/>
      <c r="G183" s="57" t="n"/>
    </row>
    <row r="184" ht="15.75" customHeight="1" s="94">
      <c r="A184" s="57" t="n"/>
      <c r="B184" s="57" t="n"/>
      <c r="C184" s="57" t="n"/>
      <c r="D184" s="57" t="n"/>
      <c r="E184" s="57" t="n"/>
      <c r="F184" s="57" t="n"/>
      <c r="G184" s="57" t="n"/>
    </row>
    <row r="185" ht="15.75" customHeight="1" s="94">
      <c r="A185" s="57" t="n"/>
      <c r="B185" s="57" t="n"/>
      <c r="C185" s="57" t="n"/>
      <c r="D185" s="57" t="n"/>
      <c r="E185" s="57" t="n"/>
      <c r="F185" s="57" t="n"/>
      <c r="G185" s="57" t="n"/>
    </row>
    <row r="186" ht="15.75" customHeight="1" s="94">
      <c r="A186" s="57" t="n"/>
      <c r="B186" s="57" t="n"/>
      <c r="C186" s="57" t="n"/>
      <c r="D186" s="57" t="n"/>
      <c r="E186" s="57" t="n"/>
      <c r="F186" s="57" t="n"/>
      <c r="G186" s="57" t="n"/>
    </row>
    <row r="187" ht="15.75" customHeight="1" s="94">
      <c r="A187" s="57" t="n"/>
      <c r="B187" s="57" t="n"/>
      <c r="C187" s="57" t="n"/>
      <c r="D187" s="57" t="n"/>
      <c r="E187" s="57" t="n"/>
      <c r="F187" s="57" t="n"/>
      <c r="G187" s="57" t="n"/>
    </row>
    <row r="188" ht="15.75" customHeight="1" s="94">
      <c r="A188" s="57" t="n"/>
      <c r="B188" s="57" t="n"/>
      <c r="C188" s="57" t="n"/>
      <c r="D188" s="57" t="n"/>
      <c r="E188" s="57" t="n"/>
      <c r="F188" s="57" t="n"/>
      <c r="G188" s="57" t="n"/>
    </row>
    <row r="189" ht="15.75" customHeight="1" s="94">
      <c r="A189" s="57" t="n"/>
      <c r="B189" s="57" t="n"/>
      <c r="C189" s="57" t="n"/>
      <c r="D189" s="57" t="n"/>
      <c r="E189" s="57" t="n"/>
      <c r="F189" s="57" t="n"/>
      <c r="G189" s="57" t="n"/>
    </row>
    <row r="190" ht="15.75" customHeight="1" s="94">
      <c r="A190" s="57" t="n"/>
      <c r="B190" s="57" t="n"/>
      <c r="C190" s="57" t="n"/>
      <c r="D190" s="57" t="n"/>
      <c r="E190" s="57" t="n"/>
      <c r="F190" s="57" t="n"/>
      <c r="G190" s="57" t="n"/>
    </row>
    <row r="191" ht="15.75" customHeight="1" s="94">
      <c r="A191" s="57" t="n"/>
      <c r="B191" s="57" t="n"/>
      <c r="C191" s="57" t="n"/>
      <c r="D191" s="57" t="n"/>
      <c r="E191" s="57" t="n"/>
      <c r="F191" s="57" t="n"/>
      <c r="G191" s="57" t="n"/>
    </row>
    <row r="192" ht="15.75" customHeight="1" s="94">
      <c r="A192" s="57" t="n"/>
      <c r="B192" s="57" t="n"/>
      <c r="C192" s="57" t="n"/>
      <c r="D192" s="57" t="n"/>
      <c r="E192" s="57" t="n"/>
      <c r="F192" s="57" t="n"/>
      <c r="G192" s="57" t="n"/>
    </row>
    <row r="193" ht="15.75" customHeight="1" s="94">
      <c r="A193" s="57" t="n"/>
      <c r="B193" s="57" t="n"/>
      <c r="C193" s="57" t="n"/>
      <c r="D193" s="57" t="n"/>
      <c r="E193" s="57" t="n"/>
      <c r="F193" s="57" t="n"/>
      <c r="G193" s="57" t="n"/>
    </row>
    <row r="194" ht="15.75" customHeight="1" s="94">
      <c r="A194" s="57" t="n"/>
      <c r="B194" s="57" t="n"/>
      <c r="C194" s="57" t="n"/>
      <c r="D194" s="57" t="n"/>
      <c r="E194" s="57" t="n"/>
      <c r="F194" s="57" t="n"/>
      <c r="G194" s="57" t="n"/>
    </row>
    <row r="195" ht="15.75" customHeight="1" s="94">
      <c r="A195" s="57" t="n"/>
      <c r="B195" s="57" t="n"/>
      <c r="C195" s="57" t="n"/>
      <c r="D195" s="57" t="n"/>
      <c r="E195" s="57" t="n"/>
      <c r="F195" s="57" t="n"/>
      <c r="G195" s="57" t="n"/>
    </row>
    <row r="196" ht="15.75" customHeight="1" s="94">
      <c r="A196" s="57" t="n"/>
      <c r="B196" s="57" t="n"/>
      <c r="C196" s="57" t="n"/>
      <c r="D196" s="57" t="n"/>
      <c r="E196" s="57" t="n"/>
      <c r="F196" s="57" t="n"/>
      <c r="G196" s="57" t="n"/>
    </row>
    <row r="197" ht="15.75" customHeight="1" s="94">
      <c r="A197" s="57" t="n"/>
      <c r="B197" s="57" t="n"/>
      <c r="C197" s="57" t="n"/>
      <c r="D197" s="57" t="n"/>
      <c r="E197" s="57" t="n"/>
      <c r="F197" s="57" t="n"/>
      <c r="G197" s="57" t="n"/>
    </row>
    <row r="198" ht="15.75" customHeight="1" s="94">
      <c r="A198" s="57" t="n"/>
      <c r="B198" s="57" t="n"/>
      <c r="C198" s="57" t="n"/>
      <c r="D198" s="57" t="n"/>
      <c r="E198" s="57" t="n"/>
      <c r="F198" s="57" t="n"/>
      <c r="G198" s="57" t="n"/>
    </row>
    <row r="199" ht="15.75" customHeight="1" s="94">
      <c r="A199" s="57" t="n"/>
      <c r="B199" s="57" t="n"/>
      <c r="C199" s="57" t="n"/>
      <c r="D199" s="57" t="n"/>
      <c r="E199" s="57" t="n"/>
      <c r="F199" s="57" t="n"/>
      <c r="G199" s="57" t="n"/>
    </row>
    <row r="200" ht="15.75" customHeight="1" s="94">
      <c r="A200" s="57" t="n"/>
      <c r="B200" s="57" t="n"/>
      <c r="C200" s="57" t="n"/>
      <c r="D200" s="57" t="n"/>
      <c r="E200" s="57" t="n"/>
      <c r="F200" s="57" t="n"/>
      <c r="G200" s="57" t="n"/>
    </row>
    <row r="201" ht="15.75" customHeight="1" s="94">
      <c r="A201" s="57" t="n"/>
      <c r="B201" s="57" t="n"/>
      <c r="C201" s="57" t="n"/>
      <c r="D201" s="57" t="n"/>
      <c r="E201" s="57" t="n"/>
      <c r="F201" s="57" t="n"/>
      <c r="G201" s="57" t="n"/>
    </row>
    <row r="202" ht="15.75" customHeight="1" s="94">
      <c r="A202" s="57" t="n"/>
      <c r="B202" s="57" t="n"/>
      <c r="C202" s="57" t="n"/>
      <c r="D202" s="57" t="n"/>
      <c r="E202" s="57" t="n"/>
      <c r="F202" s="57" t="n"/>
      <c r="G202" s="57" t="n"/>
    </row>
    <row r="203" ht="15.75" customHeight="1" s="94">
      <c r="A203" s="57" t="n"/>
      <c r="B203" s="57" t="n"/>
      <c r="C203" s="57" t="n"/>
      <c r="D203" s="57" t="n"/>
      <c r="E203" s="57" t="n"/>
      <c r="F203" s="57" t="n"/>
      <c r="G203" s="57" t="n"/>
    </row>
    <row r="204" ht="15.75" customHeight="1" s="94">
      <c r="A204" s="57" t="n"/>
      <c r="B204" s="57" t="n"/>
      <c r="C204" s="57" t="n"/>
      <c r="D204" s="57" t="n"/>
      <c r="E204" s="57" t="n"/>
      <c r="F204" s="57" t="n"/>
      <c r="G204" s="57" t="n"/>
    </row>
    <row r="205" ht="15.75" customHeight="1" s="94">
      <c r="A205" s="57" t="n"/>
      <c r="B205" s="57" t="n"/>
      <c r="C205" s="57" t="n"/>
      <c r="D205" s="57" t="n"/>
      <c r="E205" s="57" t="n"/>
      <c r="F205" s="57" t="n"/>
      <c r="G205" s="57" t="n"/>
    </row>
    <row r="206" ht="15.75" customHeight="1" s="94">
      <c r="A206" s="57" t="n"/>
      <c r="B206" s="57" t="n"/>
      <c r="C206" s="57" t="n"/>
      <c r="D206" s="57" t="n"/>
      <c r="E206" s="57" t="n"/>
      <c r="F206" s="57" t="n"/>
      <c r="G206" s="57" t="n"/>
    </row>
    <row r="207" ht="15.75" customHeight="1" s="94">
      <c r="A207" s="57" t="n"/>
      <c r="B207" s="57" t="n"/>
      <c r="C207" s="57" t="n"/>
      <c r="D207" s="57" t="n"/>
      <c r="E207" s="57" t="n"/>
      <c r="F207" s="57" t="n"/>
      <c r="G207" s="57" t="n"/>
    </row>
    <row r="208" ht="15.75" customHeight="1" s="94">
      <c r="A208" s="57" t="n"/>
      <c r="B208" s="57" t="n"/>
      <c r="C208" s="57" t="n"/>
      <c r="D208" s="57" t="n"/>
      <c r="E208" s="57" t="n"/>
      <c r="F208" s="57" t="n"/>
      <c r="G208" s="57" t="n"/>
    </row>
    <row r="209" ht="15.75" customHeight="1" s="94">
      <c r="A209" s="57" t="n"/>
      <c r="B209" s="57" t="n"/>
      <c r="C209" s="57" t="n"/>
      <c r="D209" s="57" t="n"/>
      <c r="E209" s="57" t="n"/>
      <c r="F209" s="57" t="n"/>
      <c r="G209" s="57" t="n"/>
    </row>
    <row r="210" ht="15.75" customHeight="1" s="94">
      <c r="A210" s="57" t="n"/>
      <c r="B210" s="57" t="n"/>
      <c r="C210" s="57" t="n"/>
      <c r="D210" s="57" t="n"/>
      <c r="E210" s="57" t="n"/>
      <c r="F210" s="57" t="n"/>
      <c r="G210" s="57" t="n"/>
    </row>
    <row r="211" ht="15.75" customHeight="1" s="94">
      <c r="A211" s="57" t="n"/>
      <c r="B211" s="57" t="n"/>
      <c r="C211" s="57" t="n"/>
      <c r="D211" s="57" t="n"/>
      <c r="E211" s="57" t="n"/>
      <c r="F211" s="57" t="n"/>
      <c r="G211" s="57" t="n"/>
    </row>
    <row r="212" ht="15.75" customHeight="1" s="94">
      <c r="A212" s="57" t="n"/>
      <c r="B212" s="57" t="n"/>
      <c r="C212" s="57" t="n"/>
      <c r="D212" s="57" t="n"/>
      <c r="E212" s="57" t="n"/>
      <c r="F212" s="57" t="n"/>
      <c r="G212" s="57" t="n"/>
    </row>
    <row r="213" ht="15.75" customHeight="1" s="94">
      <c r="A213" s="57" t="n"/>
      <c r="B213" s="57" t="n"/>
      <c r="C213" s="57" t="n"/>
      <c r="D213" s="57" t="n"/>
      <c r="E213" s="57" t="n"/>
      <c r="F213" s="57" t="n"/>
      <c r="G213" s="57" t="n"/>
    </row>
    <row r="214" ht="15.75" customHeight="1" s="94">
      <c r="A214" s="57" t="n"/>
      <c r="B214" s="57" t="n"/>
      <c r="C214" s="57" t="n"/>
      <c r="D214" s="57" t="n"/>
      <c r="E214" s="57" t="n"/>
      <c r="F214" s="57" t="n"/>
      <c r="G214" s="57" t="n"/>
    </row>
    <row r="215" ht="15.75" customHeight="1" s="94">
      <c r="A215" s="57" t="n"/>
      <c r="B215" s="57" t="n"/>
      <c r="C215" s="57" t="n"/>
      <c r="D215" s="57" t="n"/>
      <c r="E215" s="57" t="n"/>
      <c r="F215" s="57" t="n"/>
      <c r="G215" s="57" t="n"/>
    </row>
    <row r="216" ht="15.75" customHeight="1" s="94">
      <c r="A216" s="57" t="n"/>
      <c r="B216" s="57" t="n"/>
      <c r="C216" s="57" t="n"/>
      <c r="D216" s="57" t="n"/>
      <c r="E216" s="57" t="n"/>
      <c r="F216" s="57" t="n"/>
      <c r="G216" s="57" t="n"/>
    </row>
    <row r="217" ht="15.75" customHeight="1" s="94">
      <c r="A217" s="57" t="n"/>
      <c r="B217" s="57" t="n"/>
      <c r="C217" s="57" t="n"/>
      <c r="D217" s="57" t="n"/>
      <c r="E217" s="57" t="n"/>
      <c r="F217" s="57" t="n"/>
      <c r="G217" s="57" t="n"/>
    </row>
    <row r="218" ht="15.75" customHeight="1" s="94">
      <c r="A218" s="57" t="n"/>
      <c r="B218" s="57" t="n"/>
      <c r="C218" s="57" t="n"/>
      <c r="D218" s="57" t="n"/>
      <c r="E218" s="57" t="n"/>
      <c r="F218" s="57" t="n"/>
      <c r="G218" s="57" t="n"/>
    </row>
    <row r="219" ht="15.75" customHeight="1" s="94">
      <c r="A219" s="57" t="n"/>
      <c r="B219" s="57" t="n"/>
      <c r="C219" s="57" t="n"/>
      <c r="D219" s="57" t="n"/>
      <c r="E219" s="57" t="n"/>
      <c r="F219" s="57" t="n"/>
      <c r="G219" s="57" t="n"/>
    </row>
    <row r="220" ht="15.75" customHeight="1" s="94">
      <c r="A220" s="57" t="n"/>
      <c r="B220" s="57" t="n"/>
      <c r="C220" s="57" t="n"/>
      <c r="D220" s="57" t="n"/>
      <c r="E220" s="57" t="n"/>
      <c r="F220" s="57" t="n"/>
      <c r="G220" s="57" t="n"/>
    </row>
    <row r="221" ht="15.75" customHeight="1" s="94">
      <c r="A221" s="57" t="n"/>
      <c r="B221" s="57" t="n"/>
      <c r="C221" s="57" t="n"/>
      <c r="D221" s="57" t="n"/>
      <c r="E221" s="57" t="n"/>
      <c r="F221" s="57" t="n"/>
      <c r="G221" s="57" t="n"/>
    </row>
    <row r="222" ht="15.75" customHeight="1" s="94">
      <c r="A222" s="57" t="n"/>
      <c r="B222" s="57" t="n"/>
      <c r="C222" s="57" t="n"/>
      <c r="D222" s="57" t="n"/>
      <c r="E222" s="57" t="n"/>
      <c r="F222" s="57" t="n"/>
      <c r="G222" s="57" t="n"/>
    </row>
    <row r="223" ht="15.75" customHeight="1" s="94">
      <c r="A223" s="57" t="n"/>
      <c r="B223" s="57" t="n"/>
      <c r="C223" s="57" t="n"/>
      <c r="D223" s="57" t="n"/>
      <c r="E223" s="57" t="n"/>
      <c r="F223" s="57" t="n"/>
      <c r="G223" s="57" t="n"/>
    </row>
    <row r="224" ht="15.75" customHeight="1" s="94">
      <c r="A224" s="57" t="n"/>
      <c r="B224" s="57" t="n"/>
      <c r="C224" s="57" t="n"/>
      <c r="D224" s="57" t="n"/>
      <c r="E224" s="57" t="n"/>
      <c r="F224" s="57" t="n"/>
      <c r="G224" s="57" t="n"/>
    </row>
    <row r="225" ht="15.75" customHeight="1" s="94">
      <c r="A225" s="57" t="n"/>
      <c r="B225" s="57" t="n"/>
      <c r="C225" s="57" t="n"/>
      <c r="D225" s="57" t="n"/>
      <c r="E225" s="57" t="n"/>
      <c r="F225" s="57" t="n"/>
      <c r="G225" s="57" t="n"/>
    </row>
    <row r="226" ht="15.75" customHeight="1" s="94">
      <c r="A226" s="57" t="n"/>
      <c r="B226" s="57" t="n"/>
      <c r="C226" s="57" t="n"/>
      <c r="D226" s="57" t="n"/>
      <c r="E226" s="57" t="n"/>
      <c r="F226" s="57" t="n"/>
      <c r="G226" s="57" t="n"/>
    </row>
    <row r="227" ht="15.75" customHeight="1" s="94">
      <c r="A227" s="57" t="n"/>
      <c r="B227" s="57" t="n"/>
      <c r="C227" s="57" t="n"/>
      <c r="D227" s="57" t="n"/>
      <c r="E227" s="57" t="n"/>
      <c r="F227" s="57" t="n"/>
      <c r="G227" s="57" t="n"/>
    </row>
    <row r="228" ht="15.75" customHeight="1" s="94">
      <c r="A228" s="57" t="n"/>
      <c r="B228" s="57" t="n"/>
      <c r="C228" s="57" t="n"/>
      <c r="D228" s="57" t="n"/>
      <c r="E228" s="57" t="n"/>
      <c r="F228" s="57" t="n"/>
      <c r="G228" s="57" t="n"/>
    </row>
    <row r="229" ht="15.75" customHeight="1" s="94">
      <c r="A229" s="57" t="n"/>
      <c r="B229" s="57" t="n"/>
      <c r="C229" s="57" t="n"/>
      <c r="D229" s="57" t="n"/>
      <c r="E229" s="57" t="n"/>
      <c r="F229" s="57" t="n"/>
      <c r="G229" s="57" t="n"/>
    </row>
    <row r="230" ht="15.75" customHeight="1" s="94">
      <c r="A230" s="57" t="n"/>
      <c r="B230" s="57" t="n"/>
      <c r="C230" s="57" t="n"/>
      <c r="D230" s="57" t="n"/>
      <c r="E230" s="57" t="n"/>
      <c r="F230" s="57" t="n"/>
      <c r="G230" s="57" t="n"/>
    </row>
    <row r="231" ht="15.75" customHeight="1" s="94">
      <c r="A231" s="57" t="n"/>
      <c r="B231" s="57" t="n"/>
      <c r="C231" s="57" t="n"/>
      <c r="D231" s="57" t="n"/>
      <c r="E231" s="57" t="n"/>
      <c r="F231" s="57" t="n"/>
      <c r="G231" s="57" t="n"/>
    </row>
    <row r="232" ht="15.75" customHeight="1" s="94">
      <c r="A232" s="57" t="n"/>
      <c r="B232" s="57" t="n"/>
      <c r="C232" s="57" t="n"/>
      <c r="D232" s="57" t="n"/>
      <c r="E232" s="57" t="n"/>
      <c r="F232" s="57" t="n"/>
      <c r="G232" s="57" t="n"/>
    </row>
    <row r="233" ht="15.75" customHeight="1" s="94">
      <c r="A233" s="57" t="n"/>
      <c r="B233" s="57" t="n"/>
      <c r="C233" s="57" t="n"/>
      <c r="D233" s="57" t="n"/>
      <c r="E233" s="57" t="n"/>
      <c r="F233" s="57" t="n"/>
      <c r="G233" s="57" t="n"/>
    </row>
    <row r="234" ht="15.75" customHeight="1" s="94">
      <c r="A234" s="57" t="n"/>
      <c r="B234" s="57" t="n"/>
      <c r="C234" s="57" t="n"/>
      <c r="D234" s="57" t="n"/>
      <c r="E234" s="57" t="n"/>
      <c r="F234" s="57" t="n"/>
      <c r="G234" s="57" t="n"/>
    </row>
    <row r="235" ht="15.75" customHeight="1" s="94">
      <c r="A235" s="57" t="n"/>
      <c r="B235" s="57" t="n"/>
      <c r="C235" s="57" t="n"/>
      <c r="D235" s="57" t="n"/>
      <c r="E235" s="57" t="n"/>
      <c r="F235" s="57" t="n"/>
      <c r="G235" s="57" t="n"/>
    </row>
    <row r="236" ht="15.75" customHeight="1" s="94">
      <c r="A236" s="57" t="n"/>
      <c r="B236" s="57" t="n"/>
      <c r="C236" s="57" t="n"/>
      <c r="D236" s="57" t="n"/>
      <c r="E236" s="57" t="n"/>
      <c r="F236" s="57" t="n"/>
      <c r="G236" s="57" t="n"/>
    </row>
    <row r="237" ht="15.75" customHeight="1" s="94">
      <c r="A237" s="57" t="n"/>
      <c r="B237" s="57" t="n"/>
      <c r="C237" s="57" t="n"/>
      <c r="D237" s="57" t="n"/>
      <c r="E237" s="57" t="n"/>
      <c r="F237" s="57" t="n"/>
      <c r="G237" s="57" t="n"/>
    </row>
    <row r="238" ht="15.75" customHeight="1" s="94">
      <c r="A238" s="57" t="n"/>
      <c r="B238" s="57" t="n"/>
      <c r="C238" s="57" t="n"/>
      <c r="D238" s="57" t="n"/>
      <c r="E238" s="57" t="n"/>
      <c r="F238" s="57" t="n"/>
      <c r="G238" s="57" t="n"/>
    </row>
    <row r="239" ht="15.75" customHeight="1" s="94">
      <c r="A239" s="57" t="n"/>
      <c r="B239" s="57" t="n"/>
      <c r="C239" s="57" t="n"/>
      <c r="D239" s="57" t="n"/>
      <c r="E239" s="57" t="n"/>
      <c r="F239" s="57" t="n"/>
      <c r="G239" s="57" t="n"/>
    </row>
    <row r="240" ht="15.75" customHeight="1" s="94">
      <c r="A240" s="57" t="n"/>
      <c r="B240" s="57" t="n"/>
      <c r="C240" s="57" t="n"/>
      <c r="D240" s="57" t="n"/>
      <c r="E240" s="57" t="n"/>
      <c r="F240" s="57" t="n"/>
      <c r="G240" s="57" t="n"/>
    </row>
    <row r="241" ht="15.75" customHeight="1" s="94">
      <c r="A241" s="57" t="n"/>
      <c r="B241" s="57" t="n"/>
      <c r="C241" s="57" t="n"/>
      <c r="D241" s="57" t="n"/>
      <c r="E241" s="57" t="n"/>
      <c r="F241" s="57" t="n"/>
      <c r="G241" s="57" t="n"/>
    </row>
    <row r="242" ht="15.75" customHeight="1" s="94">
      <c r="A242" s="57" t="n"/>
      <c r="B242" s="57" t="n"/>
      <c r="C242" s="57" t="n"/>
      <c r="D242" s="57" t="n"/>
      <c r="E242" s="57" t="n"/>
      <c r="F242" s="57" t="n"/>
      <c r="G242" s="57" t="n"/>
    </row>
    <row r="243" ht="15.75" customHeight="1" s="94">
      <c r="A243" s="57" t="n"/>
      <c r="B243" s="57" t="n"/>
      <c r="C243" s="57" t="n"/>
      <c r="D243" s="57" t="n"/>
      <c r="E243" s="57" t="n"/>
      <c r="F243" s="57" t="n"/>
      <c r="G243" s="57" t="n"/>
    </row>
    <row r="244" ht="15.75" customHeight="1" s="94">
      <c r="A244" s="57" t="n"/>
      <c r="B244" s="57" t="n"/>
      <c r="C244" s="57" t="n"/>
      <c r="D244" s="57" t="n"/>
      <c r="E244" s="57" t="n"/>
      <c r="F244" s="57" t="n"/>
      <c r="G244" s="57" t="n"/>
    </row>
    <row r="245" ht="15.75" customHeight="1" s="94">
      <c r="A245" s="57" t="n"/>
      <c r="B245" s="57" t="n"/>
      <c r="C245" s="57" t="n"/>
      <c r="D245" s="57" t="n"/>
      <c r="E245" s="57" t="n"/>
      <c r="F245" s="57" t="n"/>
      <c r="G245" s="57" t="n"/>
    </row>
    <row r="246" ht="15.75" customHeight="1" s="94">
      <c r="A246" s="57" t="n"/>
      <c r="B246" s="57" t="n"/>
      <c r="C246" s="57" t="n"/>
      <c r="D246" s="57" t="n"/>
      <c r="E246" s="57" t="n"/>
      <c r="F246" s="57" t="n"/>
      <c r="G246" s="57" t="n"/>
    </row>
    <row r="247" ht="15.75" customHeight="1" s="94">
      <c r="A247" s="57" t="n"/>
      <c r="B247" s="57" t="n"/>
      <c r="C247" s="57" t="n"/>
      <c r="D247" s="57" t="n"/>
      <c r="E247" s="57" t="n"/>
      <c r="F247" s="57" t="n"/>
      <c r="G247" s="57" t="n"/>
    </row>
    <row r="248" ht="15.75" customHeight="1" s="94">
      <c r="A248" s="57" t="n"/>
      <c r="B248" s="57" t="n"/>
      <c r="C248" s="57" t="n"/>
      <c r="D248" s="57" t="n"/>
      <c r="E248" s="57" t="n"/>
      <c r="F248" s="57" t="n"/>
      <c r="G248" s="57" t="n"/>
    </row>
    <row r="249" ht="15.75" customHeight="1" s="94">
      <c r="A249" s="57" t="n"/>
      <c r="B249" s="57" t="n"/>
      <c r="C249" s="57" t="n"/>
      <c r="D249" s="57" t="n"/>
      <c r="E249" s="57" t="n"/>
      <c r="F249" s="57" t="n"/>
      <c r="G249" s="57" t="n"/>
    </row>
    <row r="250" ht="15.75" customHeight="1" s="94">
      <c r="A250" s="57" t="n"/>
      <c r="B250" s="57" t="n"/>
      <c r="C250" s="57" t="n"/>
      <c r="D250" s="57" t="n"/>
      <c r="E250" s="57" t="n"/>
      <c r="F250" s="57" t="n"/>
      <c r="G250" s="57" t="n"/>
    </row>
    <row r="251" ht="15.75" customHeight="1" s="94">
      <c r="A251" s="57" t="n"/>
      <c r="B251" s="57" t="n"/>
      <c r="C251" s="57" t="n"/>
      <c r="D251" s="57" t="n"/>
      <c r="E251" s="57" t="n"/>
      <c r="F251" s="57" t="n"/>
      <c r="G251" s="57" t="n"/>
    </row>
    <row r="252" ht="15.75" customHeight="1" s="94">
      <c r="A252" s="57" t="n"/>
      <c r="B252" s="57" t="n"/>
      <c r="C252" s="57" t="n"/>
      <c r="D252" s="57" t="n"/>
      <c r="E252" s="57" t="n"/>
      <c r="F252" s="57" t="n"/>
      <c r="G252" s="57" t="n"/>
    </row>
    <row r="253" ht="15.75" customHeight="1" s="94">
      <c r="A253" s="57" t="n"/>
      <c r="B253" s="57" t="n"/>
      <c r="C253" s="57" t="n"/>
      <c r="D253" s="57" t="n"/>
      <c r="E253" s="57" t="n"/>
      <c r="F253" s="57" t="n"/>
      <c r="G253" s="57" t="n"/>
    </row>
    <row r="254" ht="15.75" customHeight="1" s="94">
      <c r="A254" s="57" t="n"/>
      <c r="B254" s="57" t="n"/>
      <c r="C254" s="57" t="n"/>
      <c r="D254" s="57" t="n"/>
      <c r="E254" s="57" t="n"/>
      <c r="F254" s="57" t="n"/>
      <c r="G254" s="57" t="n"/>
    </row>
    <row r="255" ht="15.75" customHeight="1" s="94">
      <c r="A255" s="57" t="n"/>
      <c r="B255" s="57" t="n"/>
      <c r="C255" s="57" t="n"/>
      <c r="D255" s="57" t="n"/>
      <c r="E255" s="57" t="n"/>
      <c r="F255" s="57" t="n"/>
      <c r="G255" s="57" t="n"/>
    </row>
    <row r="256" ht="15.75" customHeight="1" s="94">
      <c r="A256" s="57" t="n"/>
      <c r="B256" s="57" t="n"/>
      <c r="C256" s="57" t="n"/>
      <c r="D256" s="57" t="n"/>
      <c r="E256" s="57" t="n"/>
      <c r="F256" s="57" t="n"/>
      <c r="G256" s="57" t="n"/>
    </row>
    <row r="257" ht="15.75" customHeight="1" s="94">
      <c r="A257" s="57" t="n"/>
      <c r="B257" s="57" t="n"/>
      <c r="C257" s="57" t="n"/>
      <c r="D257" s="57" t="n"/>
      <c r="E257" s="57" t="n"/>
      <c r="F257" s="57" t="n"/>
      <c r="G257" s="57" t="n"/>
    </row>
    <row r="258" ht="15.75" customHeight="1" s="94">
      <c r="A258" s="57" t="n"/>
      <c r="B258" s="57" t="n"/>
      <c r="C258" s="57" t="n"/>
      <c r="D258" s="57" t="n"/>
      <c r="E258" s="57" t="n"/>
      <c r="F258" s="57" t="n"/>
      <c r="G258" s="57" t="n"/>
    </row>
    <row r="259" ht="15.75" customHeight="1" s="94">
      <c r="A259" s="57" t="n"/>
      <c r="B259" s="57" t="n"/>
      <c r="C259" s="57" t="n"/>
      <c r="D259" s="57" t="n"/>
      <c r="E259" s="57" t="n"/>
      <c r="F259" s="57" t="n"/>
      <c r="G259" s="57" t="n"/>
    </row>
    <row r="260" ht="15.75" customHeight="1" s="94">
      <c r="A260" s="57" t="n"/>
      <c r="B260" s="57" t="n"/>
      <c r="C260" s="57" t="n"/>
      <c r="D260" s="57" t="n"/>
      <c r="E260" s="57" t="n"/>
      <c r="F260" s="57" t="n"/>
      <c r="G260" s="57" t="n"/>
    </row>
    <row r="261" ht="15.75" customHeight="1" s="94">
      <c r="A261" s="57" t="n"/>
      <c r="B261" s="57" t="n"/>
      <c r="C261" s="57" t="n"/>
      <c r="D261" s="57" t="n"/>
      <c r="E261" s="57" t="n"/>
      <c r="F261" s="57" t="n"/>
      <c r="G261" s="57" t="n"/>
    </row>
    <row r="262" ht="15.75" customHeight="1" s="94">
      <c r="A262" s="57" t="n"/>
      <c r="B262" s="57" t="n"/>
      <c r="C262" s="57" t="n"/>
      <c r="D262" s="57" t="n"/>
      <c r="E262" s="57" t="n"/>
      <c r="F262" s="57" t="n"/>
      <c r="G262" s="57" t="n"/>
    </row>
    <row r="263" ht="15.75" customHeight="1" s="94">
      <c r="A263" s="57" t="n"/>
      <c r="B263" s="57" t="n"/>
      <c r="C263" s="57" t="n"/>
      <c r="D263" s="57" t="n"/>
      <c r="E263" s="57" t="n"/>
      <c r="F263" s="57" t="n"/>
      <c r="G263" s="57" t="n"/>
    </row>
    <row r="264" ht="15.75" customHeight="1" s="94">
      <c r="A264" s="57" t="n"/>
      <c r="B264" s="57" t="n"/>
      <c r="C264" s="57" t="n"/>
      <c r="D264" s="57" t="n"/>
      <c r="E264" s="57" t="n"/>
      <c r="F264" s="57" t="n"/>
      <c r="G264" s="57" t="n"/>
    </row>
    <row r="265" ht="15.75" customHeight="1" s="94">
      <c r="A265" s="57" t="n"/>
      <c r="B265" s="57" t="n"/>
      <c r="C265" s="57" t="n"/>
      <c r="D265" s="57" t="n"/>
      <c r="E265" s="57" t="n"/>
      <c r="F265" s="57" t="n"/>
      <c r="G265" s="57" t="n"/>
    </row>
    <row r="266" ht="15.75" customHeight="1" s="94">
      <c r="A266" s="57" t="n"/>
      <c r="B266" s="57" t="n"/>
      <c r="C266" s="57" t="n"/>
      <c r="D266" s="57" t="n"/>
      <c r="E266" s="57" t="n"/>
      <c r="F266" s="57" t="n"/>
      <c r="G266" s="57" t="n"/>
    </row>
    <row r="267" ht="15.75" customHeight="1" s="94">
      <c r="A267" s="57" t="n"/>
      <c r="B267" s="57" t="n"/>
      <c r="C267" s="57" t="n"/>
      <c r="D267" s="57" t="n"/>
      <c r="E267" s="57" t="n"/>
      <c r="F267" s="57" t="n"/>
      <c r="G267" s="57" t="n"/>
    </row>
    <row r="268" ht="15.75" customHeight="1" s="94">
      <c r="A268" s="57" t="n"/>
      <c r="B268" s="57" t="n"/>
      <c r="C268" s="57" t="n"/>
      <c r="D268" s="57" t="n"/>
      <c r="E268" s="57" t="n"/>
      <c r="F268" s="57" t="n"/>
      <c r="G268" s="57" t="n"/>
    </row>
    <row r="269" ht="15.75" customHeight="1" s="94">
      <c r="A269" s="57" t="n"/>
      <c r="B269" s="57" t="n"/>
      <c r="C269" s="57" t="n"/>
      <c r="D269" s="57" t="n"/>
      <c r="E269" s="57" t="n"/>
      <c r="F269" s="57" t="n"/>
      <c r="G269" s="57" t="n"/>
    </row>
    <row r="270" ht="15.75" customHeight="1" s="94">
      <c r="A270" s="57" t="n"/>
      <c r="B270" s="57" t="n"/>
      <c r="C270" s="57" t="n"/>
      <c r="D270" s="57" t="n"/>
      <c r="E270" s="57" t="n"/>
      <c r="F270" s="57" t="n"/>
      <c r="G270" s="57" t="n"/>
    </row>
    <row r="271" ht="15.75" customHeight="1" s="94">
      <c r="A271" s="57" t="n"/>
      <c r="B271" s="57" t="n"/>
      <c r="C271" s="57" t="n"/>
      <c r="D271" s="57" t="n"/>
      <c r="E271" s="57" t="n"/>
      <c r="F271" s="57" t="n"/>
      <c r="G271" s="57" t="n"/>
    </row>
    <row r="272" ht="15.75" customHeight="1" s="94">
      <c r="A272" s="57" t="n"/>
      <c r="B272" s="57" t="n"/>
      <c r="C272" s="57" t="n"/>
      <c r="D272" s="57" t="n"/>
      <c r="E272" s="57" t="n"/>
      <c r="F272" s="57" t="n"/>
      <c r="G272" s="57" t="n"/>
    </row>
    <row r="273" ht="15.75" customHeight="1" s="94">
      <c r="A273" s="57" t="n"/>
      <c r="B273" s="57" t="n"/>
      <c r="C273" s="57" t="n"/>
      <c r="D273" s="57" t="n"/>
      <c r="E273" s="57" t="n"/>
      <c r="F273" s="57" t="n"/>
      <c r="G273" s="57" t="n"/>
    </row>
    <row r="274" ht="15.75" customHeight="1" s="94">
      <c r="A274" s="57" t="n"/>
      <c r="B274" s="57" t="n"/>
      <c r="C274" s="57" t="n"/>
      <c r="D274" s="57" t="n"/>
      <c r="E274" s="57" t="n"/>
      <c r="F274" s="57" t="n"/>
      <c r="G274" s="57" t="n"/>
    </row>
    <row r="275" ht="15.75" customHeight="1" s="94">
      <c r="A275" s="57" t="n"/>
      <c r="B275" s="57" t="n"/>
      <c r="C275" s="57" t="n"/>
      <c r="D275" s="57" t="n"/>
      <c r="E275" s="57" t="n"/>
      <c r="F275" s="57" t="n"/>
      <c r="G275" s="57" t="n"/>
    </row>
    <row r="276" ht="15.75" customHeight="1" s="94">
      <c r="A276" s="57" t="n"/>
      <c r="B276" s="57" t="n"/>
      <c r="C276" s="57" t="n"/>
      <c r="D276" s="57" t="n"/>
      <c r="E276" s="57" t="n"/>
      <c r="F276" s="57" t="n"/>
      <c r="G276" s="57" t="n"/>
    </row>
    <row r="277" ht="15.75" customHeight="1" s="94">
      <c r="A277" s="57" t="n"/>
      <c r="B277" s="57" t="n"/>
      <c r="C277" s="57" t="n"/>
      <c r="D277" s="57" t="n"/>
      <c r="E277" s="57" t="n"/>
      <c r="F277" s="57" t="n"/>
      <c r="G277" s="57" t="n"/>
    </row>
    <row r="278" ht="15.75" customHeight="1" s="94">
      <c r="A278" s="57" t="n"/>
      <c r="B278" s="57" t="n"/>
      <c r="C278" s="57" t="n"/>
      <c r="D278" s="57" t="n"/>
      <c r="E278" s="57" t="n"/>
      <c r="F278" s="57" t="n"/>
      <c r="G278" s="57" t="n"/>
    </row>
    <row r="279" ht="15.75" customHeight="1" s="94">
      <c r="A279" s="57" t="n"/>
      <c r="B279" s="57" t="n"/>
      <c r="C279" s="57" t="n"/>
      <c r="D279" s="57" t="n"/>
      <c r="E279" s="57" t="n"/>
      <c r="F279" s="57" t="n"/>
      <c r="G279" s="57" t="n"/>
    </row>
    <row r="280" ht="15.75" customHeight="1" s="94">
      <c r="A280" s="57" t="n"/>
      <c r="B280" s="57" t="n"/>
      <c r="C280" s="57" t="n"/>
      <c r="D280" s="57" t="n"/>
      <c r="E280" s="57" t="n"/>
      <c r="F280" s="57" t="n"/>
      <c r="G280" s="57" t="n"/>
    </row>
    <row r="281" ht="15.75" customHeight="1" s="94">
      <c r="A281" s="57" t="n"/>
      <c r="B281" s="57" t="n"/>
      <c r="C281" s="57" t="n"/>
      <c r="D281" s="57" t="n"/>
      <c r="E281" s="57" t="n"/>
      <c r="F281" s="57" t="n"/>
      <c r="G281" s="57" t="n"/>
    </row>
    <row r="282" ht="15.75" customHeight="1" s="94">
      <c r="A282" s="57" t="n"/>
      <c r="B282" s="57" t="n"/>
      <c r="C282" s="57" t="n"/>
      <c r="D282" s="57" t="n"/>
      <c r="E282" s="57" t="n"/>
      <c r="F282" s="57" t="n"/>
      <c r="G282" s="57" t="n"/>
    </row>
    <row r="283" ht="15.75" customHeight="1" s="94">
      <c r="A283" s="57" t="n"/>
      <c r="B283" s="57" t="n"/>
      <c r="C283" s="57" t="n"/>
      <c r="D283" s="57" t="n"/>
      <c r="E283" s="57" t="n"/>
      <c r="F283" s="57" t="n"/>
      <c r="G283" s="57" t="n"/>
    </row>
    <row r="284" ht="15.75" customHeight="1" s="94">
      <c r="A284" s="57" t="n"/>
      <c r="B284" s="57" t="n"/>
      <c r="C284" s="57" t="n"/>
      <c r="D284" s="57" t="n"/>
      <c r="E284" s="57" t="n"/>
      <c r="F284" s="57" t="n"/>
      <c r="G284" s="57" t="n"/>
    </row>
    <row r="285" ht="15.75" customHeight="1" s="94">
      <c r="A285" s="57" t="n"/>
      <c r="B285" s="57" t="n"/>
      <c r="C285" s="57" t="n"/>
      <c r="D285" s="57" t="n"/>
      <c r="E285" s="57" t="n"/>
      <c r="F285" s="57" t="n"/>
      <c r="G285" s="57" t="n"/>
    </row>
    <row r="286" ht="15.75" customHeight="1" s="94">
      <c r="A286" s="57" t="n"/>
      <c r="B286" s="57" t="n"/>
      <c r="C286" s="57" t="n"/>
      <c r="D286" s="57" t="n"/>
      <c r="E286" s="57" t="n"/>
      <c r="F286" s="57" t="n"/>
      <c r="G286" s="57" t="n"/>
    </row>
    <row r="287" ht="15.75" customHeight="1" s="94">
      <c r="A287" s="57" t="n"/>
      <c r="B287" s="57" t="n"/>
      <c r="C287" s="57" t="n"/>
      <c r="D287" s="57" t="n"/>
      <c r="E287" s="57" t="n"/>
      <c r="F287" s="57" t="n"/>
      <c r="G287" s="57" t="n"/>
    </row>
    <row r="288" ht="15.75" customHeight="1" s="94">
      <c r="A288" s="57" t="n"/>
      <c r="B288" s="57" t="n"/>
      <c r="C288" s="57" t="n"/>
      <c r="D288" s="57" t="n"/>
      <c r="E288" s="57" t="n"/>
      <c r="F288" s="57" t="n"/>
      <c r="G288" s="57" t="n"/>
    </row>
    <row r="289" ht="15.75" customHeight="1" s="94">
      <c r="A289" s="57" t="n"/>
      <c r="B289" s="57" t="n"/>
      <c r="C289" s="57" t="n"/>
      <c r="D289" s="57" t="n"/>
      <c r="E289" s="57" t="n"/>
      <c r="F289" s="57" t="n"/>
      <c r="G289" s="57" t="n"/>
    </row>
    <row r="290" ht="15.75" customHeight="1" s="94">
      <c r="A290" s="57" t="n"/>
      <c r="B290" s="57" t="n"/>
      <c r="C290" s="57" t="n"/>
      <c r="D290" s="57" t="n"/>
      <c r="E290" s="57" t="n"/>
      <c r="F290" s="57" t="n"/>
      <c r="G290" s="57" t="n"/>
    </row>
    <row r="291" ht="15.75" customHeight="1" s="94">
      <c r="A291" s="57" t="n"/>
      <c r="B291" s="57" t="n"/>
      <c r="C291" s="57" t="n"/>
      <c r="D291" s="57" t="n"/>
      <c r="E291" s="57" t="n"/>
      <c r="F291" s="57" t="n"/>
      <c r="G291" s="57" t="n"/>
    </row>
    <row r="292" ht="15.75" customHeight="1" s="94">
      <c r="A292" s="57" t="n"/>
      <c r="B292" s="57" t="n"/>
      <c r="C292" s="57" t="n"/>
      <c r="D292" s="57" t="n"/>
      <c r="E292" s="57" t="n"/>
      <c r="F292" s="57" t="n"/>
      <c r="G292" s="57" t="n"/>
    </row>
    <row r="293" ht="15.75" customHeight="1" s="94">
      <c r="A293" s="57" t="n"/>
      <c r="B293" s="57" t="n"/>
      <c r="C293" s="57" t="n"/>
      <c r="D293" s="57" t="n"/>
      <c r="E293" s="57" t="n"/>
      <c r="F293" s="57" t="n"/>
      <c r="G293" s="57" t="n"/>
    </row>
    <row r="294" ht="15.75" customHeight="1" s="94">
      <c r="A294" s="57" t="n"/>
      <c r="B294" s="57" t="n"/>
      <c r="C294" s="57" t="n"/>
      <c r="D294" s="57" t="n"/>
      <c r="E294" s="57" t="n"/>
      <c r="F294" s="57" t="n"/>
      <c r="G294" s="57" t="n"/>
    </row>
    <row r="295" ht="15.75" customHeight="1" s="94">
      <c r="A295" s="57" t="n"/>
      <c r="B295" s="57" t="n"/>
      <c r="C295" s="57" t="n"/>
      <c r="D295" s="57" t="n"/>
      <c r="E295" s="57" t="n"/>
      <c r="F295" s="57" t="n"/>
      <c r="G295" s="57" t="n"/>
    </row>
    <row r="296" ht="15.75" customHeight="1" s="94">
      <c r="A296" s="57" t="n"/>
      <c r="B296" s="57" t="n"/>
      <c r="C296" s="57" t="n"/>
      <c r="D296" s="57" t="n"/>
      <c r="E296" s="57" t="n"/>
      <c r="F296" s="57" t="n"/>
      <c r="G296" s="57" t="n"/>
    </row>
    <row r="297" ht="15.75" customHeight="1" s="94">
      <c r="A297" s="57" t="n"/>
      <c r="B297" s="57" t="n"/>
      <c r="C297" s="57" t="n"/>
      <c r="D297" s="57" t="n"/>
      <c r="E297" s="57" t="n"/>
      <c r="F297" s="57" t="n"/>
      <c r="G297" s="57" t="n"/>
    </row>
    <row r="298" ht="15.75" customHeight="1" s="94">
      <c r="A298" s="57" t="n"/>
      <c r="B298" s="57" t="n"/>
      <c r="C298" s="57" t="n"/>
      <c r="D298" s="57" t="n"/>
      <c r="E298" s="57" t="n"/>
      <c r="F298" s="57" t="n"/>
      <c r="G298" s="57" t="n"/>
    </row>
    <row r="299" ht="15.75" customHeight="1" s="94">
      <c r="A299" s="57" t="n"/>
      <c r="B299" s="57" t="n"/>
      <c r="C299" s="57" t="n"/>
      <c r="D299" s="57" t="n"/>
      <c r="E299" s="57" t="n"/>
      <c r="F299" s="57" t="n"/>
      <c r="G299" s="57" t="n"/>
    </row>
    <row r="300" ht="15.75" customHeight="1" s="94">
      <c r="A300" s="57" t="n"/>
      <c r="B300" s="57" t="n"/>
      <c r="C300" s="57" t="n"/>
      <c r="D300" s="57" t="n"/>
      <c r="E300" s="57" t="n"/>
      <c r="F300" s="57" t="n"/>
      <c r="G300" s="57" t="n"/>
    </row>
    <row r="301" ht="15.75" customHeight="1" s="94">
      <c r="A301" s="57" t="n"/>
      <c r="B301" s="57" t="n"/>
      <c r="C301" s="57" t="n"/>
      <c r="D301" s="57" t="n"/>
      <c r="E301" s="57" t="n"/>
      <c r="F301" s="57" t="n"/>
      <c r="G301" s="57" t="n"/>
    </row>
    <row r="302" ht="15.75" customHeight="1" s="94">
      <c r="A302" s="57" t="n"/>
      <c r="B302" s="57" t="n"/>
      <c r="C302" s="57" t="n"/>
      <c r="D302" s="57" t="n"/>
      <c r="E302" s="57" t="n"/>
      <c r="F302" s="57" t="n"/>
      <c r="G302" s="57" t="n"/>
    </row>
    <row r="303" ht="15.75" customHeight="1" s="94">
      <c r="A303" s="57" t="n"/>
      <c r="B303" s="57" t="n"/>
      <c r="C303" s="57" t="n"/>
      <c r="D303" s="57" t="n"/>
      <c r="E303" s="57" t="n"/>
      <c r="F303" s="57" t="n"/>
      <c r="G303" s="57" t="n"/>
    </row>
    <row r="304" ht="15.75" customHeight="1" s="94">
      <c r="A304" s="57" t="n"/>
      <c r="B304" s="57" t="n"/>
      <c r="C304" s="57" t="n"/>
      <c r="D304" s="57" t="n"/>
      <c r="E304" s="57" t="n"/>
      <c r="F304" s="57" t="n"/>
      <c r="G304" s="57" t="n"/>
    </row>
    <row r="305" ht="15.75" customHeight="1" s="94">
      <c r="A305" s="57" t="n"/>
      <c r="B305" s="57" t="n"/>
      <c r="C305" s="57" t="n"/>
      <c r="D305" s="57" t="n"/>
      <c r="E305" s="57" t="n"/>
      <c r="F305" s="57" t="n"/>
      <c r="G305" s="57" t="n"/>
    </row>
    <row r="306" ht="15.75" customHeight="1" s="94">
      <c r="A306" s="57" t="n"/>
      <c r="B306" s="57" t="n"/>
      <c r="C306" s="57" t="n"/>
      <c r="D306" s="57" t="n"/>
      <c r="E306" s="57" t="n"/>
      <c r="F306" s="57" t="n"/>
      <c r="G306" s="57" t="n"/>
    </row>
    <row r="307" ht="15.75" customHeight="1" s="94">
      <c r="A307" s="57" t="n"/>
      <c r="B307" s="57" t="n"/>
      <c r="C307" s="57" t="n"/>
      <c r="D307" s="57" t="n"/>
      <c r="E307" s="57" t="n"/>
      <c r="F307" s="57" t="n"/>
      <c r="G307" s="57" t="n"/>
    </row>
    <row r="308" ht="15.75" customHeight="1" s="94">
      <c r="A308" s="57" t="n"/>
      <c r="B308" s="57" t="n"/>
      <c r="C308" s="57" t="n"/>
      <c r="D308" s="57" t="n"/>
      <c r="E308" s="57" t="n"/>
      <c r="F308" s="57" t="n"/>
      <c r="G308" s="57" t="n"/>
    </row>
    <row r="309" ht="15.75" customHeight="1" s="94">
      <c r="A309" s="57" t="n"/>
      <c r="B309" s="57" t="n"/>
      <c r="C309" s="57" t="n"/>
      <c r="D309" s="57" t="n"/>
      <c r="E309" s="57" t="n"/>
      <c r="F309" s="57" t="n"/>
      <c r="G309" s="57" t="n"/>
    </row>
    <row r="310" ht="15.75" customHeight="1" s="94">
      <c r="A310" s="57" t="n"/>
      <c r="B310" s="57" t="n"/>
      <c r="C310" s="57" t="n"/>
      <c r="D310" s="57" t="n"/>
      <c r="E310" s="57" t="n"/>
      <c r="F310" s="57" t="n"/>
      <c r="G310" s="57" t="n"/>
    </row>
    <row r="311" ht="15.75" customHeight="1" s="94">
      <c r="A311" s="57" t="n"/>
      <c r="B311" s="57" t="n"/>
      <c r="C311" s="57" t="n"/>
      <c r="D311" s="57" t="n"/>
      <c r="E311" s="57" t="n"/>
      <c r="F311" s="57" t="n"/>
      <c r="G311" s="57" t="n"/>
    </row>
    <row r="312" ht="15.75" customHeight="1" s="94">
      <c r="A312" s="57" t="n"/>
      <c r="B312" s="57" t="n"/>
      <c r="C312" s="57" t="n"/>
      <c r="D312" s="57" t="n"/>
      <c r="E312" s="57" t="n"/>
      <c r="F312" s="57" t="n"/>
      <c r="G312" s="57" t="n"/>
    </row>
    <row r="313" ht="15.75" customHeight="1" s="94">
      <c r="A313" s="57" t="n"/>
      <c r="B313" s="57" t="n"/>
      <c r="C313" s="57" t="n"/>
      <c r="D313" s="57" t="n"/>
      <c r="E313" s="57" t="n"/>
      <c r="F313" s="57" t="n"/>
      <c r="G313" s="57" t="n"/>
    </row>
    <row r="314" ht="15.75" customHeight="1" s="94">
      <c r="A314" s="57" t="n"/>
      <c r="B314" s="57" t="n"/>
      <c r="C314" s="57" t="n"/>
      <c r="D314" s="57" t="n"/>
      <c r="E314" s="57" t="n"/>
      <c r="F314" s="57" t="n"/>
      <c r="G314" s="57" t="n"/>
    </row>
    <row r="315" ht="15.75" customHeight="1" s="94">
      <c r="A315" s="57" t="n"/>
      <c r="B315" s="57" t="n"/>
      <c r="C315" s="57" t="n"/>
      <c r="D315" s="57" t="n"/>
      <c r="E315" s="57" t="n"/>
      <c r="F315" s="57" t="n"/>
      <c r="G315" s="57" t="n"/>
    </row>
    <row r="316" ht="15.75" customHeight="1" s="94">
      <c r="A316" s="57" t="n"/>
      <c r="B316" s="57" t="n"/>
      <c r="C316" s="57" t="n"/>
      <c r="D316" s="57" t="n"/>
      <c r="E316" s="57" t="n"/>
      <c r="F316" s="57" t="n"/>
      <c r="G316" s="57" t="n"/>
    </row>
    <row r="317" ht="15.75" customHeight="1" s="94">
      <c r="A317" s="57" t="n"/>
      <c r="B317" s="57" t="n"/>
      <c r="C317" s="57" t="n"/>
      <c r="D317" s="57" t="n"/>
      <c r="E317" s="57" t="n"/>
      <c r="F317" s="57" t="n"/>
      <c r="G317" s="57" t="n"/>
    </row>
    <row r="318" ht="15.75" customHeight="1" s="94">
      <c r="A318" s="57" t="n"/>
      <c r="B318" s="57" t="n"/>
      <c r="C318" s="57" t="n"/>
      <c r="D318" s="57" t="n"/>
      <c r="E318" s="57" t="n"/>
      <c r="F318" s="57" t="n"/>
      <c r="G318" s="57" t="n"/>
    </row>
    <row r="319" ht="15.75" customHeight="1" s="94">
      <c r="A319" s="57" t="n"/>
      <c r="B319" s="57" t="n"/>
      <c r="C319" s="57" t="n"/>
      <c r="D319" s="57" t="n"/>
      <c r="E319" s="57" t="n"/>
      <c r="F319" s="57" t="n"/>
      <c r="G319" s="57" t="n"/>
    </row>
    <row r="320" ht="15.75" customHeight="1" s="94">
      <c r="A320" s="57" t="n"/>
      <c r="B320" s="57" t="n"/>
      <c r="C320" s="57" t="n"/>
      <c r="D320" s="57" t="n"/>
      <c r="E320" s="57" t="n"/>
      <c r="F320" s="57" t="n"/>
      <c r="G320" s="57" t="n"/>
    </row>
    <row r="321" ht="15.75" customHeight="1" s="94">
      <c r="A321" s="57" t="n"/>
      <c r="B321" s="57" t="n"/>
      <c r="C321" s="57" t="n"/>
      <c r="D321" s="57" t="n"/>
      <c r="E321" s="57" t="n"/>
      <c r="F321" s="57" t="n"/>
      <c r="G321" s="57" t="n"/>
    </row>
    <row r="322" ht="15.75" customHeight="1" s="94">
      <c r="A322" s="57" t="n"/>
      <c r="B322" s="57" t="n"/>
      <c r="C322" s="57" t="n"/>
      <c r="D322" s="57" t="n"/>
      <c r="E322" s="57" t="n"/>
      <c r="F322" s="57" t="n"/>
      <c r="G322" s="57" t="n"/>
    </row>
    <row r="323" ht="15.75" customHeight="1" s="94">
      <c r="A323" s="57" t="n"/>
      <c r="B323" s="57" t="n"/>
      <c r="C323" s="57" t="n"/>
      <c r="D323" s="57" t="n"/>
      <c r="E323" s="57" t="n"/>
      <c r="F323" s="57" t="n"/>
      <c r="G323" s="57" t="n"/>
    </row>
    <row r="324" ht="15.75" customHeight="1" s="94">
      <c r="A324" s="57" t="n"/>
      <c r="B324" s="57" t="n"/>
      <c r="C324" s="57" t="n"/>
      <c r="D324" s="57" t="n"/>
      <c r="E324" s="57" t="n"/>
      <c r="F324" s="57" t="n"/>
      <c r="G324" s="57" t="n"/>
    </row>
    <row r="325" ht="15.75" customHeight="1" s="94">
      <c r="A325" s="57" t="n"/>
      <c r="B325" s="57" t="n"/>
      <c r="C325" s="57" t="n"/>
      <c r="D325" s="57" t="n"/>
      <c r="E325" s="57" t="n"/>
      <c r="F325" s="57" t="n"/>
      <c r="G325" s="57" t="n"/>
    </row>
    <row r="326" ht="15.75" customHeight="1" s="94">
      <c r="A326" s="57" t="n"/>
      <c r="B326" s="57" t="n"/>
      <c r="C326" s="57" t="n"/>
      <c r="D326" s="57" t="n"/>
      <c r="E326" s="57" t="n"/>
      <c r="F326" s="57" t="n"/>
      <c r="G326" s="57" t="n"/>
    </row>
    <row r="327" ht="15.75" customHeight="1" s="94">
      <c r="A327" s="57" t="n"/>
      <c r="B327" s="57" t="n"/>
      <c r="C327" s="57" t="n"/>
      <c r="D327" s="57" t="n"/>
      <c r="E327" s="57" t="n"/>
      <c r="F327" s="57" t="n"/>
      <c r="G327" s="57" t="n"/>
    </row>
    <row r="328" ht="15.75" customHeight="1" s="94">
      <c r="A328" s="57" t="n"/>
      <c r="B328" s="57" t="n"/>
      <c r="C328" s="57" t="n"/>
      <c r="D328" s="57" t="n"/>
      <c r="E328" s="57" t="n"/>
      <c r="F328" s="57" t="n"/>
      <c r="G328" s="57" t="n"/>
    </row>
    <row r="329" ht="15.75" customHeight="1" s="94">
      <c r="A329" s="57" t="n"/>
      <c r="B329" s="57" t="n"/>
      <c r="C329" s="57" t="n"/>
      <c r="D329" s="57" t="n"/>
      <c r="E329" s="57" t="n"/>
      <c r="F329" s="57" t="n"/>
      <c r="G329" s="57" t="n"/>
    </row>
    <row r="330" ht="15.75" customHeight="1" s="94">
      <c r="A330" s="57" t="n"/>
      <c r="B330" s="57" t="n"/>
      <c r="C330" s="57" t="n"/>
      <c r="D330" s="57" t="n"/>
      <c r="E330" s="57" t="n"/>
      <c r="F330" s="57" t="n"/>
      <c r="G330" s="57" t="n"/>
    </row>
    <row r="331" ht="15.75" customHeight="1" s="94">
      <c r="A331" s="57" t="n"/>
      <c r="B331" s="57" t="n"/>
      <c r="C331" s="57" t="n"/>
      <c r="D331" s="57" t="n"/>
      <c r="E331" s="57" t="n"/>
      <c r="F331" s="57" t="n"/>
      <c r="G331" s="57" t="n"/>
    </row>
    <row r="332" ht="15.75" customHeight="1" s="94">
      <c r="A332" s="57" t="n"/>
      <c r="B332" s="57" t="n"/>
      <c r="C332" s="57" t="n"/>
      <c r="D332" s="57" t="n"/>
      <c r="E332" s="57" t="n"/>
      <c r="F332" s="57" t="n"/>
      <c r="G332" s="57" t="n"/>
    </row>
    <row r="333" ht="15.75" customHeight="1" s="94">
      <c r="A333" s="57" t="n"/>
      <c r="B333" s="57" t="n"/>
      <c r="C333" s="57" t="n"/>
      <c r="D333" s="57" t="n"/>
      <c r="E333" s="57" t="n"/>
      <c r="F333" s="57" t="n"/>
      <c r="G333" s="57" t="n"/>
    </row>
    <row r="334" ht="15.75" customHeight="1" s="94">
      <c r="A334" s="57" t="n"/>
      <c r="B334" s="57" t="n"/>
      <c r="C334" s="57" t="n"/>
      <c r="D334" s="57" t="n"/>
      <c r="E334" s="57" t="n"/>
      <c r="F334" s="57" t="n"/>
      <c r="G334" s="57" t="n"/>
    </row>
    <row r="335" ht="15.75" customHeight="1" s="94">
      <c r="A335" s="57" t="n"/>
      <c r="B335" s="57" t="n"/>
      <c r="C335" s="57" t="n"/>
      <c r="D335" s="57" t="n"/>
      <c r="E335" s="57" t="n"/>
      <c r="F335" s="57" t="n"/>
      <c r="G335" s="57" t="n"/>
    </row>
    <row r="336" ht="15.75" customHeight="1" s="94">
      <c r="A336" s="57" t="n"/>
      <c r="B336" s="57" t="n"/>
      <c r="C336" s="57" t="n"/>
      <c r="D336" s="57" t="n"/>
      <c r="E336" s="57" t="n"/>
      <c r="F336" s="57" t="n"/>
      <c r="G336" s="57" t="n"/>
    </row>
    <row r="337" ht="15.75" customHeight="1" s="94">
      <c r="A337" s="57" t="n"/>
      <c r="B337" s="57" t="n"/>
      <c r="C337" s="57" t="n"/>
      <c r="D337" s="57" t="n"/>
      <c r="E337" s="57" t="n"/>
      <c r="F337" s="57" t="n"/>
      <c r="G337" s="57" t="n"/>
    </row>
    <row r="338" ht="15.75" customHeight="1" s="94">
      <c r="A338" s="57" t="n"/>
      <c r="B338" s="57" t="n"/>
      <c r="C338" s="57" t="n"/>
      <c r="D338" s="57" t="n"/>
      <c r="E338" s="57" t="n"/>
      <c r="F338" s="57" t="n"/>
      <c r="G338" s="57" t="n"/>
    </row>
    <row r="339" ht="15.75" customHeight="1" s="94">
      <c r="A339" s="57" t="n"/>
      <c r="B339" s="57" t="n"/>
      <c r="C339" s="57" t="n"/>
      <c r="D339" s="57" t="n"/>
      <c r="E339" s="57" t="n"/>
      <c r="F339" s="57" t="n"/>
      <c r="G339" s="57" t="n"/>
    </row>
    <row r="340" ht="15.75" customHeight="1" s="94">
      <c r="A340" s="57" t="n"/>
      <c r="B340" s="57" t="n"/>
      <c r="C340" s="57" t="n"/>
      <c r="D340" s="57" t="n"/>
      <c r="E340" s="57" t="n"/>
      <c r="F340" s="57" t="n"/>
      <c r="G340" s="57" t="n"/>
    </row>
    <row r="341" ht="15.75" customHeight="1" s="94">
      <c r="A341" s="57" t="n"/>
      <c r="B341" s="57" t="n"/>
      <c r="C341" s="57" t="n"/>
      <c r="D341" s="57" t="n"/>
      <c r="E341" s="57" t="n"/>
      <c r="F341" s="57" t="n"/>
      <c r="G341" s="57" t="n"/>
    </row>
    <row r="342" ht="15.75" customHeight="1" s="94">
      <c r="A342" s="57" t="n"/>
      <c r="B342" s="57" t="n"/>
      <c r="C342" s="57" t="n"/>
      <c r="D342" s="57" t="n"/>
      <c r="E342" s="57" t="n"/>
      <c r="F342" s="57" t="n"/>
      <c r="G342" s="57" t="n"/>
    </row>
    <row r="343" ht="15.75" customHeight="1" s="94">
      <c r="A343" s="57" t="n"/>
      <c r="B343" s="57" t="n"/>
      <c r="C343" s="57" t="n"/>
      <c r="D343" s="57" t="n"/>
      <c r="E343" s="57" t="n"/>
      <c r="F343" s="57" t="n"/>
      <c r="G343" s="57" t="n"/>
    </row>
    <row r="344" ht="15.75" customHeight="1" s="94">
      <c r="A344" s="57" t="n"/>
      <c r="B344" s="57" t="n"/>
      <c r="C344" s="57" t="n"/>
      <c r="D344" s="57" t="n"/>
      <c r="E344" s="57" t="n"/>
      <c r="F344" s="57" t="n"/>
      <c r="G344" s="57" t="n"/>
    </row>
    <row r="345" ht="15.75" customHeight="1" s="94">
      <c r="A345" s="57" t="n"/>
      <c r="B345" s="57" t="n"/>
      <c r="C345" s="57" t="n"/>
      <c r="D345" s="57" t="n"/>
      <c r="E345" s="57" t="n"/>
      <c r="F345" s="57" t="n"/>
      <c r="G345" s="57" t="n"/>
    </row>
    <row r="346" ht="15.75" customHeight="1" s="94">
      <c r="A346" s="57" t="n"/>
      <c r="B346" s="57" t="n"/>
      <c r="C346" s="57" t="n"/>
      <c r="D346" s="57" t="n"/>
      <c r="E346" s="57" t="n"/>
      <c r="F346" s="57" t="n"/>
      <c r="G346" s="57" t="n"/>
    </row>
    <row r="347" ht="15.75" customHeight="1" s="94">
      <c r="A347" s="57" t="n"/>
      <c r="B347" s="57" t="n"/>
      <c r="C347" s="57" t="n"/>
      <c r="D347" s="57" t="n"/>
      <c r="E347" s="57" t="n"/>
      <c r="F347" s="57" t="n"/>
      <c r="G347" s="57" t="n"/>
    </row>
    <row r="348" ht="15.75" customHeight="1" s="94">
      <c r="A348" s="57" t="n"/>
      <c r="B348" s="57" t="n"/>
      <c r="C348" s="57" t="n"/>
      <c r="D348" s="57" t="n"/>
      <c r="E348" s="57" t="n"/>
      <c r="F348" s="57" t="n"/>
      <c r="G348" s="57" t="n"/>
    </row>
    <row r="349" ht="15.75" customHeight="1" s="94">
      <c r="A349" s="57" t="n"/>
      <c r="B349" s="57" t="n"/>
      <c r="C349" s="57" t="n"/>
      <c r="D349" s="57" t="n"/>
      <c r="E349" s="57" t="n"/>
      <c r="F349" s="57" t="n"/>
      <c r="G349" s="57" t="n"/>
    </row>
    <row r="350" ht="15.75" customHeight="1" s="94">
      <c r="A350" s="57" t="n"/>
      <c r="B350" s="57" t="n"/>
      <c r="C350" s="57" t="n"/>
      <c r="D350" s="57" t="n"/>
      <c r="E350" s="57" t="n"/>
      <c r="F350" s="57" t="n"/>
      <c r="G350" s="57" t="n"/>
    </row>
    <row r="351" ht="15.75" customHeight="1" s="94">
      <c r="A351" s="57" t="n"/>
      <c r="B351" s="57" t="n"/>
      <c r="C351" s="57" t="n"/>
      <c r="D351" s="57" t="n"/>
      <c r="E351" s="57" t="n"/>
      <c r="F351" s="57" t="n"/>
      <c r="G351" s="57" t="n"/>
    </row>
    <row r="352" ht="15.75" customHeight="1" s="94">
      <c r="A352" s="57" t="n"/>
      <c r="B352" s="57" t="n"/>
      <c r="C352" s="57" t="n"/>
      <c r="D352" s="57" t="n"/>
      <c r="E352" s="57" t="n"/>
      <c r="F352" s="57" t="n"/>
      <c r="G352" s="57" t="n"/>
    </row>
    <row r="353" ht="15.75" customHeight="1" s="94">
      <c r="A353" s="57" t="n"/>
      <c r="B353" s="57" t="n"/>
      <c r="C353" s="57" t="n"/>
      <c r="D353" s="57" t="n"/>
      <c r="E353" s="57" t="n"/>
      <c r="F353" s="57" t="n"/>
      <c r="G353" s="57" t="n"/>
    </row>
    <row r="354" ht="15.75" customHeight="1" s="94">
      <c r="A354" s="57" t="n"/>
      <c r="B354" s="57" t="n"/>
      <c r="C354" s="57" t="n"/>
      <c r="D354" s="57" t="n"/>
      <c r="E354" s="57" t="n"/>
      <c r="F354" s="57" t="n"/>
      <c r="G354" s="57" t="n"/>
    </row>
    <row r="355" ht="15.75" customHeight="1" s="94">
      <c r="A355" s="57" t="n"/>
      <c r="B355" s="57" t="n"/>
      <c r="C355" s="57" t="n"/>
      <c r="D355" s="57" t="n"/>
      <c r="E355" s="57" t="n"/>
      <c r="F355" s="57" t="n"/>
      <c r="G355" s="57" t="n"/>
    </row>
    <row r="356" ht="15.75" customHeight="1" s="94">
      <c r="A356" s="57" t="n"/>
      <c r="B356" s="57" t="n"/>
      <c r="C356" s="57" t="n"/>
      <c r="D356" s="57" t="n"/>
      <c r="E356" s="57" t="n"/>
      <c r="F356" s="57" t="n"/>
      <c r="G356" s="57" t="n"/>
    </row>
    <row r="357" ht="15.75" customHeight="1" s="94">
      <c r="A357" s="57" t="n"/>
      <c r="B357" s="57" t="n"/>
      <c r="C357" s="57" t="n"/>
      <c r="D357" s="57" t="n"/>
      <c r="E357" s="57" t="n"/>
      <c r="F357" s="57" t="n"/>
      <c r="G357" s="57" t="n"/>
    </row>
    <row r="358" ht="15.75" customHeight="1" s="94">
      <c r="A358" s="57" t="n"/>
      <c r="B358" s="57" t="n"/>
      <c r="C358" s="57" t="n"/>
      <c r="D358" s="57" t="n"/>
      <c r="E358" s="57" t="n"/>
      <c r="F358" s="57" t="n"/>
      <c r="G358" s="57" t="n"/>
    </row>
    <row r="359" ht="15.75" customHeight="1" s="94">
      <c r="A359" s="57" t="n"/>
      <c r="B359" s="57" t="n"/>
      <c r="C359" s="57" t="n"/>
      <c r="D359" s="57" t="n"/>
      <c r="E359" s="57" t="n"/>
      <c r="F359" s="57" t="n"/>
      <c r="G359" s="57" t="n"/>
    </row>
    <row r="360" ht="15.75" customHeight="1" s="94">
      <c r="A360" s="57" t="n"/>
      <c r="B360" s="57" t="n"/>
      <c r="C360" s="57" t="n"/>
      <c r="D360" s="57" t="n"/>
      <c r="E360" s="57" t="n"/>
      <c r="F360" s="57" t="n"/>
      <c r="G360" s="57" t="n"/>
    </row>
    <row r="361" ht="15.75" customHeight="1" s="94">
      <c r="A361" s="57" t="n"/>
      <c r="B361" s="57" t="n"/>
      <c r="C361" s="57" t="n"/>
      <c r="D361" s="57" t="n"/>
      <c r="E361" s="57" t="n"/>
      <c r="F361" s="57" t="n"/>
      <c r="G361" s="57" t="n"/>
    </row>
    <row r="362" ht="15.75" customHeight="1" s="94">
      <c r="A362" s="57" t="n"/>
      <c r="B362" s="57" t="n"/>
      <c r="C362" s="57" t="n"/>
      <c r="D362" s="57" t="n"/>
      <c r="E362" s="57" t="n"/>
      <c r="F362" s="57" t="n"/>
      <c r="G362" s="57" t="n"/>
    </row>
    <row r="363" ht="15.75" customHeight="1" s="94">
      <c r="A363" s="57" t="n"/>
      <c r="B363" s="57" t="n"/>
      <c r="C363" s="57" t="n"/>
      <c r="D363" s="57" t="n"/>
      <c r="E363" s="57" t="n"/>
      <c r="F363" s="57" t="n"/>
      <c r="G363" s="57" t="n"/>
    </row>
    <row r="364" ht="15.75" customHeight="1" s="94">
      <c r="A364" s="57" t="n"/>
      <c r="B364" s="57" t="n"/>
      <c r="C364" s="57" t="n"/>
      <c r="D364" s="57" t="n"/>
      <c r="E364" s="57" t="n"/>
      <c r="F364" s="57" t="n"/>
      <c r="G364" s="57" t="n"/>
    </row>
    <row r="365" ht="15.75" customHeight="1" s="94">
      <c r="A365" s="57" t="n"/>
      <c r="B365" s="57" t="n"/>
      <c r="C365" s="57" t="n"/>
      <c r="D365" s="57" t="n"/>
      <c r="E365" s="57" t="n"/>
      <c r="F365" s="57" t="n"/>
      <c r="G365" s="57" t="n"/>
    </row>
    <row r="366" ht="15.75" customHeight="1" s="94">
      <c r="A366" s="57" t="n"/>
      <c r="B366" s="57" t="n"/>
      <c r="C366" s="57" t="n"/>
      <c r="D366" s="57" t="n"/>
      <c r="E366" s="57" t="n"/>
      <c r="F366" s="57" t="n"/>
      <c r="G366" s="57" t="n"/>
    </row>
    <row r="367" ht="15.75" customHeight="1" s="94">
      <c r="A367" s="57" t="n"/>
      <c r="B367" s="57" t="n"/>
      <c r="C367" s="57" t="n"/>
      <c r="D367" s="57" t="n"/>
      <c r="E367" s="57" t="n"/>
      <c r="F367" s="57" t="n"/>
      <c r="G367" s="57" t="n"/>
    </row>
    <row r="368" ht="15.75" customHeight="1" s="94">
      <c r="A368" s="57" t="n"/>
      <c r="B368" s="57" t="n"/>
      <c r="C368" s="57" t="n"/>
      <c r="D368" s="57" t="n"/>
      <c r="E368" s="57" t="n"/>
      <c r="F368" s="57" t="n"/>
      <c r="G368" s="57" t="n"/>
    </row>
    <row r="369" ht="15.75" customHeight="1" s="94">
      <c r="A369" s="57" t="n"/>
      <c r="B369" s="57" t="n"/>
      <c r="C369" s="57" t="n"/>
      <c r="D369" s="57" t="n"/>
      <c r="E369" s="57" t="n"/>
      <c r="F369" s="57" t="n"/>
      <c r="G369" s="57" t="n"/>
    </row>
    <row r="370" ht="15.75" customHeight="1" s="94">
      <c r="A370" s="57" t="n"/>
      <c r="B370" s="57" t="n"/>
      <c r="C370" s="57" t="n"/>
      <c r="D370" s="57" t="n"/>
      <c r="E370" s="57" t="n"/>
      <c r="F370" s="57" t="n"/>
      <c r="G370" s="57" t="n"/>
    </row>
    <row r="371" ht="15.75" customHeight="1" s="94">
      <c r="A371" s="57" t="n"/>
      <c r="B371" s="57" t="n"/>
      <c r="C371" s="57" t="n"/>
      <c r="D371" s="57" t="n"/>
      <c r="E371" s="57" t="n"/>
      <c r="F371" s="57" t="n"/>
      <c r="G371" s="57" t="n"/>
    </row>
    <row r="372" ht="15.75" customHeight="1" s="94">
      <c r="A372" s="57" t="n"/>
      <c r="B372" s="57" t="n"/>
      <c r="C372" s="57" t="n"/>
      <c r="D372" s="57" t="n"/>
      <c r="E372" s="57" t="n"/>
      <c r="F372" s="57" t="n"/>
      <c r="G372" s="57" t="n"/>
    </row>
    <row r="373" ht="15.75" customHeight="1" s="94">
      <c r="A373" s="57" t="n"/>
      <c r="B373" s="57" t="n"/>
      <c r="C373" s="57" t="n"/>
      <c r="D373" s="57" t="n"/>
      <c r="E373" s="57" t="n"/>
      <c r="F373" s="57" t="n"/>
      <c r="G373" s="57" t="n"/>
    </row>
    <row r="374" ht="15.75" customHeight="1" s="94">
      <c r="A374" s="57" t="n"/>
      <c r="B374" s="57" t="n"/>
      <c r="C374" s="57" t="n"/>
      <c r="D374" s="57" t="n"/>
      <c r="E374" s="57" t="n"/>
      <c r="F374" s="57" t="n"/>
      <c r="G374" s="57" t="n"/>
    </row>
    <row r="375" ht="15.75" customHeight="1" s="94">
      <c r="A375" s="57" t="n"/>
      <c r="B375" s="57" t="n"/>
      <c r="C375" s="57" t="n"/>
      <c r="D375" s="57" t="n"/>
      <c r="E375" s="57" t="n"/>
      <c r="F375" s="57" t="n"/>
      <c r="G375" s="57" t="n"/>
    </row>
    <row r="376" ht="15.75" customHeight="1" s="94">
      <c r="A376" s="57" t="n"/>
      <c r="B376" s="57" t="n"/>
      <c r="C376" s="57" t="n"/>
      <c r="D376" s="57" t="n"/>
      <c r="E376" s="57" t="n"/>
      <c r="F376" s="57" t="n"/>
      <c r="G376" s="57" t="n"/>
    </row>
    <row r="377" ht="15.75" customHeight="1" s="94">
      <c r="A377" s="57" t="n"/>
      <c r="B377" s="57" t="n"/>
      <c r="C377" s="57" t="n"/>
      <c r="D377" s="57" t="n"/>
      <c r="E377" s="57" t="n"/>
      <c r="F377" s="57" t="n"/>
      <c r="G377" s="57" t="n"/>
    </row>
    <row r="378" ht="15.75" customHeight="1" s="94">
      <c r="A378" s="57" t="n"/>
      <c r="B378" s="57" t="n"/>
      <c r="C378" s="57" t="n"/>
      <c r="D378" s="57" t="n"/>
      <c r="E378" s="57" t="n"/>
      <c r="F378" s="57" t="n"/>
      <c r="G378" s="57" t="n"/>
    </row>
    <row r="379" ht="15.75" customHeight="1" s="94">
      <c r="A379" s="57" t="n"/>
      <c r="B379" s="57" t="n"/>
      <c r="C379" s="57" t="n"/>
      <c r="D379" s="57" t="n"/>
      <c r="E379" s="57" t="n"/>
      <c r="F379" s="57" t="n"/>
      <c r="G379" s="57" t="n"/>
    </row>
    <row r="380" ht="15.75" customHeight="1" s="94">
      <c r="A380" s="57" t="n"/>
      <c r="B380" s="57" t="n"/>
      <c r="C380" s="57" t="n"/>
      <c r="D380" s="57" t="n"/>
      <c r="E380" s="57" t="n"/>
      <c r="F380" s="57" t="n"/>
      <c r="G380" s="57" t="n"/>
    </row>
    <row r="381" ht="15.75" customHeight="1" s="94">
      <c r="A381" s="57" t="n"/>
      <c r="B381" s="57" t="n"/>
      <c r="C381" s="57" t="n"/>
      <c r="D381" s="57" t="n"/>
      <c r="E381" s="57" t="n"/>
      <c r="F381" s="57" t="n"/>
      <c r="G381" s="57" t="n"/>
    </row>
    <row r="382" ht="15.75" customHeight="1" s="94">
      <c r="A382" s="57" t="n"/>
      <c r="B382" s="57" t="n"/>
      <c r="C382" s="57" t="n"/>
      <c r="D382" s="57" t="n"/>
      <c r="E382" s="57" t="n"/>
      <c r="F382" s="57" t="n"/>
      <c r="G382" s="57" t="n"/>
    </row>
    <row r="383" ht="15.75" customHeight="1" s="94">
      <c r="A383" s="57" t="n"/>
      <c r="B383" s="57" t="n"/>
      <c r="C383" s="57" t="n"/>
      <c r="D383" s="57" t="n"/>
      <c r="E383" s="57" t="n"/>
      <c r="F383" s="57" t="n"/>
      <c r="G383" s="57" t="n"/>
    </row>
    <row r="384" ht="15.75" customHeight="1" s="94">
      <c r="A384" s="57" t="n"/>
      <c r="B384" s="57" t="n"/>
      <c r="C384" s="57" t="n"/>
      <c r="D384" s="57" t="n"/>
      <c r="E384" s="57" t="n"/>
      <c r="F384" s="57" t="n"/>
      <c r="G384" s="57" t="n"/>
    </row>
    <row r="385" ht="15.75" customHeight="1" s="94">
      <c r="A385" s="57" t="n"/>
      <c r="B385" s="57" t="n"/>
      <c r="C385" s="57" t="n"/>
      <c r="D385" s="57" t="n"/>
      <c r="E385" s="57" t="n"/>
      <c r="F385" s="57" t="n"/>
      <c r="G385" s="57" t="n"/>
    </row>
    <row r="386" ht="15.75" customHeight="1" s="94">
      <c r="A386" s="57" t="n"/>
      <c r="B386" s="57" t="n"/>
      <c r="C386" s="57" t="n"/>
      <c r="D386" s="57" t="n"/>
      <c r="E386" s="57" t="n"/>
      <c r="F386" s="57" t="n"/>
      <c r="G386" s="57" t="n"/>
    </row>
    <row r="387" ht="15.75" customHeight="1" s="94">
      <c r="A387" s="57" t="n"/>
      <c r="B387" s="57" t="n"/>
      <c r="C387" s="57" t="n"/>
      <c r="D387" s="57" t="n"/>
      <c r="E387" s="57" t="n"/>
      <c r="F387" s="57" t="n"/>
      <c r="G387" s="57" t="n"/>
    </row>
    <row r="388" ht="15.75" customHeight="1" s="94">
      <c r="A388" s="57" t="n"/>
      <c r="B388" s="57" t="n"/>
      <c r="C388" s="57" t="n"/>
      <c r="D388" s="57" t="n"/>
      <c r="E388" s="57" t="n"/>
      <c r="F388" s="57" t="n"/>
      <c r="G388" s="57" t="n"/>
    </row>
    <row r="389" ht="15.75" customHeight="1" s="94">
      <c r="A389" s="57" t="n"/>
      <c r="B389" s="57" t="n"/>
      <c r="C389" s="57" t="n"/>
      <c r="D389" s="57" t="n"/>
      <c r="E389" s="57" t="n"/>
      <c r="F389" s="57" t="n"/>
      <c r="G389" s="57" t="n"/>
    </row>
    <row r="390" ht="15.75" customHeight="1" s="94">
      <c r="A390" s="57" t="n"/>
      <c r="B390" s="57" t="n"/>
      <c r="C390" s="57" t="n"/>
      <c r="D390" s="57" t="n"/>
      <c r="E390" s="57" t="n"/>
      <c r="F390" s="57" t="n"/>
      <c r="G390" s="57" t="n"/>
    </row>
    <row r="391" ht="15.75" customHeight="1" s="94">
      <c r="A391" s="57" t="n"/>
      <c r="B391" s="57" t="n"/>
      <c r="C391" s="57" t="n"/>
      <c r="D391" s="57" t="n"/>
      <c r="E391" s="57" t="n"/>
      <c r="F391" s="57" t="n"/>
      <c r="G391" s="57" t="n"/>
    </row>
    <row r="392" ht="15.75" customHeight="1" s="94">
      <c r="A392" s="57" t="n"/>
      <c r="B392" s="57" t="n"/>
      <c r="C392" s="57" t="n"/>
      <c r="D392" s="57" t="n"/>
      <c r="E392" s="57" t="n"/>
      <c r="F392" s="57" t="n"/>
      <c r="G392" s="57" t="n"/>
    </row>
    <row r="393" ht="15.75" customHeight="1" s="94">
      <c r="A393" s="57" t="n"/>
      <c r="B393" s="57" t="n"/>
      <c r="C393" s="57" t="n"/>
      <c r="D393" s="57" t="n"/>
      <c r="E393" s="57" t="n"/>
      <c r="F393" s="57" t="n"/>
      <c r="G393" s="57" t="n"/>
    </row>
    <row r="394" ht="15.75" customHeight="1" s="94">
      <c r="A394" s="57" t="n"/>
      <c r="B394" s="57" t="n"/>
      <c r="C394" s="57" t="n"/>
      <c r="D394" s="57" t="n"/>
      <c r="E394" s="57" t="n"/>
      <c r="F394" s="57" t="n"/>
      <c r="G394" s="57" t="n"/>
    </row>
    <row r="395" ht="15.75" customHeight="1" s="94">
      <c r="A395" s="57" t="n"/>
      <c r="B395" s="57" t="n"/>
      <c r="C395" s="57" t="n"/>
      <c r="D395" s="57" t="n"/>
      <c r="E395" s="57" t="n"/>
      <c r="F395" s="57" t="n"/>
      <c r="G395" s="57" t="n"/>
    </row>
    <row r="396" ht="15.75" customHeight="1" s="94">
      <c r="A396" s="57" t="n"/>
      <c r="B396" s="57" t="n"/>
      <c r="C396" s="57" t="n"/>
      <c r="D396" s="57" t="n"/>
      <c r="E396" s="57" t="n"/>
      <c r="F396" s="57" t="n"/>
      <c r="G396" s="57" t="n"/>
    </row>
    <row r="397" ht="15.75" customHeight="1" s="94">
      <c r="A397" s="57" t="n"/>
      <c r="B397" s="57" t="n"/>
      <c r="C397" s="57" t="n"/>
      <c r="D397" s="57" t="n"/>
      <c r="E397" s="57" t="n"/>
      <c r="F397" s="57" t="n"/>
      <c r="G397" s="57" t="n"/>
    </row>
    <row r="398" ht="15.75" customHeight="1" s="94">
      <c r="A398" s="57" t="n"/>
      <c r="B398" s="57" t="n"/>
      <c r="C398" s="57" t="n"/>
      <c r="D398" s="57" t="n"/>
      <c r="E398" s="57" t="n"/>
      <c r="F398" s="57" t="n"/>
      <c r="G398" s="57" t="n"/>
    </row>
    <row r="399" ht="15.75" customHeight="1" s="94">
      <c r="A399" s="57" t="n"/>
      <c r="B399" s="57" t="n"/>
      <c r="C399" s="57" t="n"/>
      <c r="D399" s="57" t="n"/>
      <c r="E399" s="57" t="n"/>
      <c r="F399" s="57" t="n"/>
      <c r="G399" s="57" t="n"/>
    </row>
    <row r="400" ht="15.75" customHeight="1" s="94">
      <c r="A400" s="57" t="n"/>
      <c r="B400" s="57" t="n"/>
      <c r="C400" s="57" t="n"/>
      <c r="D400" s="57" t="n"/>
      <c r="E400" s="57" t="n"/>
      <c r="F400" s="57" t="n"/>
      <c r="G400" s="57" t="n"/>
    </row>
    <row r="401" ht="15.75" customHeight="1" s="94">
      <c r="A401" s="57" t="n"/>
      <c r="B401" s="57" t="n"/>
      <c r="C401" s="57" t="n"/>
      <c r="D401" s="57" t="n"/>
      <c r="E401" s="57" t="n"/>
      <c r="F401" s="57" t="n"/>
      <c r="G401" s="57" t="n"/>
    </row>
    <row r="402" ht="15.75" customHeight="1" s="94">
      <c r="A402" s="57" t="n"/>
      <c r="B402" s="57" t="n"/>
      <c r="C402" s="57" t="n"/>
      <c r="D402" s="57" t="n"/>
      <c r="E402" s="57" t="n"/>
      <c r="F402" s="57" t="n"/>
      <c r="G402" s="57" t="n"/>
    </row>
    <row r="403" ht="15.75" customHeight="1" s="94">
      <c r="A403" s="57" t="n"/>
      <c r="B403" s="57" t="n"/>
      <c r="C403" s="57" t="n"/>
      <c r="D403" s="57" t="n"/>
      <c r="E403" s="57" t="n"/>
      <c r="F403" s="57" t="n"/>
      <c r="G403" s="57" t="n"/>
    </row>
    <row r="404" ht="15.75" customHeight="1" s="94">
      <c r="A404" s="57" t="n"/>
      <c r="B404" s="57" t="n"/>
      <c r="C404" s="57" t="n"/>
      <c r="D404" s="57" t="n"/>
      <c r="E404" s="57" t="n"/>
      <c r="F404" s="57" t="n"/>
      <c r="G404" s="57" t="n"/>
    </row>
    <row r="405" ht="15.75" customHeight="1" s="94">
      <c r="A405" s="57" t="n"/>
      <c r="B405" s="57" t="n"/>
      <c r="C405" s="57" t="n"/>
      <c r="D405" s="57" t="n"/>
      <c r="E405" s="57" t="n"/>
      <c r="F405" s="57" t="n"/>
      <c r="G405" s="57" t="n"/>
    </row>
    <row r="406" ht="15.75" customHeight="1" s="94">
      <c r="A406" s="57" t="n"/>
      <c r="B406" s="57" t="n"/>
      <c r="C406" s="57" t="n"/>
      <c r="D406" s="57" t="n"/>
      <c r="E406" s="57" t="n"/>
      <c r="F406" s="57" t="n"/>
      <c r="G406" s="57" t="n"/>
    </row>
    <row r="407" ht="15.75" customHeight="1" s="94">
      <c r="A407" s="57" t="n"/>
      <c r="B407" s="57" t="n"/>
      <c r="C407" s="57" t="n"/>
      <c r="D407" s="57" t="n"/>
      <c r="E407" s="57" t="n"/>
      <c r="F407" s="57" t="n"/>
      <c r="G407" s="57" t="n"/>
    </row>
    <row r="408" ht="15.75" customHeight="1" s="94">
      <c r="A408" s="57" t="n"/>
      <c r="B408" s="57" t="n"/>
      <c r="C408" s="57" t="n"/>
      <c r="D408" s="57" t="n"/>
      <c r="E408" s="57" t="n"/>
      <c r="F408" s="57" t="n"/>
      <c r="G408" s="57" t="n"/>
    </row>
    <row r="409" ht="15.75" customHeight="1" s="94">
      <c r="A409" s="57" t="n"/>
      <c r="B409" s="57" t="n"/>
      <c r="C409" s="57" t="n"/>
      <c r="D409" s="57" t="n"/>
      <c r="E409" s="57" t="n"/>
      <c r="F409" s="57" t="n"/>
      <c r="G409" s="57" t="n"/>
    </row>
    <row r="410" ht="15.75" customHeight="1" s="94">
      <c r="A410" s="57" t="n"/>
      <c r="B410" s="57" t="n"/>
      <c r="C410" s="57" t="n"/>
      <c r="D410" s="57" t="n"/>
      <c r="E410" s="57" t="n"/>
      <c r="F410" s="57" t="n"/>
      <c r="G410" s="57" t="n"/>
    </row>
    <row r="411" ht="15.75" customHeight="1" s="94">
      <c r="A411" s="57" t="n"/>
      <c r="B411" s="57" t="n"/>
      <c r="C411" s="57" t="n"/>
      <c r="D411" s="57" t="n"/>
      <c r="E411" s="57" t="n"/>
      <c r="F411" s="57" t="n"/>
      <c r="G411" s="57" t="n"/>
    </row>
    <row r="412" ht="15.75" customHeight="1" s="94">
      <c r="A412" s="57" t="n"/>
      <c r="B412" s="57" t="n"/>
      <c r="C412" s="57" t="n"/>
      <c r="D412" s="57" t="n"/>
      <c r="E412" s="57" t="n"/>
      <c r="F412" s="57" t="n"/>
      <c r="G412" s="57" t="n"/>
    </row>
    <row r="413" ht="15.75" customHeight="1" s="94">
      <c r="A413" s="57" t="n"/>
      <c r="B413" s="57" t="n"/>
      <c r="C413" s="57" t="n"/>
      <c r="D413" s="57" t="n"/>
      <c r="E413" s="57" t="n"/>
      <c r="F413" s="57" t="n"/>
      <c r="G413" s="57" t="n"/>
    </row>
    <row r="414" ht="15.75" customHeight="1" s="94">
      <c r="A414" s="57" t="n"/>
      <c r="B414" s="57" t="n"/>
      <c r="C414" s="57" t="n"/>
      <c r="D414" s="57" t="n"/>
      <c r="E414" s="57" t="n"/>
      <c r="F414" s="57" t="n"/>
      <c r="G414" s="57" t="n"/>
    </row>
    <row r="415" ht="15.75" customHeight="1" s="94">
      <c r="A415" s="57" t="n"/>
      <c r="B415" s="57" t="n"/>
      <c r="C415" s="57" t="n"/>
      <c r="D415" s="57" t="n"/>
      <c r="E415" s="57" t="n"/>
      <c r="F415" s="57" t="n"/>
      <c r="G415" s="57" t="n"/>
    </row>
    <row r="416" ht="15.75" customHeight="1" s="94">
      <c r="A416" s="57" t="n"/>
      <c r="B416" s="57" t="n"/>
      <c r="C416" s="57" t="n"/>
      <c r="D416" s="57" t="n"/>
      <c r="E416" s="57" t="n"/>
      <c r="F416" s="57" t="n"/>
      <c r="G416" s="57" t="n"/>
    </row>
    <row r="417" ht="15.75" customHeight="1" s="94">
      <c r="A417" s="57" t="n"/>
      <c r="B417" s="57" t="n"/>
      <c r="C417" s="57" t="n"/>
      <c r="D417" s="57" t="n"/>
      <c r="E417" s="57" t="n"/>
      <c r="F417" s="57" t="n"/>
      <c r="G417" s="57" t="n"/>
    </row>
    <row r="418" ht="15.75" customHeight="1" s="94">
      <c r="A418" s="57" t="n"/>
      <c r="B418" s="57" t="n"/>
      <c r="C418" s="57" t="n"/>
      <c r="D418" s="57" t="n"/>
      <c r="E418" s="57" t="n"/>
      <c r="F418" s="57" t="n"/>
      <c r="G418" s="57" t="n"/>
    </row>
    <row r="419" ht="15.75" customHeight="1" s="94">
      <c r="A419" s="57" t="n"/>
      <c r="B419" s="57" t="n"/>
      <c r="C419" s="57" t="n"/>
      <c r="D419" s="57" t="n"/>
      <c r="E419" s="57" t="n"/>
      <c r="F419" s="57" t="n"/>
      <c r="G419" s="57" t="n"/>
    </row>
    <row r="420" ht="15.75" customHeight="1" s="94">
      <c r="A420" s="57" t="n"/>
      <c r="B420" s="57" t="n"/>
      <c r="C420" s="57" t="n"/>
      <c r="D420" s="57" t="n"/>
      <c r="E420" s="57" t="n"/>
      <c r="F420" s="57" t="n"/>
      <c r="G420" s="57" t="n"/>
    </row>
    <row r="421" ht="15.75" customHeight="1" s="94">
      <c r="A421" s="57" t="n"/>
      <c r="B421" s="57" t="n"/>
      <c r="C421" s="57" t="n"/>
      <c r="D421" s="57" t="n"/>
      <c r="E421" s="57" t="n"/>
      <c r="F421" s="57" t="n"/>
      <c r="G421" s="57" t="n"/>
    </row>
    <row r="422" ht="15.75" customHeight="1" s="94">
      <c r="A422" s="57" t="n"/>
      <c r="B422" s="57" t="n"/>
      <c r="C422" s="57" t="n"/>
      <c r="D422" s="57" t="n"/>
      <c r="E422" s="57" t="n"/>
      <c r="F422" s="57" t="n"/>
      <c r="G422" s="57" t="n"/>
    </row>
    <row r="423" ht="15.75" customHeight="1" s="94">
      <c r="A423" s="57" t="n"/>
      <c r="B423" s="57" t="n"/>
      <c r="C423" s="57" t="n"/>
      <c r="D423" s="57" t="n"/>
      <c r="E423" s="57" t="n"/>
      <c r="F423" s="57" t="n"/>
      <c r="G423" s="57" t="n"/>
    </row>
    <row r="424" ht="15.75" customHeight="1" s="94">
      <c r="A424" s="57" t="n"/>
      <c r="B424" s="57" t="n"/>
      <c r="C424" s="57" t="n"/>
      <c r="D424" s="57" t="n"/>
      <c r="E424" s="57" t="n"/>
      <c r="F424" s="57" t="n"/>
      <c r="G424" s="57" t="n"/>
    </row>
    <row r="425" ht="15.75" customHeight="1" s="94">
      <c r="A425" s="57" t="n"/>
      <c r="B425" s="57" t="n"/>
      <c r="C425" s="57" t="n"/>
      <c r="D425" s="57" t="n"/>
      <c r="E425" s="57" t="n"/>
      <c r="F425" s="57" t="n"/>
      <c r="G425" s="57" t="n"/>
    </row>
    <row r="426" ht="15.75" customHeight="1" s="94">
      <c r="A426" s="57" t="n"/>
      <c r="B426" s="57" t="n"/>
      <c r="C426" s="57" t="n"/>
      <c r="D426" s="57" t="n"/>
      <c r="E426" s="57" t="n"/>
      <c r="F426" s="57" t="n"/>
      <c r="G426" s="57" t="n"/>
    </row>
    <row r="427" ht="15.75" customHeight="1" s="94">
      <c r="A427" s="57" t="n"/>
      <c r="B427" s="57" t="n"/>
      <c r="C427" s="57" t="n"/>
      <c r="D427" s="57" t="n"/>
      <c r="E427" s="57" t="n"/>
      <c r="F427" s="57" t="n"/>
      <c r="G427" s="57" t="n"/>
    </row>
    <row r="428" ht="15.75" customHeight="1" s="94">
      <c r="A428" s="57" t="n"/>
      <c r="B428" s="57" t="n"/>
      <c r="C428" s="57" t="n"/>
      <c r="D428" s="57" t="n"/>
      <c r="E428" s="57" t="n"/>
      <c r="F428" s="57" t="n"/>
      <c r="G428" s="57" t="n"/>
    </row>
    <row r="429" ht="15.75" customHeight="1" s="94">
      <c r="A429" s="57" t="n"/>
      <c r="B429" s="57" t="n"/>
      <c r="C429" s="57" t="n"/>
      <c r="D429" s="57" t="n"/>
      <c r="E429" s="57" t="n"/>
      <c r="F429" s="57" t="n"/>
      <c r="G429" s="57" t="n"/>
    </row>
    <row r="430" ht="15.75" customHeight="1" s="94">
      <c r="A430" s="57" t="n"/>
      <c r="B430" s="57" t="n"/>
      <c r="C430" s="57" t="n"/>
      <c r="D430" s="57" t="n"/>
      <c r="E430" s="57" t="n"/>
      <c r="F430" s="57" t="n"/>
      <c r="G430" s="57" t="n"/>
    </row>
    <row r="431" ht="15.75" customHeight="1" s="94">
      <c r="A431" s="57" t="n"/>
      <c r="B431" s="57" t="n"/>
      <c r="C431" s="57" t="n"/>
      <c r="D431" s="57" t="n"/>
      <c r="E431" s="57" t="n"/>
      <c r="F431" s="57" t="n"/>
      <c r="G431" s="57" t="n"/>
    </row>
    <row r="432" ht="15.75" customHeight="1" s="94">
      <c r="A432" s="57" t="n"/>
      <c r="B432" s="57" t="n"/>
      <c r="C432" s="57" t="n"/>
      <c r="D432" s="57" t="n"/>
      <c r="E432" s="57" t="n"/>
      <c r="F432" s="57" t="n"/>
      <c r="G432" s="57" t="n"/>
    </row>
    <row r="433" ht="15.75" customHeight="1" s="94">
      <c r="A433" s="57" t="n"/>
      <c r="B433" s="57" t="n"/>
      <c r="C433" s="57" t="n"/>
      <c r="D433" s="57" t="n"/>
      <c r="E433" s="57" t="n"/>
      <c r="F433" s="57" t="n"/>
      <c r="G433" s="57" t="n"/>
    </row>
    <row r="434" ht="15.75" customHeight="1" s="94">
      <c r="A434" s="57" t="n"/>
      <c r="B434" s="57" t="n"/>
      <c r="C434" s="57" t="n"/>
      <c r="D434" s="57" t="n"/>
      <c r="E434" s="57" t="n"/>
      <c r="F434" s="57" t="n"/>
      <c r="G434" s="57" t="n"/>
    </row>
    <row r="435" ht="15.75" customHeight="1" s="94">
      <c r="A435" s="57" t="n"/>
      <c r="B435" s="57" t="n"/>
      <c r="C435" s="57" t="n"/>
      <c r="D435" s="57" t="n"/>
      <c r="E435" s="57" t="n"/>
      <c r="F435" s="57" t="n"/>
      <c r="G435" s="57" t="n"/>
    </row>
    <row r="436" ht="15.75" customHeight="1" s="94">
      <c r="A436" s="57" t="n"/>
      <c r="B436" s="57" t="n"/>
      <c r="C436" s="57" t="n"/>
      <c r="D436" s="57" t="n"/>
      <c r="E436" s="57" t="n"/>
      <c r="F436" s="57" t="n"/>
      <c r="G436" s="57" t="n"/>
    </row>
    <row r="437" ht="15.75" customHeight="1" s="94">
      <c r="A437" s="57" t="n"/>
      <c r="B437" s="57" t="n"/>
      <c r="C437" s="57" t="n"/>
      <c r="D437" s="57" t="n"/>
      <c r="E437" s="57" t="n"/>
      <c r="F437" s="57" t="n"/>
      <c r="G437" s="57" t="n"/>
    </row>
    <row r="438" ht="15.75" customHeight="1" s="94">
      <c r="A438" s="57" t="n"/>
      <c r="B438" s="57" t="n"/>
      <c r="C438" s="57" t="n"/>
      <c r="D438" s="57" t="n"/>
      <c r="E438" s="57" t="n"/>
      <c r="F438" s="57" t="n"/>
      <c r="G438" s="57" t="n"/>
    </row>
    <row r="439" ht="15.75" customHeight="1" s="94">
      <c r="A439" s="57" t="n"/>
      <c r="B439" s="57" t="n"/>
      <c r="C439" s="57" t="n"/>
      <c r="D439" s="57" t="n"/>
      <c r="E439" s="57" t="n"/>
      <c r="F439" s="57" t="n"/>
      <c r="G439" s="57" t="n"/>
    </row>
    <row r="440" ht="15.75" customHeight="1" s="94">
      <c r="A440" s="57" t="n"/>
      <c r="B440" s="57" t="n"/>
      <c r="C440" s="57" t="n"/>
      <c r="D440" s="57" t="n"/>
      <c r="E440" s="57" t="n"/>
      <c r="F440" s="57" t="n"/>
      <c r="G440" s="57" t="n"/>
    </row>
    <row r="441" ht="15.75" customHeight="1" s="94">
      <c r="A441" s="57" t="n"/>
      <c r="B441" s="57" t="n"/>
      <c r="C441" s="57" t="n"/>
      <c r="D441" s="57" t="n"/>
      <c r="E441" s="57" t="n"/>
      <c r="F441" s="57" t="n"/>
      <c r="G441" s="57" t="n"/>
    </row>
    <row r="442" ht="15.75" customHeight="1" s="94">
      <c r="A442" s="57" t="n"/>
      <c r="B442" s="57" t="n"/>
      <c r="C442" s="57" t="n"/>
      <c r="D442" s="57" t="n"/>
      <c r="E442" s="57" t="n"/>
      <c r="F442" s="57" t="n"/>
      <c r="G442" s="57" t="n"/>
    </row>
    <row r="443" ht="15.75" customHeight="1" s="94">
      <c r="A443" s="57" t="n"/>
      <c r="B443" s="57" t="n"/>
      <c r="C443" s="57" t="n"/>
      <c r="D443" s="57" t="n"/>
      <c r="E443" s="57" t="n"/>
      <c r="F443" s="57" t="n"/>
      <c r="G443" s="57" t="n"/>
    </row>
    <row r="444" ht="15.75" customHeight="1" s="94">
      <c r="A444" s="57" t="n"/>
      <c r="B444" s="57" t="n"/>
      <c r="C444" s="57" t="n"/>
      <c r="D444" s="57" t="n"/>
      <c r="E444" s="57" t="n"/>
      <c r="F444" s="57" t="n"/>
      <c r="G444" s="57" t="n"/>
    </row>
    <row r="445" ht="15.75" customHeight="1" s="94">
      <c r="A445" s="57" t="n"/>
      <c r="B445" s="57" t="n"/>
      <c r="C445" s="57" t="n"/>
      <c r="D445" s="57" t="n"/>
      <c r="E445" s="57" t="n"/>
      <c r="F445" s="57" t="n"/>
      <c r="G445" s="57" t="n"/>
    </row>
    <row r="446" ht="15.75" customHeight="1" s="94">
      <c r="A446" s="57" t="n"/>
      <c r="B446" s="57" t="n"/>
      <c r="C446" s="57" t="n"/>
      <c r="D446" s="57" t="n"/>
      <c r="E446" s="57" t="n"/>
      <c r="F446" s="57" t="n"/>
      <c r="G446" s="57" t="n"/>
    </row>
    <row r="447" ht="15.75" customHeight="1" s="94">
      <c r="A447" s="57" t="n"/>
      <c r="B447" s="57" t="n"/>
      <c r="C447" s="57" t="n"/>
      <c r="D447" s="57" t="n"/>
      <c r="E447" s="57" t="n"/>
      <c r="F447" s="57" t="n"/>
      <c r="G447" s="57" t="n"/>
    </row>
    <row r="448" ht="15.75" customHeight="1" s="94">
      <c r="A448" s="57" t="n"/>
      <c r="B448" s="57" t="n"/>
      <c r="C448" s="57" t="n"/>
      <c r="D448" s="57" t="n"/>
      <c r="E448" s="57" t="n"/>
      <c r="F448" s="57" t="n"/>
      <c r="G448" s="57" t="n"/>
    </row>
    <row r="449" ht="15.75" customHeight="1" s="94">
      <c r="A449" s="57" t="n"/>
      <c r="B449" s="57" t="n"/>
      <c r="C449" s="57" t="n"/>
      <c r="D449" s="57" t="n"/>
      <c r="E449" s="57" t="n"/>
      <c r="F449" s="57" t="n"/>
      <c r="G449" s="57" t="n"/>
    </row>
    <row r="450" ht="15.75" customHeight="1" s="94">
      <c r="A450" s="57" t="n"/>
      <c r="B450" s="57" t="n"/>
      <c r="C450" s="57" t="n"/>
      <c r="D450" s="57" t="n"/>
      <c r="E450" s="57" t="n"/>
      <c r="F450" s="57" t="n"/>
      <c r="G450" s="57" t="n"/>
    </row>
    <row r="451" ht="15.75" customHeight="1" s="94">
      <c r="A451" s="57" t="n"/>
      <c r="B451" s="57" t="n"/>
      <c r="C451" s="57" t="n"/>
      <c r="D451" s="57" t="n"/>
      <c r="E451" s="57" t="n"/>
      <c r="F451" s="57" t="n"/>
      <c r="G451" s="57" t="n"/>
    </row>
    <row r="452" ht="15.75" customHeight="1" s="94">
      <c r="A452" s="57" t="n"/>
      <c r="B452" s="57" t="n"/>
      <c r="C452" s="57" t="n"/>
      <c r="D452" s="57" t="n"/>
      <c r="E452" s="57" t="n"/>
      <c r="F452" s="57" t="n"/>
      <c r="G452" s="57" t="n"/>
    </row>
    <row r="453" ht="15.75" customHeight="1" s="94">
      <c r="A453" s="57" t="n"/>
      <c r="B453" s="57" t="n"/>
      <c r="C453" s="57" t="n"/>
      <c r="D453" s="57" t="n"/>
      <c r="E453" s="57" t="n"/>
      <c r="F453" s="57" t="n"/>
      <c r="G453" s="57" t="n"/>
    </row>
    <row r="454" ht="15.75" customHeight="1" s="94">
      <c r="A454" s="57" t="n"/>
      <c r="B454" s="57" t="n"/>
      <c r="C454" s="57" t="n"/>
      <c r="D454" s="57" t="n"/>
      <c r="E454" s="57" t="n"/>
      <c r="F454" s="57" t="n"/>
      <c r="G454" s="57" t="n"/>
    </row>
    <row r="455" ht="15.75" customHeight="1" s="94">
      <c r="A455" s="57" t="n"/>
      <c r="B455" s="57" t="n"/>
      <c r="C455" s="57" t="n"/>
      <c r="D455" s="57" t="n"/>
      <c r="E455" s="57" t="n"/>
      <c r="F455" s="57" t="n"/>
      <c r="G455" s="57" t="n"/>
    </row>
    <row r="456" ht="15.75" customHeight="1" s="94">
      <c r="A456" s="57" t="n"/>
      <c r="B456" s="57" t="n"/>
      <c r="C456" s="57" t="n"/>
      <c r="D456" s="57" t="n"/>
      <c r="E456" s="57" t="n"/>
      <c r="F456" s="57" t="n"/>
      <c r="G456" s="57" t="n"/>
    </row>
    <row r="457" ht="15.75" customHeight="1" s="94">
      <c r="A457" s="57" t="n"/>
      <c r="B457" s="57" t="n"/>
      <c r="C457" s="57" t="n"/>
      <c r="D457" s="57" t="n"/>
      <c r="E457" s="57" t="n"/>
      <c r="F457" s="57" t="n"/>
      <c r="G457" s="57" t="n"/>
    </row>
    <row r="458" ht="15.75" customHeight="1" s="94">
      <c r="A458" s="57" t="n"/>
      <c r="B458" s="57" t="n"/>
      <c r="C458" s="57" t="n"/>
      <c r="D458" s="57" t="n"/>
      <c r="E458" s="57" t="n"/>
      <c r="F458" s="57" t="n"/>
      <c r="G458" s="57" t="n"/>
    </row>
    <row r="459" ht="15.75" customHeight="1" s="94">
      <c r="A459" s="57" t="n"/>
      <c r="B459" s="57" t="n"/>
      <c r="C459" s="57" t="n"/>
      <c r="D459" s="57" t="n"/>
      <c r="E459" s="57" t="n"/>
      <c r="F459" s="57" t="n"/>
      <c r="G459" s="57" t="n"/>
    </row>
    <row r="460" ht="15.75" customHeight="1" s="94">
      <c r="A460" s="57" t="n"/>
      <c r="B460" s="57" t="n"/>
      <c r="C460" s="57" t="n"/>
      <c r="D460" s="57" t="n"/>
      <c r="E460" s="57" t="n"/>
      <c r="F460" s="57" t="n"/>
      <c r="G460" s="57" t="n"/>
    </row>
    <row r="461" ht="15.75" customHeight="1" s="94">
      <c r="A461" s="57" t="n"/>
      <c r="B461" s="57" t="n"/>
      <c r="C461" s="57" t="n"/>
      <c r="D461" s="57" t="n"/>
      <c r="E461" s="57" t="n"/>
      <c r="F461" s="57" t="n"/>
      <c r="G461" s="57" t="n"/>
    </row>
    <row r="462" ht="15.75" customHeight="1" s="94">
      <c r="A462" s="57" t="n"/>
      <c r="B462" s="57" t="n"/>
      <c r="C462" s="57" t="n"/>
      <c r="D462" s="57" t="n"/>
      <c r="E462" s="57" t="n"/>
      <c r="F462" s="57" t="n"/>
      <c r="G462" s="57" t="n"/>
    </row>
    <row r="463" ht="15.75" customHeight="1" s="94">
      <c r="A463" s="57" t="n"/>
      <c r="B463" s="57" t="n"/>
      <c r="C463" s="57" t="n"/>
      <c r="D463" s="57" t="n"/>
      <c r="E463" s="57" t="n"/>
      <c r="F463" s="57" t="n"/>
      <c r="G463" s="57" t="n"/>
    </row>
    <row r="464" ht="15.75" customHeight="1" s="94">
      <c r="A464" s="57" t="n"/>
      <c r="B464" s="57" t="n"/>
      <c r="C464" s="57" t="n"/>
      <c r="D464" s="57" t="n"/>
      <c r="E464" s="57" t="n"/>
      <c r="F464" s="57" t="n"/>
      <c r="G464" s="57" t="n"/>
    </row>
    <row r="465" ht="15.75" customHeight="1" s="94">
      <c r="A465" s="57" t="n"/>
      <c r="B465" s="57" t="n"/>
      <c r="C465" s="57" t="n"/>
      <c r="D465" s="57" t="n"/>
      <c r="E465" s="57" t="n"/>
      <c r="F465" s="57" t="n"/>
      <c r="G465" s="57" t="n"/>
    </row>
    <row r="466" ht="15.75" customHeight="1" s="94">
      <c r="A466" s="57" t="n"/>
      <c r="B466" s="57" t="n"/>
      <c r="C466" s="57" t="n"/>
      <c r="D466" s="57" t="n"/>
      <c r="E466" s="57" t="n"/>
      <c r="F466" s="57" t="n"/>
      <c r="G466" s="57" t="n"/>
    </row>
    <row r="467" ht="15.75" customHeight="1" s="94">
      <c r="A467" s="57" t="n"/>
      <c r="B467" s="57" t="n"/>
      <c r="C467" s="57" t="n"/>
      <c r="D467" s="57" t="n"/>
      <c r="E467" s="57" t="n"/>
      <c r="F467" s="57" t="n"/>
      <c r="G467" s="57" t="n"/>
    </row>
    <row r="468" ht="15.75" customHeight="1" s="94">
      <c r="A468" s="57" t="n"/>
      <c r="B468" s="57" t="n"/>
      <c r="C468" s="57" t="n"/>
      <c r="D468" s="57" t="n"/>
      <c r="E468" s="57" t="n"/>
      <c r="F468" s="57" t="n"/>
      <c r="G468" s="57" t="n"/>
    </row>
    <row r="469" ht="15.75" customHeight="1" s="94">
      <c r="A469" s="57" t="n"/>
      <c r="B469" s="57" t="n"/>
      <c r="C469" s="57" t="n"/>
      <c r="D469" s="57" t="n"/>
      <c r="E469" s="57" t="n"/>
      <c r="F469" s="57" t="n"/>
      <c r="G469" s="57" t="n"/>
    </row>
    <row r="470" ht="15.75" customHeight="1" s="94">
      <c r="A470" s="57" t="n"/>
      <c r="B470" s="57" t="n"/>
      <c r="C470" s="57" t="n"/>
      <c r="D470" s="57" t="n"/>
      <c r="E470" s="57" t="n"/>
      <c r="F470" s="57" t="n"/>
      <c r="G470" s="57" t="n"/>
    </row>
    <row r="471" ht="15.75" customHeight="1" s="94">
      <c r="A471" s="57" t="n"/>
      <c r="B471" s="57" t="n"/>
      <c r="C471" s="57" t="n"/>
      <c r="D471" s="57" t="n"/>
      <c r="E471" s="57" t="n"/>
      <c r="F471" s="57" t="n"/>
      <c r="G471" s="57" t="n"/>
    </row>
    <row r="472" ht="15.75" customHeight="1" s="94">
      <c r="A472" s="57" t="n"/>
      <c r="B472" s="57" t="n"/>
      <c r="C472" s="57" t="n"/>
      <c r="D472" s="57" t="n"/>
      <c r="E472" s="57" t="n"/>
      <c r="F472" s="57" t="n"/>
      <c r="G472" s="57" t="n"/>
    </row>
    <row r="473" ht="15.75" customHeight="1" s="94">
      <c r="A473" s="57" t="n"/>
      <c r="B473" s="57" t="n"/>
      <c r="C473" s="57" t="n"/>
      <c r="D473" s="57" t="n"/>
      <c r="E473" s="57" t="n"/>
      <c r="F473" s="57" t="n"/>
      <c r="G473" s="57" t="n"/>
    </row>
    <row r="474" ht="15.75" customHeight="1" s="94">
      <c r="A474" s="57" t="n"/>
      <c r="B474" s="57" t="n"/>
      <c r="C474" s="57" t="n"/>
      <c r="D474" s="57" t="n"/>
      <c r="E474" s="57" t="n"/>
      <c r="F474" s="57" t="n"/>
      <c r="G474" s="57" t="n"/>
    </row>
    <row r="475" ht="15.75" customHeight="1" s="94">
      <c r="A475" s="57" t="n"/>
      <c r="B475" s="57" t="n"/>
      <c r="C475" s="57" t="n"/>
      <c r="D475" s="57" t="n"/>
      <c r="E475" s="57" t="n"/>
      <c r="F475" s="57" t="n"/>
      <c r="G475" s="57" t="n"/>
    </row>
    <row r="476" ht="15.75" customHeight="1" s="94">
      <c r="A476" s="57" t="n"/>
      <c r="B476" s="57" t="n"/>
      <c r="C476" s="57" t="n"/>
      <c r="D476" s="57" t="n"/>
      <c r="E476" s="57" t="n"/>
      <c r="F476" s="57" t="n"/>
      <c r="G476" s="57" t="n"/>
    </row>
    <row r="477" ht="15.75" customHeight="1" s="94">
      <c r="A477" s="57" t="n"/>
      <c r="B477" s="57" t="n"/>
      <c r="C477" s="57" t="n"/>
      <c r="D477" s="57" t="n"/>
      <c r="E477" s="57" t="n"/>
      <c r="F477" s="57" t="n"/>
      <c r="G477" s="57" t="n"/>
    </row>
    <row r="478" ht="15.75" customHeight="1" s="94">
      <c r="A478" s="57" t="n"/>
      <c r="B478" s="57" t="n"/>
      <c r="C478" s="57" t="n"/>
      <c r="D478" s="57" t="n"/>
      <c r="E478" s="57" t="n"/>
      <c r="F478" s="57" t="n"/>
      <c r="G478" s="57" t="n"/>
    </row>
    <row r="479" ht="15.75" customHeight="1" s="94">
      <c r="A479" s="57" t="n"/>
      <c r="B479" s="57" t="n"/>
      <c r="C479" s="57" t="n"/>
      <c r="D479" s="57" t="n"/>
      <c r="E479" s="57" t="n"/>
      <c r="F479" s="57" t="n"/>
      <c r="G479" s="57" t="n"/>
    </row>
    <row r="480" ht="15.75" customHeight="1" s="94">
      <c r="A480" s="57" t="n"/>
      <c r="B480" s="57" t="n"/>
      <c r="C480" s="57" t="n"/>
      <c r="D480" s="57" t="n"/>
      <c r="E480" s="57" t="n"/>
      <c r="F480" s="57" t="n"/>
      <c r="G480" s="57" t="n"/>
    </row>
    <row r="481" ht="15.75" customHeight="1" s="94">
      <c r="A481" s="57" t="n"/>
      <c r="B481" s="57" t="n"/>
      <c r="C481" s="57" t="n"/>
      <c r="D481" s="57" t="n"/>
      <c r="E481" s="57" t="n"/>
      <c r="F481" s="57" t="n"/>
      <c r="G481" s="57" t="n"/>
    </row>
    <row r="482" ht="15.75" customHeight="1" s="94">
      <c r="A482" s="57" t="n"/>
      <c r="B482" s="57" t="n"/>
      <c r="C482" s="57" t="n"/>
      <c r="D482" s="57" t="n"/>
      <c r="E482" s="57" t="n"/>
      <c r="F482" s="57" t="n"/>
      <c r="G482" s="57" t="n"/>
    </row>
    <row r="483" ht="15.75" customHeight="1" s="94">
      <c r="A483" s="57" t="n"/>
      <c r="B483" s="57" t="n"/>
      <c r="C483" s="57" t="n"/>
      <c r="D483" s="57" t="n"/>
      <c r="E483" s="57" t="n"/>
      <c r="F483" s="57" t="n"/>
      <c r="G483" s="57" t="n"/>
    </row>
    <row r="484" ht="15.75" customHeight="1" s="94">
      <c r="A484" s="57" t="n"/>
      <c r="B484" s="57" t="n"/>
      <c r="C484" s="57" t="n"/>
      <c r="D484" s="57" t="n"/>
      <c r="E484" s="57" t="n"/>
      <c r="F484" s="57" t="n"/>
      <c r="G484" s="57" t="n"/>
    </row>
    <row r="485" ht="15.75" customHeight="1" s="94">
      <c r="A485" s="57" t="n"/>
      <c r="B485" s="57" t="n"/>
      <c r="C485" s="57" t="n"/>
      <c r="D485" s="57" t="n"/>
      <c r="E485" s="57" t="n"/>
      <c r="F485" s="57" t="n"/>
      <c r="G485" s="57" t="n"/>
    </row>
    <row r="486" ht="15.75" customHeight="1" s="94">
      <c r="A486" s="57" t="n"/>
      <c r="B486" s="57" t="n"/>
      <c r="C486" s="57" t="n"/>
      <c r="D486" s="57" t="n"/>
      <c r="E486" s="57" t="n"/>
      <c r="F486" s="57" t="n"/>
      <c r="G486" s="57" t="n"/>
    </row>
    <row r="487" ht="15.75" customHeight="1" s="94">
      <c r="A487" s="57" t="n"/>
      <c r="B487" s="57" t="n"/>
      <c r="C487" s="57" t="n"/>
      <c r="D487" s="57" t="n"/>
      <c r="E487" s="57" t="n"/>
      <c r="F487" s="57" t="n"/>
      <c r="G487" s="57" t="n"/>
    </row>
    <row r="488" ht="15.75" customHeight="1" s="94">
      <c r="A488" s="57" t="n"/>
      <c r="B488" s="57" t="n"/>
      <c r="C488" s="57" t="n"/>
      <c r="D488" s="57" t="n"/>
      <c r="E488" s="57" t="n"/>
      <c r="F488" s="57" t="n"/>
      <c r="G488" s="57" t="n"/>
    </row>
    <row r="489" ht="15.75" customHeight="1" s="94">
      <c r="A489" s="57" t="n"/>
      <c r="B489" s="57" t="n"/>
      <c r="C489" s="57" t="n"/>
      <c r="D489" s="57" t="n"/>
      <c r="E489" s="57" t="n"/>
      <c r="F489" s="57" t="n"/>
      <c r="G489" s="57" t="n"/>
    </row>
    <row r="490" ht="15.75" customHeight="1" s="94">
      <c r="A490" s="57" t="n"/>
      <c r="B490" s="57" t="n"/>
      <c r="C490" s="57" t="n"/>
      <c r="D490" s="57" t="n"/>
      <c r="E490" s="57" t="n"/>
      <c r="F490" s="57" t="n"/>
      <c r="G490" s="57" t="n"/>
    </row>
    <row r="491" ht="15.75" customHeight="1" s="94">
      <c r="A491" s="57" t="n"/>
      <c r="B491" s="57" t="n"/>
      <c r="C491" s="57" t="n"/>
      <c r="D491" s="57" t="n"/>
      <c r="E491" s="57" t="n"/>
      <c r="F491" s="57" t="n"/>
      <c r="G491" s="57" t="n"/>
    </row>
    <row r="492" ht="15.75" customHeight="1" s="94">
      <c r="A492" s="57" t="n"/>
      <c r="B492" s="57" t="n"/>
      <c r="C492" s="57" t="n"/>
      <c r="D492" s="57" t="n"/>
      <c r="E492" s="57" t="n"/>
      <c r="F492" s="57" t="n"/>
      <c r="G492" s="57" t="n"/>
    </row>
    <row r="493" ht="15.75" customHeight="1" s="94">
      <c r="A493" s="57" t="n"/>
      <c r="B493" s="57" t="n"/>
      <c r="C493" s="57" t="n"/>
      <c r="D493" s="57" t="n"/>
      <c r="E493" s="57" t="n"/>
      <c r="F493" s="57" t="n"/>
      <c r="G493" s="57" t="n"/>
    </row>
    <row r="494" ht="15.75" customHeight="1" s="94">
      <c r="A494" s="57" t="n"/>
      <c r="B494" s="57" t="n"/>
      <c r="C494" s="57" t="n"/>
      <c r="D494" s="57" t="n"/>
      <c r="E494" s="57" t="n"/>
      <c r="F494" s="57" t="n"/>
      <c r="G494" s="57" t="n"/>
    </row>
    <row r="495" ht="15.75" customHeight="1" s="94">
      <c r="A495" s="57" t="n"/>
      <c r="B495" s="57" t="n"/>
      <c r="C495" s="57" t="n"/>
      <c r="D495" s="57" t="n"/>
      <c r="E495" s="57" t="n"/>
      <c r="F495" s="57" t="n"/>
      <c r="G495" s="57" t="n"/>
    </row>
    <row r="496" ht="15.75" customHeight="1" s="94">
      <c r="A496" s="57" t="n"/>
      <c r="B496" s="57" t="n"/>
      <c r="C496" s="57" t="n"/>
      <c r="D496" s="57" t="n"/>
      <c r="E496" s="57" t="n"/>
      <c r="F496" s="57" t="n"/>
      <c r="G496" s="57" t="n"/>
    </row>
    <row r="497" ht="15.75" customHeight="1" s="94">
      <c r="A497" s="57" t="n"/>
      <c r="B497" s="57" t="n"/>
      <c r="C497" s="57" t="n"/>
      <c r="D497" s="57" t="n"/>
      <c r="E497" s="57" t="n"/>
      <c r="F497" s="57" t="n"/>
      <c r="G497" s="57" t="n"/>
    </row>
    <row r="498" ht="15.75" customHeight="1" s="94">
      <c r="A498" s="57" t="n"/>
      <c r="B498" s="57" t="n"/>
      <c r="C498" s="57" t="n"/>
      <c r="D498" s="57" t="n"/>
      <c r="E498" s="57" t="n"/>
      <c r="F498" s="57" t="n"/>
      <c r="G498" s="57" t="n"/>
    </row>
    <row r="499" ht="15.75" customHeight="1" s="94">
      <c r="A499" s="57" t="n"/>
      <c r="B499" s="57" t="n"/>
      <c r="C499" s="57" t="n"/>
      <c r="D499" s="57" t="n"/>
      <c r="E499" s="57" t="n"/>
      <c r="F499" s="57" t="n"/>
      <c r="G499" s="57" t="n"/>
    </row>
    <row r="500" ht="15.75" customHeight="1" s="94">
      <c r="A500" s="57" t="n"/>
      <c r="B500" s="57" t="n"/>
      <c r="C500" s="57" t="n"/>
      <c r="D500" s="57" t="n"/>
      <c r="E500" s="57" t="n"/>
      <c r="F500" s="57" t="n"/>
      <c r="G500" s="57" t="n"/>
    </row>
    <row r="501" ht="15.75" customHeight="1" s="94">
      <c r="A501" s="57" t="n"/>
      <c r="B501" s="57" t="n"/>
      <c r="C501" s="57" t="n"/>
      <c r="D501" s="57" t="n"/>
      <c r="E501" s="57" t="n"/>
      <c r="F501" s="57" t="n"/>
      <c r="G501" s="57" t="n"/>
    </row>
    <row r="502" ht="15.75" customHeight="1" s="94">
      <c r="A502" s="57" t="n"/>
      <c r="B502" s="57" t="n"/>
      <c r="C502" s="57" t="n"/>
      <c r="D502" s="57" t="n"/>
      <c r="E502" s="57" t="n"/>
      <c r="F502" s="57" t="n"/>
      <c r="G502" s="57" t="n"/>
    </row>
    <row r="503" ht="15.75" customHeight="1" s="94">
      <c r="A503" s="57" t="n"/>
      <c r="B503" s="57" t="n"/>
      <c r="C503" s="57" t="n"/>
      <c r="D503" s="57" t="n"/>
      <c r="E503" s="57" t="n"/>
      <c r="F503" s="57" t="n"/>
      <c r="G503" s="57" t="n"/>
    </row>
    <row r="504" ht="15.75" customHeight="1" s="94">
      <c r="A504" s="57" t="n"/>
      <c r="B504" s="57" t="n"/>
      <c r="C504" s="57" t="n"/>
      <c r="D504" s="57" t="n"/>
      <c r="E504" s="57" t="n"/>
      <c r="F504" s="57" t="n"/>
      <c r="G504" s="57" t="n"/>
    </row>
    <row r="505" ht="15.75" customHeight="1" s="94">
      <c r="A505" s="57" t="n"/>
      <c r="B505" s="57" t="n"/>
      <c r="C505" s="57" t="n"/>
      <c r="D505" s="57" t="n"/>
      <c r="E505" s="57" t="n"/>
      <c r="F505" s="57" t="n"/>
      <c r="G505" s="57" t="n"/>
    </row>
    <row r="506" ht="15.75" customHeight="1" s="94">
      <c r="A506" s="57" t="n"/>
      <c r="B506" s="57" t="n"/>
      <c r="C506" s="57" t="n"/>
      <c r="D506" s="57" t="n"/>
      <c r="E506" s="57" t="n"/>
      <c r="F506" s="57" t="n"/>
      <c r="G506" s="57" t="n"/>
    </row>
    <row r="507" ht="15.75" customHeight="1" s="94">
      <c r="A507" s="57" t="n"/>
      <c r="B507" s="57" t="n"/>
      <c r="C507" s="57" t="n"/>
      <c r="D507" s="57" t="n"/>
      <c r="E507" s="57" t="n"/>
      <c r="F507" s="57" t="n"/>
      <c r="G507" s="57" t="n"/>
    </row>
    <row r="508" ht="15.75" customHeight="1" s="94">
      <c r="A508" s="57" t="n"/>
      <c r="B508" s="57" t="n"/>
      <c r="C508" s="57" t="n"/>
      <c r="D508" s="57" t="n"/>
      <c r="E508" s="57" t="n"/>
      <c r="F508" s="57" t="n"/>
      <c r="G508" s="57" t="n"/>
    </row>
    <row r="509" ht="15.75" customHeight="1" s="94">
      <c r="A509" s="57" t="n"/>
      <c r="B509" s="57" t="n"/>
      <c r="C509" s="57" t="n"/>
      <c r="D509" s="57" t="n"/>
      <c r="E509" s="57" t="n"/>
      <c r="F509" s="57" t="n"/>
      <c r="G509" s="57" t="n"/>
    </row>
    <row r="510" ht="15.75" customHeight="1" s="94">
      <c r="A510" s="57" t="n"/>
      <c r="B510" s="57" t="n"/>
      <c r="C510" s="57" t="n"/>
      <c r="D510" s="57" t="n"/>
      <c r="E510" s="57" t="n"/>
      <c r="F510" s="57" t="n"/>
      <c r="G510" s="57" t="n"/>
    </row>
    <row r="511" ht="15.75" customHeight="1" s="94">
      <c r="A511" s="57" t="n"/>
      <c r="B511" s="57" t="n"/>
      <c r="C511" s="57" t="n"/>
      <c r="D511" s="57" t="n"/>
      <c r="E511" s="57" t="n"/>
      <c r="F511" s="57" t="n"/>
      <c r="G511" s="57" t="n"/>
    </row>
    <row r="512" ht="15.75" customHeight="1" s="94">
      <c r="A512" s="57" t="n"/>
      <c r="B512" s="57" t="n"/>
      <c r="C512" s="57" t="n"/>
      <c r="D512" s="57" t="n"/>
      <c r="E512" s="57" t="n"/>
      <c r="F512" s="57" t="n"/>
      <c r="G512" s="57" t="n"/>
    </row>
    <row r="513" ht="15.75" customHeight="1" s="94">
      <c r="A513" s="57" t="n"/>
      <c r="B513" s="57" t="n"/>
      <c r="C513" s="57" t="n"/>
      <c r="D513" s="57" t="n"/>
      <c r="E513" s="57" t="n"/>
      <c r="F513" s="57" t="n"/>
      <c r="G513" s="57" t="n"/>
    </row>
    <row r="514" ht="15.75" customHeight="1" s="94">
      <c r="A514" s="57" t="n"/>
      <c r="B514" s="57" t="n"/>
      <c r="C514" s="57" t="n"/>
      <c r="D514" s="57" t="n"/>
      <c r="E514" s="57" t="n"/>
      <c r="F514" s="57" t="n"/>
      <c r="G514" s="57" t="n"/>
    </row>
    <row r="515" ht="15.75" customHeight="1" s="94">
      <c r="A515" s="57" t="n"/>
      <c r="B515" s="57" t="n"/>
      <c r="C515" s="57" t="n"/>
      <c r="D515" s="57" t="n"/>
      <c r="E515" s="57" t="n"/>
      <c r="F515" s="57" t="n"/>
      <c r="G515" s="57" t="n"/>
    </row>
    <row r="516" ht="15.75" customHeight="1" s="94">
      <c r="A516" s="57" t="n"/>
      <c r="B516" s="57" t="n"/>
      <c r="C516" s="57" t="n"/>
      <c r="D516" s="57" t="n"/>
      <c r="E516" s="57" t="n"/>
      <c r="F516" s="57" t="n"/>
      <c r="G516" s="57" t="n"/>
    </row>
    <row r="517" ht="15.75" customHeight="1" s="94">
      <c r="A517" s="57" t="n"/>
      <c r="B517" s="57" t="n"/>
      <c r="C517" s="57" t="n"/>
      <c r="D517" s="57" t="n"/>
      <c r="E517" s="57" t="n"/>
      <c r="F517" s="57" t="n"/>
      <c r="G517" s="57" t="n"/>
    </row>
    <row r="518" ht="15.75" customHeight="1" s="94">
      <c r="A518" s="57" t="n"/>
      <c r="B518" s="57" t="n"/>
      <c r="C518" s="57" t="n"/>
      <c r="D518" s="57" t="n"/>
      <c r="E518" s="57" t="n"/>
      <c r="F518" s="57" t="n"/>
      <c r="G518" s="57" t="n"/>
    </row>
    <row r="519" ht="15.75" customHeight="1" s="94">
      <c r="A519" s="57" t="n"/>
      <c r="B519" s="57" t="n"/>
      <c r="C519" s="57" t="n"/>
      <c r="D519" s="57" t="n"/>
      <c r="E519" s="57" t="n"/>
      <c r="F519" s="57" t="n"/>
      <c r="G519" s="57" t="n"/>
    </row>
    <row r="520" ht="15.75" customHeight="1" s="94">
      <c r="A520" s="57" t="n"/>
      <c r="B520" s="57" t="n"/>
      <c r="C520" s="57" t="n"/>
      <c r="D520" s="57" t="n"/>
      <c r="E520" s="57" t="n"/>
      <c r="F520" s="57" t="n"/>
      <c r="G520" s="57" t="n"/>
    </row>
    <row r="521" ht="15.75" customHeight="1" s="94">
      <c r="A521" s="57" t="n"/>
      <c r="B521" s="57" t="n"/>
      <c r="C521" s="57" t="n"/>
      <c r="D521" s="57" t="n"/>
      <c r="E521" s="57" t="n"/>
      <c r="F521" s="57" t="n"/>
      <c r="G521" s="57" t="n"/>
    </row>
    <row r="522" ht="15.75" customHeight="1" s="94">
      <c r="A522" s="57" t="n"/>
      <c r="B522" s="57" t="n"/>
      <c r="C522" s="57" t="n"/>
      <c r="D522" s="57" t="n"/>
      <c r="E522" s="57" t="n"/>
      <c r="F522" s="57" t="n"/>
      <c r="G522" s="57" t="n"/>
    </row>
    <row r="523" ht="15.75" customHeight="1" s="94">
      <c r="A523" s="57" t="n"/>
      <c r="B523" s="57" t="n"/>
      <c r="C523" s="57" t="n"/>
      <c r="D523" s="57" t="n"/>
      <c r="E523" s="57" t="n"/>
      <c r="F523" s="57" t="n"/>
      <c r="G523" s="57" t="n"/>
    </row>
    <row r="524" ht="15.75" customHeight="1" s="94">
      <c r="A524" s="57" t="n"/>
      <c r="B524" s="57" t="n"/>
      <c r="C524" s="57" t="n"/>
      <c r="D524" s="57" t="n"/>
      <c r="E524" s="57" t="n"/>
      <c r="F524" s="57" t="n"/>
      <c r="G524" s="57" t="n"/>
    </row>
    <row r="525" ht="15.75" customHeight="1" s="94">
      <c r="A525" s="57" t="n"/>
      <c r="B525" s="57" t="n"/>
      <c r="C525" s="57" t="n"/>
      <c r="D525" s="57" t="n"/>
      <c r="E525" s="57" t="n"/>
      <c r="F525" s="57" t="n"/>
      <c r="G525" s="57" t="n"/>
    </row>
    <row r="526" ht="15.75" customHeight="1" s="94">
      <c r="A526" s="57" t="n"/>
      <c r="B526" s="57" t="n"/>
      <c r="C526" s="57" t="n"/>
      <c r="D526" s="57" t="n"/>
      <c r="E526" s="57" t="n"/>
      <c r="F526" s="57" t="n"/>
      <c r="G526" s="57" t="n"/>
    </row>
    <row r="527" ht="15.75" customHeight="1" s="94">
      <c r="A527" s="57" t="n"/>
      <c r="B527" s="57" t="n"/>
      <c r="C527" s="57" t="n"/>
      <c r="D527" s="57" t="n"/>
      <c r="E527" s="57" t="n"/>
      <c r="F527" s="57" t="n"/>
      <c r="G527" s="57" t="n"/>
    </row>
    <row r="528" ht="15.75" customHeight="1" s="94">
      <c r="A528" s="57" t="n"/>
      <c r="B528" s="57" t="n"/>
      <c r="C528" s="57" t="n"/>
      <c r="D528" s="57" t="n"/>
      <c r="E528" s="57" t="n"/>
      <c r="F528" s="57" t="n"/>
      <c r="G528" s="57" t="n"/>
    </row>
    <row r="529" ht="15.75" customHeight="1" s="94">
      <c r="A529" s="57" t="n"/>
      <c r="B529" s="57" t="n"/>
      <c r="C529" s="57" t="n"/>
      <c r="D529" s="57" t="n"/>
      <c r="E529" s="57" t="n"/>
      <c r="F529" s="57" t="n"/>
      <c r="G529" s="57" t="n"/>
    </row>
    <row r="530" ht="15.75" customHeight="1" s="94">
      <c r="A530" s="57" t="n"/>
      <c r="B530" s="57" t="n"/>
      <c r="C530" s="57" t="n"/>
      <c r="D530" s="57" t="n"/>
      <c r="E530" s="57" t="n"/>
      <c r="F530" s="57" t="n"/>
      <c r="G530" s="57" t="n"/>
    </row>
    <row r="531" ht="15.75" customHeight="1" s="94">
      <c r="A531" s="57" t="n"/>
      <c r="B531" s="57" t="n"/>
      <c r="C531" s="57" t="n"/>
      <c r="D531" s="57" t="n"/>
      <c r="E531" s="57" t="n"/>
      <c r="F531" s="57" t="n"/>
      <c r="G531" s="57" t="n"/>
    </row>
    <row r="532" ht="15.75" customHeight="1" s="94">
      <c r="A532" s="57" t="n"/>
      <c r="B532" s="57" t="n"/>
      <c r="C532" s="57" t="n"/>
      <c r="D532" s="57" t="n"/>
      <c r="E532" s="57" t="n"/>
      <c r="F532" s="57" t="n"/>
      <c r="G532" s="57" t="n"/>
    </row>
    <row r="533" ht="15.75" customHeight="1" s="94">
      <c r="A533" s="57" t="n"/>
      <c r="B533" s="57" t="n"/>
      <c r="C533" s="57" t="n"/>
      <c r="D533" s="57" t="n"/>
      <c r="E533" s="57" t="n"/>
      <c r="F533" s="57" t="n"/>
      <c r="G533" s="57" t="n"/>
    </row>
    <row r="534" ht="15.75" customHeight="1" s="94">
      <c r="A534" s="57" t="n"/>
      <c r="B534" s="57" t="n"/>
      <c r="C534" s="57" t="n"/>
      <c r="D534" s="57" t="n"/>
      <c r="E534" s="57" t="n"/>
      <c r="F534" s="57" t="n"/>
      <c r="G534" s="57" t="n"/>
    </row>
    <row r="535" ht="15.75" customHeight="1" s="94">
      <c r="A535" s="57" t="n"/>
      <c r="B535" s="57" t="n"/>
      <c r="C535" s="57" t="n"/>
      <c r="D535" s="57" t="n"/>
      <c r="E535" s="57" t="n"/>
      <c r="F535" s="57" t="n"/>
      <c r="G535" s="57" t="n"/>
    </row>
    <row r="536" ht="15.75" customHeight="1" s="94">
      <c r="A536" s="57" t="n"/>
      <c r="B536" s="57" t="n"/>
      <c r="C536" s="57" t="n"/>
      <c r="D536" s="57" t="n"/>
      <c r="E536" s="57" t="n"/>
      <c r="F536" s="57" t="n"/>
      <c r="G536" s="57" t="n"/>
    </row>
    <row r="537" ht="15.75" customHeight="1" s="94">
      <c r="A537" s="57" t="n"/>
      <c r="B537" s="57" t="n"/>
      <c r="C537" s="57" t="n"/>
      <c r="D537" s="57" t="n"/>
      <c r="E537" s="57" t="n"/>
      <c r="F537" s="57" t="n"/>
      <c r="G537" s="57" t="n"/>
    </row>
    <row r="538" ht="15.75" customHeight="1" s="94">
      <c r="A538" s="57" t="n"/>
      <c r="B538" s="57" t="n"/>
      <c r="C538" s="57" t="n"/>
      <c r="D538" s="57" t="n"/>
      <c r="E538" s="57" t="n"/>
      <c r="F538" s="57" t="n"/>
      <c r="G538" s="57" t="n"/>
    </row>
    <row r="539" ht="15.75" customHeight="1" s="94">
      <c r="A539" s="57" t="n"/>
      <c r="B539" s="57" t="n"/>
      <c r="C539" s="57" t="n"/>
      <c r="D539" s="57" t="n"/>
      <c r="E539" s="57" t="n"/>
      <c r="F539" s="57" t="n"/>
      <c r="G539" s="57" t="n"/>
    </row>
    <row r="540" ht="15.75" customHeight="1" s="94">
      <c r="A540" s="57" t="n"/>
      <c r="B540" s="57" t="n"/>
      <c r="C540" s="57" t="n"/>
      <c r="D540" s="57" t="n"/>
      <c r="E540" s="57" t="n"/>
      <c r="F540" s="57" t="n"/>
      <c r="G540" s="57" t="n"/>
    </row>
    <row r="541" ht="15.75" customHeight="1" s="94">
      <c r="A541" s="57" t="n"/>
      <c r="B541" s="57" t="n"/>
      <c r="C541" s="57" t="n"/>
      <c r="D541" s="57" t="n"/>
      <c r="E541" s="57" t="n"/>
      <c r="F541" s="57" t="n"/>
      <c r="G541" s="57" t="n"/>
    </row>
    <row r="542" ht="15.75" customHeight="1" s="94">
      <c r="A542" s="57" t="n"/>
      <c r="B542" s="57" t="n"/>
      <c r="C542" s="57" t="n"/>
      <c r="D542" s="57" t="n"/>
      <c r="E542" s="57" t="n"/>
      <c r="F542" s="57" t="n"/>
      <c r="G542" s="57" t="n"/>
    </row>
    <row r="543" ht="15.75" customHeight="1" s="94">
      <c r="A543" s="57" t="n"/>
      <c r="B543" s="57" t="n"/>
      <c r="C543" s="57" t="n"/>
      <c r="D543" s="57" t="n"/>
      <c r="E543" s="57" t="n"/>
      <c r="F543" s="57" t="n"/>
      <c r="G543" s="57" t="n"/>
    </row>
    <row r="544" ht="15.75" customHeight="1" s="94">
      <c r="A544" s="57" t="n"/>
      <c r="B544" s="57" t="n"/>
      <c r="C544" s="57" t="n"/>
      <c r="D544" s="57" t="n"/>
      <c r="E544" s="57" t="n"/>
      <c r="F544" s="57" t="n"/>
      <c r="G544" s="57" t="n"/>
    </row>
    <row r="545" ht="15.75" customHeight="1" s="94">
      <c r="A545" s="57" t="n"/>
      <c r="B545" s="57" t="n"/>
      <c r="C545" s="57" t="n"/>
      <c r="D545" s="57" t="n"/>
      <c r="E545" s="57" t="n"/>
      <c r="F545" s="57" t="n"/>
      <c r="G545" s="57" t="n"/>
    </row>
    <row r="546" ht="15.75" customHeight="1" s="94">
      <c r="A546" s="57" t="n"/>
      <c r="B546" s="57" t="n"/>
      <c r="C546" s="57" t="n"/>
      <c r="D546" s="57" t="n"/>
      <c r="E546" s="57" t="n"/>
      <c r="F546" s="57" t="n"/>
      <c r="G546" s="57" t="n"/>
    </row>
    <row r="547" ht="15.75" customHeight="1" s="94">
      <c r="A547" s="57" t="n"/>
      <c r="B547" s="57" t="n"/>
      <c r="C547" s="57" t="n"/>
      <c r="D547" s="57" t="n"/>
      <c r="E547" s="57" t="n"/>
      <c r="F547" s="57" t="n"/>
      <c r="G547" s="57" t="n"/>
    </row>
    <row r="548" ht="15.75" customHeight="1" s="94">
      <c r="A548" s="57" t="n"/>
      <c r="B548" s="57" t="n"/>
      <c r="C548" s="57" t="n"/>
      <c r="D548" s="57" t="n"/>
      <c r="E548" s="57" t="n"/>
      <c r="F548" s="57" t="n"/>
      <c r="G548" s="57" t="n"/>
    </row>
    <row r="549" ht="15.75" customHeight="1" s="94">
      <c r="A549" s="57" t="n"/>
      <c r="B549" s="57" t="n"/>
      <c r="C549" s="57" t="n"/>
      <c r="D549" s="57" t="n"/>
      <c r="E549" s="57" t="n"/>
      <c r="F549" s="57" t="n"/>
      <c r="G549" s="57" t="n"/>
    </row>
    <row r="550" ht="15.75" customHeight="1" s="94">
      <c r="A550" s="57" t="n"/>
      <c r="B550" s="57" t="n"/>
      <c r="C550" s="57" t="n"/>
      <c r="D550" s="57" t="n"/>
      <c r="E550" s="57" t="n"/>
      <c r="F550" s="57" t="n"/>
      <c r="G550" s="57" t="n"/>
    </row>
    <row r="551" ht="15.75" customHeight="1" s="94">
      <c r="A551" s="57" t="n"/>
      <c r="B551" s="57" t="n"/>
      <c r="C551" s="57" t="n"/>
      <c r="D551" s="57" t="n"/>
      <c r="E551" s="57" t="n"/>
      <c r="F551" s="57" t="n"/>
      <c r="G551" s="57" t="n"/>
    </row>
    <row r="552" ht="15.75" customHeight="1" s="94">
      <c r="A552" s="57" t="n"/>
      <c r="B552" s="57" t="n"/>
      <c r="C552" s="57" t="n"/>
      <c r="D552" s="57" t="n"/>
      <c r="E552" s="57" t="n"/>
      <c r="F552" s="57" t="n"/>
      <c r="G552" s="57" t="n"/>
    </row>
    <row r="553" ht="15.75" customHeight="1" s="94">
      <c r="A553" s="57" t="n"/>
      <c r="B553" s="57" t="n"/>
      <c r="C553" s="57" t="n"/>
      <c r="D553" s="57" t="n"/>
      <c r="E553" s="57" t="n"/>
      <c r="F553" s="57" t="n"/>
      <c r="G553" s="57" t="n"/>
    </row>
    <row r="554" ht="15.75" customHeight="1" s="94">
      <c r="A554" s="57" t="n"/>
      <c r="B554" s="57" t="n"/>
      <c r="C554" s="57" t="n"/>
      <c r="D554" s="57" t="n"/>
      <c r="E554" s="57" t="n"/>
      <c r="F554" s="57" t="n"/>
      <c r="G554" s="57" t="n"/>
    </row>
    <row r="555" ht="15.75" customHeight="1" s="94">
      <c r="A555" s="57" t="n"/>
      <c r="B555" s="57" t="n"/>
      <c r="C555" s="57" t="n"/>
      <c r="D555" s="57" t="n"/>
      <c r="E555" s="57" t="n"/>
      <c r="F555" s="57" t="n"/>
      <c r="G555" s="57" t="n"/>
    </row>
    <row r="556" ht="15.75" customHeight="1" s="94">
      <c r="A556" s="57" t="n"/>
      <c r="B556" s="57" t="n"/>
      <c r="C556" s="57" t="n"/>
      <c r="D556" s="57" t="n"/>
      <c r="E556" s="57" t="n"/>
      <c r="F556" s="57" t="n"/>
      <c r="G556" s="57" t="n"/>
    </row>
    <row r="557" ht="15.75" customHeight="1" s="94">
      <c r="A557" s="57" t="n"/>
      <c r="B557" s="57" t="n"/>
      <c r="C557" s="57" t="n"/>
      <c r="D557" s="57" t="n"/>
      <c r="E557" s="57" t="n"/>
      <c r="F557" s="57" t="n"/>
      <c r="G557" s="57" t="n"/>
    </row>
    <row r="558" ht="15.75" customHeight="1" s="94">
      <c r="A558" s="57" t="n"/>
      <c r="B558" s="57" t="n"/>
      <c r="C558" s="57" t="n"/>
      <c r="D558" s="57" t="n"/>
      <c r="E558" s="57" t="n"/>
      <c r="F558" s="57" t="n"/>
      <c r="G558" s="57" t="n"/>
    </row>
    <row r="559" ht="15.75" customHeight="1" s="94">
      <c r="A559" s="57" t="n"/>
      <c r="B559" s="57" t="n"/>
      <c r="C559" s="57" t="n"/>
      <c r="D559" s="57" t="n"/>
      <c r="E559" s="57" t="n"/>
      <c r="F559" s="57" t="n"/>
      <c r="G559" s="57" t="n"/>
    </row>
    <row r="560" ht="15.75" customHeight="1" s="94">
      <c r="A560" s="57" t="n"/>
      <c r="B560" s="57" t="n"/>
      <c r="C560" s="57" t="n"/>
      <c r="D560" s="57" t="n"/>
      <c r="E560" s="57" t="n"/>
      <c r="F560" s="57" t="n"/>
      <c r="G560" s="57" t="n"/>
    </row>
    <row r="561" ht="15.75" customHeight="1" s="94">
      <c r="A561" s="57" t="n"/>
      <c r="B561" s="57" t="n"/>
      <c r="C561" s="57" t="n"/>
      <c r="D561" s="57" t="n"/>
      <c r="E561" s="57" t="n"/>
      <c r="F561" s="57" t="n"/>
      <c r="G561" s="57" t="n"/>
    </row>
    <row r="562" ht="15.75" customHeight="1" s="94">
      <c r="A562" s="57" t="n"/>
      <c r="B562" s="57" t="n"/>
      <c r="C562" s="57" t="n"/>
      <c r="D562" s="57" t="n"/>
      <c r="E562" s="57" t="n"/>
      <c r="F562" s="57" t="n"/>
      <c r="G562" s="57" t="n"/>
    </row>
    <row r="563" ht="15.75" customHeight="1" s="94">
      <c r="A563" s="57" t="n"/>
      <c r="B563" s="57" t="n"/>
      <c r="C563" s="57" t="n"/>
      <c r="D563" s="57" t="n"/>
      <c r="E563" s="57" t="n"/>
      <c r="F563" s="57" t="n"/>
      <c r="G563" s="57" t="n"/>
    </row>
    <row r="564" ht="15.75" customHeight="1" s="94">
      <c r="A564" s="57" t="n"/>
      <c r="B564" s="57" t="n"/>
      <c r="C564" s="57" t="n"/>
      <c r="D564" s="57" t="n"/>
      <c r="E564" s="57" t="n"/>
      <c r="F564" s="57" t="n"/>
      <c r="G564" s="57" t="n"/>
    </row>
    <row r="565" ht="15.75" customHeight="1" s="94">
      <c r="A565" s="57" t="n"/>
      <c r="B565" s="57" t="n"/>
      <c r="C565" s="57" t="n"/>
      <c r="D565" s="57" t="n"/>
      <c r="E565" s="57" t="n"/>
      <c r="F565" s="57" t="n"/>
      <c r="G565" s="57" t="n"/>
    </row>
    <row r="566" ht="15.75" customHeight="1" s="94">
      <c r="A566" s="57" t="n"/>
      <c r="B566" s="57" t="n"/>
      <c r="C566" s="57" t="n"/>
      <c r="D566" s="57" t="n"/>
      <c r="E566" s="57" t="n"/>
      <c r="F566" s="57" t="n"/>
      <c r="G566" s="57" t="n"/>
    </row>
    <row r="567" ht="15.75" customHeight="1" s="94">
      <c r="A567" s="57" t="n"/>
      <c r="B567" s="57" t="n"/>
      <c r="C567" s="57" t="n"/>
      <c r="D567" s="57" t="n"/>
      <c r="E567" s="57" t="n"/>
      <c r="F567" s="57" t="n"/>
      <c r="G567" s="57" t="n"/>
    </row>
    <row r="568" ht="15.75" customHeight="1" s="94">
      <c r="A568" s="57" t="n"/>
      <c r="B568" s="57" t="n"/>
      <c r="C568" s="57" t="n"/>
      <c r="D568" s="57" t="n"/>
      <c r="E568" s="57" t="n"/>
      <c r="F568" s="57" t="n"/>
      <c r="G568" s="57" t="n"/>
    </row>
    <row r="569" ht="15.75" customHeight="1" s="94">
      <c r="A569" s="57" t="n"/>
      <c r="B569" s="57" t="n"/>
      <c r="C569" s="57" t="n"/>
      <c r="D569" s="57" t="n"/>
      <c r="E569" s="57" t="n"/>
      <c r="F569" s="57" t="n"/>
      <c r="G569" s="57" t="n"/>
    </row>
    <row r="570" ht="15.75" customHeight="1" s="94">
      <c r="A570" s="57" t="n"/>
      <c r="B570" s="57" t="n"/>
      <c r="C570" s="57" t="n"/>
      <c r="D570" s="57" t="n"/>
      <c r="E570" s="57" t="n"/>
      <c r="F570" s="57" t="n"/>
      <c r="G570" s="57" t="n"/>
    </row>
    <row r="571" ht="15.75" customHeight="1" s="94">
      <c r="A571" s="57" t="n"/>
      <c r="B571" s="57" t="n"/>
      <c r="C571" s="57" t="n"/>
      <c r="D571" s="57" t="n"/>
      <c r="E571" s="57" t="n"/>
      <c r="F571" s="57" t="n"/>
      <c r="G571" s="57" t="n"/>
    </row>
    <row r="572" ht="15.75" customHeight="1" s="94">
      <c r="A572" s="57" t="n"/>
      <c r="B572" s="57" t="n"/>
      <c r="C572" s="57" t="n"/>
      <c r="D572" s="57" t="n"/>
      <c r="E572" s="57" t="n"/>
      <c r="F572" s="57" t="n"/>
      <c r="G572" s="57" t="n"/>
    </row>
    <row r="573" ht="15.75" customHeight="1" s="94">
      <c r="A573" s="57" t="n"/>
      <c r="B573" s="57" t="n"/>
      <c r="C573" s="57" t="n"/>
      <c r="D573" s="57" t="n"/>
      <c r="E573" s="57" t="n"/>
      <c r="F573" s="57" t="n"/>
      <c r="G573" s="57" t="n"/>
    </row>
    <row r="574" ht="15.75" customHeight="1" s="94">
      <c r="A574" s="57" t="n"/>
      <c r="B574" s="57" t="n"/>
      <c r="C574" s="57" t="n"/>
      <c r="D574" s="57" t="n"/>
      <c r="E574" s="57" t="n"/>
      <c r="F574" s="57" t="n"/>
      <c r="G574" s="57" t="n"/>
    </row>
    <row r="575" ht="15.75" customHeight="1" s="94">
      <c r="A575" s="57" t="n"/>
      <c r="B575" s="57" t="n"/>
      <c r="C575" s="57" t="n"/>
      <c r="D575" s="57" t="n"/>
      <c r="E575" s="57" t="n"/>
      <c r="F575" s="57" t="n"/>
      <c r="G575" s="57" t="n"/>
    </row>
    <row r="576" ht="15.75" customHeight="1" s="94">
      <c r="A576" s="57" t="n"/>
      <c r="B576" s="57" t="n"/>
      <c r="C576" s="57" t="n"/>
      <c r="D576" s="57" t="n"/>
      <c r="E576" s="57" t="n"/>
      <c r="F576" s="57" t="n"/>
      <c r="G576" s="57" t="n"/>
    </row>
    <row r="577" ht="15.75" customHeight="1" s="94">
      <c r="A577" s="57" t="n"/>
      <c r="B577" s="57" t="n"/>
      <c r="C577" s="57" t="n"/>
      <c r="D577" s="57" t="n"/>
      <c r="E577" s="57" t="n"/>
      <c r="F577" s="57" t="n"/>
      <c r="G577" s="57" t="n"/>
    </row>
    <row r="578" ht="15.75" customHeight="1" s="94">
      <c r="A578" s="57" t="n"/>
      <c r="B578" s="57" t="n"/>
      <c r="C578" s="57" t="n"/>
      <c r="D578" s="57" t="n"/>
      <c r="E578" s="57" t="n"/>
      <c r="F578" s="57" t="n"/>
      <c r="G578" s="57" t="n"/>
    </row>
    <row r="579" ht="15.75" customHeight="1" s="94">
      <c r="A579" s="57" t="n"/>
      <c r="B579" s="57" t="n"/>
      <c r="C579" s="57" t="n"/>
      <c r="D579" s="57" t="n"/>
      <c r="E579" s="57" t="n"/>
      <c r="F579" s="57" t="n"/>
      <c r="G579" s="57" t="n"/>
    </row>
    <row r="580" ht="15.75" customHeight="1" s="94">
      <c r="A580" s="57" t="n"/>
      <c r="B580" s="57" t="n"/>
      <c r="C580" s="57" t="n"/>
      <c r="D580" s="57" t="n"/>
      <c r="E580" s="57" t="n"/>
      <c r="F580" s="57" t="n"/>
      <c r="G580" s="57" t="n"/>
    </row>
    <row r="581" ht="15.75" customHeight="1" s="94">
      <c r="A581" s="57" t="n"/>
      <c r="B581" s="57" t="n"/>
      <c r="C581" s="57" t="n"/>
      <c r="D581" s="57" t="n"/>
      <c r="E581" s="57" t="n"/>
      <c r="F581" s="57" t="n"/>
      <c r="G581" s="57" t="n"/>
    </row>
    <row r="582" ht="15.75" customHeight="1" s="94">
      <c r="A582" s="57" t="n"/>
      <c r="B582" s="57" t="n"/>
      <c r="C582" s="57" t="n"/>
      <c r="D582" s="57" t="n"/>
      <c r="E582" s="57" t="n"/>
      <c r="F582" s="57" t="n"/>
      <c r="G582" s="57" t="n"/>
    </row>
    <row r="583" ht="15.75" customHeight="1" s="94">
      <c r="A583" s="57" t="n"/>
      <c r="B583" s="57" t="n"/>
      <c r="C583" s="57" t="n"/>
      <c r="D583" s="57" t="n"/>
      <c r="E583" s="57" t="n"/>
      <c r="F583" s="57" t="n"/>
      <c r="G583" s="57" t="n"/>
    </row>
    <row r="584" ht="15.75" customHeight="1" s="94">
      <c r="A584" s="57" t="n"/>
      <c r="B584" s="57" t="n"/>
      <c r="C584" s="57" t="n"/>
      <c r="D584" s="57" t="n"/>
      <c r="E584" s="57" t="n"/>
      <c r="F584" s="57" t="n"/>
      <c r="G584" s="57" t="n"/>
    </row>
    <row r="585" ht="15.75" customHeight="1" s="94">
      <c r="A585" s="57" t="n"/>
      <c r="B585" s="57" t="n"/>
      <c r="C585" s="57" t="n"/>
      <c r="D585" s="57" t="n"/>
      <c r="E585" s="57" t="n"/>
      <c r="F585" s="57" t="n"/>
      <c r="G585" s="57" t="n"/>
    </row>
    <row r="586" ht="15.75" customHeight="1" s="94">
      <c r="A586" s="57" t="n"/>
      <c r="B586" s="57" t="n"/>
      <c r="C586" s="57" t="n"/>
      <c r="D586" s="57" t="n"/>
      <c r="E586" s="57" t="n"/>
      <c r="F586" s="57" t="n"/>
      <c r="G586" s="57" t="n"/>
    </row>
    <row r="587" ht="15.75" customHeight="1" s="94">
      <c r="A587" s="57" t="n"/>
      <c r="B587" s="57" t="n"/>
      <c r="C587" s="57" t="n"/>
      <c r="D587" s="57" t="n"/>
      <c r="E587" s="57" t="n"/>
      <c r="F587" s="57" t="n"/>
      <c r="G587" s="57" t="n"/>
    </row>
    <row r="588" ht="15.75" customHeight="1" s="94">
      <c r="A588" s="57" t="n"/>
      <c r="B588" s="57" t="n"/>
      <c r="C588" s="57" t="n"/>
      <c r="D588" s="57" t="n"/>
      <c r="E588" s="57" t="n"/>
      <c r="F588" s="57" t="n"/>
      <c r="G588" s="57" t="n"/>
    </row>
    <row r="589" ht="15.75" customHeight="1" s="94">
      <c r="A589" s="57" t="n"/>
      <c r="B589" s="57" t="n"/>
      <c r="C589" s="57" t="n"/>
      <c r="D589" s="57" t="n"/>
      <c r="E589" s="57" t="n"/>
      <c r="F589" s="57" t="n"/>
      <c r="G589" s="57" t="n"/>
    </row>
    <row r="590" ht="15.75" customHeight="1" s="94">
      <c r="A590" s="57" t="n"/>
      <c r="B590" s="57" t="n"/>
      <c r="C590" s="57" t="n"/>
      <c r="D590" s="57" t="n"/>
      <c r="E590" s="57" t="n"/>
      <c r="F590" s="57" t="n"/>
      <c r="G590" s="57" t="n"/>
    </row>
    <row r="591" ht="15.75" customHeight="1" s="94">
      <c r="A591" s="57" t="n"/>
      <c r="B591" s="57" t="n"/>
      <c r="C591" s="57" t="n"/>
      <c r="D591" s="57" t="n"/>
      <c r="E591" s="57" t="n"/>
      <c r="F591" s="57" t="n"/>
      <c r="G591" s="57" t="n"/>
    </row>
    <row r="592" ht="15.75" customHeight="1" s="94">
      <c r="A592" s="57" t="n"/>
      <c r="B592" s="57" t="n"/>
      <c r="C592" s="57" t="n"/>
      <c r="D592" s="57" t="n"/>
      <c r="E592" s="57" t="n"/>
      <c r="F592" s="57" t="n"/>
      <c r="G592" s="57" t="n"/>
    </row>
    <row r="593" ht="15.75" customHeight="1" s="94">
      <c r="A593" s="57" t="n"/>
      <c r="B593" s="57" t="n"/>
      <c r="C593" s="57" t="n"/>
      <c r="D593" s="57" t="n"/>
      <c r="E593" s="57" t="n"/>
      <c r="F593" s="57" t="n"/>
      <c r="G593" s="57" t="n"/>
    </row>
    <row r="594" ht="15.75" customHeight="1" s="94">
      <c r="A594" s="57" t="n"/>
      <c r="B594" s="57" t="n"/>
      <c r="C594" s="57" t="n"/>
      <c r="D594" s="57" t="n"/>
      <c r="E594" s="57" t="n"/>
      <c r="F594" s="57" t="n"/>
      <c r="G594" s="57" t="n"/>
    </row>
    <row r="595" ht="15.75" customHeight="1" s="94">
      <c r="A595" s="57" t="n"/>
      <c r="B595" s="57" t="n"/>
      <c r="C595" s="57" t="n"/>
      <c r="D595" s="57" t="n"/>
      <c r="E595" s="57" t="n"/>
      <c r="F595" s="57" t="n"/>
      <c r="G595" s="57" t="n"/>
    </row>
    <row r="596" ht="15.75" customHeight="1" s="94">
      <c r="A596" s="57" t="n"/>
      <c r="B596" s="57" t="n"/>
      <c r="C596" s="57" t="n"/>
      <c r="D596" s="57" t="n"/>
      <c r="E596" s="57" t="n"/>
      <c r="F596" s="57" t="n"/>
      <c r="G596" s="57" t="n"/>
    </row>
    <row r="597" ht="15.75" customHeight="1" s="94">
      <c r="A597" s="57" t="n"/>
      <c r="B597" s="57" t="n"/>
      <c r="C597" s="57" t="n"/>
      <c r="D597" s="57" t="n"/>
      <c r="E597" s="57" t="n"/>
      <c r="F597" s="57" t="n"/>
      <c r="G597" s="57" t="n"/>
    </row>
    <row r="598" ht="15.75" customHeight="1" s="94">
      <c r="A598" s="57" t="n"/>
      <c r="B598" s="57" t="n"/>
      <c r="C598" s="57" t="n"/>
      <c r="D598" s="57" t="n"/>
      <c r="E598" s="57" t="n"/>
      <c r="F598" s="57" t="n"/>
      <c r="G598" s="57" t="n"/>
    </row>
    <row r="599" ht="15.75" customHeight="1" s="94">
      <c r="A599" s="57" t="n"/>
      <c r="B599" s="57" t="n"/>
      <c r="C599" s="57" t="n"/>
      <c r="D599" s="57" t="n"/>
      <c r="E599" s="57" t="n"/>
      <c r="F599" s="57" t="n"/>
      <c r="G599" s="57" t="n"/>
    </row>
    <row r="600" ht="15.75" customHeight="1" s="94">
      <c r="A600" s="57" t="n"/>
      <c r="B600" s="57" t="n"/>
      <c r="C600" s="57" t="n"/>
      <c r="D600" s="57" t="n"/>
      <c r="E600" s="57" t="n"/>
      <c r="F600" s="57" t="n"/>
      <c r="G600" s="57" t="n"/>
    </row>
    <row r="601" ht="15.75" customHeight="1" s="94">
      <c r="A601" s="57" t="n"/>
      <c r="B601" s="57" t="n"/>
      <c r="C601" s="57" t="n"/>
      <c r="D601" s="57" t="n"/>
      <c r="E601" s="57" t="n"/>
      <c r="F601" s="57" t="n"/>
      <c r="G601" s="57" t="n"/>
    </row>
    <row r="602" ht="15.75" customHeight="1" s="94">
      <c r="A602" s="57" t="n"/>
      <c r="B602" s="57" t="n"/>
      <c r="C602" s="57" t="n"/>
      <c r="D602" s="57" t="n"/>
      <c r="E602" s="57" t="n"/>
      <c r="F602" s="57" t="n"/>
      <c r="G602" s="57" t="n"/>
    </row>
    <row r="603" ht="15.75" customHeight="1" s="94">
      <c r="A603" s="57" t="n"/>
      <c r="B603" s="57" t="n"/>
      <c r="C603" s="57" t="n"/>
      <c r="D603" s="57" t="n"/>
      <c r="E603" s="57" t="n"/>
      <c r="F603" s="57" t="n"/>
      <c r="G603" s="57" t="n"/>
    </row>
    <row r="604" ht="15.75" customHeight="1" s="94">
      <c r="A604" s="57" t="n"/>
      <c r="B604" s="57" t="n"/>
      <c r="C604" s="57" t="n"/>
      <c r="D604" s="57" t="n"/>
      <c r="E604" s="57" t="n"/>
      <c r="F604" s="57" t="n"/>
      <c r="G604" s="57" t="n"/>
    </row>
    <row r="605" ht="15.75" customHeight="1" s="94">
      <c r="A605" s="57" t="n"/>
      <c r="B605" s="57" t="n"/>
      <c r="C605" s="57" t="n"/>
      <c r="D605" s="57" t="n"/>
      <c r="E605" s="57" t="n"/>
      <c r="F605" s="57" t="n"/>
      <c r="G605" s="57" t="n"/>
    </row>
    <row r="606" ht="15.75" customHeight="1" s="94">
      <c r="A606" s="57" t="n"/>
      <c r="B606" s="57" t="n"/>
      <c r="C606" s="57" t="n"/>
      <c r="D606" s="57" t="n"/>
      <c r="E606" s="57" t="n"/>
      <c r="F606" s="57" t="n"/>
      <c r="G606" s="57" t="n"/>
    </row>
    <row r="607" ht="15.75" customHeight="1" s="94">
      <c r="A607" s="57" t="n"/>
      <c r="B607" s="57" t="n"/>
      <c r="C607" s="57" t="n"/>
      <c r="D607" s="57" t="n"/>
      <c r="E607" s="57" t="n"/>
      <c r="F607" s="57" t="n"/>
      <c r="G607" s="57" t="n"/>
    </row>
    <row r="608" ht="15.75" customHeight="1" s="94">
      <c r="A608" s="57" t="n"/>
      <c r="B608" s="57" t="n"/>
      <c r="C608" s="57" t="n"/>
      <c r="D608" s="57" t="n"/>
      <c r="E608" s="57" t="n"/>
      <c r="F608" s="57" t="n"/>
      <c r="G608" s="57" t="n"/>
    </row>
    <row r="609" ht="15.75" customHeight="1" s="94">
      <c r="A609" s="57" t="n"/>
      <c r="B609" s="57" t="n"/>
      <c r="C609" s="57" t="n"/>
      <c r="D609" s="57" t="n"/>
      <c r="E609" s="57" t="n"/>
      <c r="F609" s="57" t="n"/>
      <c r="G609" s="57" t="n"/>
    </row>
    <row r="610" ht="15.75" customHeight="1" s="94">
      <c r="A610" s="57" t="n"/>
      <c r="B610" s="57" t="n"/>
      <c r="C610" s="57" t="n"/>
      <c r="D610" s="57" t="n"/>
      <c r="E610" s="57" t="n"/>
      <c r="F610" s="57" t="n"/>
      <c r="G610" s="57" t="n"/>
    </row>
    <row r="611" ht="15.75" customHeight="1" s="94">
      <c r="A611" s="57" t="n"/>
      <c r="B611" s="57" t="n"/>
      <c r="C611" s="57" t="n"/>
      <c r="D611" s="57" t="n"/>
      <c r="E611" s="57" t="n"/>
      <c r="F611" s="57" t="n"/>
      <c r="G611" s="57" t="n"/>
    </row>
    <row r="612" ht="15.75" customHeight="1" s="94">
      <c r="A612" s="57" t="n"/>
      <c r="B612" s="57" t="n"/>
      <c r="C612" s="57" t="n"/>
      <c r="D612" s="57" t="n"/>
      <c r="E612" s="57" t="n"/>
      <c r="F612" s="57" t="n"/>
      <c r="G612" s="57" t="n"/>
    </row>
    <row r="613" ht="15.75" customHeight="1" s="94">
      <c r="A613" s="57" t="n"/>
      <c r="B613" s="57" t="n"/>
      <c r="C613" s="57" t="n"/>
      <c r="D613" s="57" t="n"/>
      <c r="E613" s="57" t="n"/>
      <c r="F613" s="57" t="n"/>
      <c r="G613" s="57" t="n"/>
    </row>
    <row r="614" ht="15.75" customHeight="1" s="94">
      <c r="A614" s="57" t="n"/>
      <c r="B614" s="57" t="n"/>
      <c r="C614" s="57" t="n"/>
      <c r="D614" s="57" t="n"/>
      <c r="E614" s="57" t="n"/>
      <c r="F614" s="57" t="n"/>
      <c r="G614" s="57" t="n"/>
    </row>
    <row r="615" ht="15.75" customHeight="1" s="94">
      <c r="A615" s="57" t="n"/>
      <c r="B615" s="57" t="n"/>
      <c r="C615" s="57" t="n"/>
      <c r="D615" s="57" t="n"/>
      <c r="E615" s="57" t="n"/>
      <c r="F615" s="57" t="n"/>
      <c r="G615" s="57" t="n"/>
    </row>
    <row r="616" ht="15.75" customHeight="1" s="94">
      <c r="A616" s="57" t="n"/>
      <c r="B616" s="57" t="n"/>
      <c r="C616" s="57" t="n"/>
      <c r="D616" s="57" t="n"/>
      <c r="E616" s="57" t="n"/>
      <c r="F616" s="57" t="n"/>
      <c r="G616" s="57" t="n"/>
    </row>
    <row r="617" ht="15.75" customHeight="1" s="94">
      <c r="A617" s="57" t="n"/>
      <c r="B617" s="57" t="n"/>
      <c r="C617" s="57" t="n"/>
      <c r="D617" s="57" t="n"/>
      <c r="E617" s="57" t="n"/>
      <c r="F617" s="57" t="n"/>
      <c r="G617" s="57" t="n"/>
    </row>
    <row r="618" ht="15.75" customHeight="1" s="94">
      <c r="A618" s="57" t="n"/>
      <c r="B618" s="57" t="n"/>
      <c r="C618" s="57" t="n"/>
      <c r="D618" s="57" t="n"/>
      <c r="E618" s="57" t="n"/>
      <c r="F618" s="57" t="n"/>
      <c r="G618" s="57" t="n"/>
    </row>
    <row r="619" ht="15.75" customHeight="1" s="94">
      <c r="A619" s="57" t="n"/>
      <c r="B619" s="57" t="n"/>
      <c r="C619" s="57" t="n"/>
      <c r="D619" s="57" t="n"/>
      <c r="E619" s="57" t="n"/>
      <c r="F619" s="57" t="n"/>
      <c r="G619" s="57" t="n"/>
    </row>
    <row r="620" ht="15.75" customHeight="1" s="94">
      <c r="A620" s="57" t="n"/>
      <c r="B620" s="57" t="n"/>
      <c r="C620" s="57" t="n"/>
      <c r="D620" s="57" t="n"/>
      <c r="E620" s="57" t="n"/>
      <c r="F620" s="57" t="n"/>
      <c r="G620" s="57" t="n"/>
    </row>
    <row r="621" ht="15.75" customHeight="1" s="94">
      <c r="A621" s="57" t="n"/>
      <c r="B621" s="57" t="n"/>
      <c r="C621" s="57" t="n"/>
      <c r="D621" s="57" t="n"/>
      <c r="E621" s="57" t="n"/>
      <c r="F621" s="57" t="n"/>
      <c r="G621" s="57" t="n"/>
    </row>
    <row r="622" ht="15.75" customHeight="1" s="94">
      <c r="A622" s="57" t="n"/>
      <c r="B622" s="57" t="n"/>
      <c r="C622" s="57" t="n"/>
      <c r="D622" s="57" t="n"/>
      <c r="E622" s="57" t="n"/>
      <c r="F622" s="57" t="n"/>
      <c r="G622" s="57" t="n"/>
    </row>
    <row r="623" ht="15.75" customHeight="1" s="94">
      <c r="A623" s="57" t="n"/>
      <c r="B623" s="57" t="n"/>
      <c r="C623" s="57" t="n"/>
      <c r="D623" s="57" t="n"/>
      <c r="E623" s="57" t="n"/>
      <c r="F623" s="57" t="n"/>
      <c r="G623" s="57" t="n"/>
    </row>
    <row r="624" ht="15.75" customHeight="1" s="94">
      <c r="A624" s="57" t="n"/>
      <c r="B624" s="57" t="n"/>
      <c r="C624" s="57" t="n"/>
      <c r="D624" s="57" t="n"/>
      <c r="E624" s="57" t="n"/>
      <c r="F624" s="57" t="n"/>
      <c r="G624" s="57" t="n"/>
    </row>
    <row r="625" ht="15.75" customHeight="1" s="94">
      <c r="A625" s="57" t="n"/>
      <c r="B625" s="57" t="n"/>
      <c r="C625" s="57" t="n"/>
      <c r="D625" s="57" t="n"/>
      <c r="E625" s="57" t="n"/>
      <c r="F625" s="57" t="n"/>
      <c r="G625" s="57" t="n"/>
    </row>
    <row r="626" ht="15.75" customHeight="1" s="94">
      <c r="A626" s="57" t="n"/>
      <c r="B626" s="57" t="n"/>
      <c r="C626" s="57" t="n"/>
      <c r="D626" s="57" t="n"/>
      <c r="E626" s="57" t="n"/>
      <c r="F626" s="57" t="n"/>
      <c r="G626" s="57" t="n"/>
    </row>
    <row r="627" ht="15.75" customHeight="1" s="94">
      <c r="A627" s="57" t="n"/>
      <c r="B627" s="57" t="n"/>
      <c r="C627" s="57" t="n"/>
      <c r="D627" s="57" t="n"/>
      <c r="E627" s="57" t="n"/>
      <c r="F627" s="57" t="n"/>
      <c r="G627" s="57" t="n"/>
    </row>
    <row r="628" ht="15.75" customHeight="1" s="94">
      <c r="A628" s="57" t="n"/>
      <c r="B628" s="57" t="n"/>
      <c r="C628" s="57" t="n"/>
      <c r="D628" s="57" t="n"/>
      <c r="E628" s="57" t="n"/>
      <c r="F628" s="57" t="n"/>
      <c r="G628" s="57" t="n"/>
    </row>
    <row r="629" ht="15.75" customHeight="1" s="94">
      <c r="A629" s="57" t="n"/>
      <c r="B629" s="57" t="n"/>
      <c r="C629" s="57" t="n"/>
      <c r="D629" s="57" t="n"/>
      <c r="E629" s="57" t="n"/>
      <c r="F629" s="57" t="n"/>
      <c r="G629" s="57" t="n"/>
    </row>
    <row r="630" ht="15.75" customHeight="1" s="94">
      <c r="A630" s="57" t="n"/>
      <c r="B630" s="57" t="n"/>
      <c r="C630" s="57" t="n"/>
      <c r="D630" s="57" t="n"/>
      <c r="E630" s="57" t="n"/>
      <c r="F630" s="57" t="n"/>
      <c r="G630" s="57" t="n"/>
    </row>
    <row r="631" ht="15.75" customHeight="1" s="94">
      <c r="A631" s="57" t="n"/>
      <c r="B631" s="57" t="n"/>
      <c r="C631" s="57" t="n"/>
      <c r="D631" s="57" t="n"/>
      <c r="E631" s="57" t="n"/>
      <c r="F631" s="57" t="n"/>
      <c r="G631" s="57" t="n"/>
    </row>
    <row r="632" ht="15.75" customHeight="1" s="94">
      <c r="A632" s="57" t="n"/>
      <c r="B632" s="57" t="n"/>
      <c r="C632" s="57" t="n"/>
      <c r="D632" s="57" t="n"/>
      <c r="E632" s="57" t="n"/>
      <c r="F632" s="57" t="n"/>
      <c r="G632" s="57" t="n"/>
    </row>
    <row r="633" ht="15.75" customHeight="1" s="94">
      <c r="A633" s="57" t="n"/>
      <c r="B633" s="57" t="n"/>
      <c r="C633" s="57" t="n"/>
      <c r="D633" s="57" t="n"/>
      <c r="E633" s="57" t="n"/>
      <c r="F633" s="57" t="n"/>
      <c r="G633" s="57" t="n"/>
    </row>
    <row r="634" ht="15.75" customHeight="1" s="94">
      <c r="A634" s="57" t="n"/>
      <c r="B634" s="57" t="n"/>
      <c r="C634" s="57" t="n"/>
      <c r="D634" s="57" t="n"/>
      <c r="E634" s="57" t="n"/>
      <c r="F634" s="57" t="n"/>
      <c r="G634" s="57" t="n"/>
    </row>
    <row r="635" ht="15.75" customHeight="1" s="94">
      <c r="A635" s="57" t="n"/>
      <c r="B635" s="57" t="n"/>
      <c r="C635" s="57" t="n"/>
      <c r="D635" s="57" t="n"/>
      <c r="E635" s="57" t="n"/>
      <c r="F635" s="57" t="n"/>
      <c r="G635" s="57" t="n"/>
    </row>
    <row r="636" ht="15.75" customHeight="1" s="94">
      <c r="A636" s="57" t="n"/>
      <c r="B636" s="57" t="n"/>
      <c r="C636" s="57" t="n"/>
      <c r="D636" s="57" t="n"/>
      <c r="E636" s="57" t="n"/>
      <c r="F636" s="57" t="n"/>
      <c r="G636" s="57" t="n"/>
    </row>
    <row r="637" ht="15.75" customHeight="1" s="94">
      <c r="A637" s="57" t="n"/>
      <c r="B637" s="57" t="n"/>
      <c r="C637" s="57" t="n"/>
      <c r="D637" s="57" t="n"/>
      <c r="E637" s="57" t="n"/>
      <c r="F637" s="57" t="n"/>
      <c r="G637" s="57" t="n"/>
    </row>
    <row r="638" ht="15.75" customHeight="1" s="94">
      <c r="A638" s="57" t="n"/>
      <c r="B638" s="57" t="n"/>
      <c r="C638" s="57" t="n"/>
      <c r="D638" s="57" t="n"/>
      <c r="E638" s="57" t="n"/>
      <c r="F638" s="57" t="n"/>
      <c r="G638" s="57" t="n"/>
    </row>
    <row r="639" ht="15.75" customHeight="1" s="94">
      <c r="A639" s="57" t="n"/>
      <c r="B639" s="57" t="n"/>
      <c r="C639" s="57" t="n"/>
      <c r="D639" s="57" t="n"/>
      <c r="E639" s="57" t="n"/>
      <c r="F639" s="57" t="n"/>
      <c r="G639" s="57" t="n"/>
    </row>
    <row r="640" ht="15.75" customHeight="1" s="94">
      <c r="A640" s="57" t="n"/>
      <c r="B640" s="57" t="n"/>
      <c r="C640" s="57" t="n"/>
      <c r="D640" s="57" t="n"/>
      <c r="E640" s="57" t="n"/>
      <c r="F640" s="57" t="n"/>
      <c r="G640" s="57" t="n"/>
    </row>
    <row r="641" ht="15.75" customHeight="1" s="94">
      <c r="A641" s="57" t="n"/>
      <c r="B641" s="57" t="n"/>
      <c r="C641" s="57" t="n"/>
      <c r="D641" s="57" t="n"/>
      <c r="E641" s="57" t="n"/>
      <c r="F641" s="57" t="n"/>
      <c r="G641" s="57" t="n"/>
    </row>
    <row r="642" ht="15.75" customHeight="1" s="94">
      <c r="A642" s="57" t="n"/>
      <c r="B642" s="57" t="n"/>
      <c r="C642" s="57" t="n"/>
      <c r="D642" s="57" t="n"/>
      <c r="E642" s="57" t="n"/>
      <c r="F642" s="57" t="n"/>
      <c r="G642" s="57" t="n"/>
    </row>
    <row r="643" ht="15.75" customHeight="1" s="94">
      <c r="A643" s="57" t="n"/>
      <c r="B643" s="57" t="n"/>
      <c r="C643" s="57" t="n"/>
      <c r="D643" s="57" t="n"/>
      <c r="E643" s="57" t="n"/>
      <c r="F643" s="57" t="n"/>
      <c r="G643" s="57" t="n"/>
    </row>
    <row r="644" ht="15.75" customHeight="1" s="94">
      <c r="A644" s="57" t="n"/>
      <c r="B644" s="57" t="n"/>
      <c r="C644" s="57" t="n"/>
      <c r="D644" s="57" t="n"/>
      <c r="E644" s="57" t="n"/>
      <c r="F644" s="57" t="n"/>
      <c r="G644" s="57" t="n"/>
    </row>
    <row r="645" ht="15.75" customHeight="1" s="94">
      <c r="A645" s="57" t="n"/>
      <c r="B645" s="57" t="n"/>
      <c r="C645" s="57" t="n"/>
      <c r="D645" s="57" t="n"/>
      <c r="E645" s="57" t="n"/>
      <c r="F645" s="57" t="n"/>
      <c r="G645" s="57" t="n"/>
    </row>
    <row r="646" ht="15.75" customHeight="1" s="94">
      <c r="A646" s="57" t="n"/>
      <c r="B646" s="57" t="n"/>
      <c r="C646" s="57" t="n"/>
      <c r="D646" s="57" t="n"/>
      <c r="E646" s="57" t="n"/>
      <c r="F646" s="57" t="n"/>
      <c r="G646" s="57" t="n"/>
    </row>
    <row r="647" ht="15.75" customHeight="1" s="94">
      <c r="A647" s="57" t="n"/>
      <c r="B647" s="57" t="n"/>
      <c r="C647" s="57" t="n"/>
      <c r="D647" s="57" t="n"/>
      <c r="E647" s="57" t="n"/>
      <c r="F647" s="57" t="n"/>
      <c r="G647" s="57" t="n"/>
    </row>
    <row r="648" ht="15.75" customHeight="1" s="94">
      <c r="A648" s="57" t="n"/>
      <c r="B648" s="57" t="n"/>
      <c r="C648" s="57" t="n"/>
      <c r="D648" s="57" t="n"/>
      <c r="E648" s="57" t="n"/>
      <c r="F648" s="57" t="n"/>
      <c r="G648" s="57" t="n"/>
    </row>
    <row r="649" ht="15.75" customHeight="1" s="94">
      <c r="A649" s="57" t="n"/>
      <c r="B649" s="57" t="n"/>
      <c r="C649" s="57" t="n"/>
      <c r="D649" s="57" t="n"/>
      <c r="E649" s="57" t="n"/>
      <c r="F649" s="57" t="n"/>
      <c r="G649" s="57" t="n"/>
    </row>
    <row r="650" ht="15.75" customHeight="1" s="94">
      <c r="A650" s="57" t="n"/>
      <c r="B650" s="57" t="n"/>
      <c r="C650" s="57" t="n"/>
      <c r="D650" s="57" t="n"/>
      <c r="E650" s="57" t="n"/>
      <c r="F650" s="57" t="n"/>
      <c r="G650" s="57" t="n"/>
    </row>
    <row r="651" ht="15.75" customHeight="1" s="94">
      <c r="A651" s="57" t="n"/>
      <c r="B651" s="57" t="n"/>
      <c r="C651" s="57" t="n"/>
      <c r="D651" s="57" t="n"/>
      <c r="E651" s="57" t="n"/>
      <c r="F651" s="57" t="n"/>
      <c r="G651" s="57" t="n"/>
    </row>
    <row r="652" ht="15.75" customHeight="1" s="94">
      <c r="A652" s="57" t="n"/>
      <c r="B652" s="57" t="n"/>
      <c r="C652" s="57" t="n"/>
      <c r="D652" s="57" t="n"/>
      <c r="E652" s="57" t="n"/>
      <c r="F652" s="57" t="n"/>
      <c r="G652" s="57" t="n"/>
    </row>
    <row r="653" ht="15.75" customHeight="1" s="94">
      <c r="A653" s="57" t="n"/>
      <c r="B653" s="57" t="n"/>
      <c r="C653" s="57" t="n"/>
      <c r="D653" s="57" t="n"/>
      <c r="E653" s="57" t="n"/>
      <c r="F653" s="57" t="n"/>
      <c r="G653" s="57" t="n"/>
    </row>
    <row r="654" ht="15.75" customHeight="1" s="94">
      <c r="A654" s="57" t="n"/>
      <c r="B654" s="57" t="n"/>
      <c r="C654" s="57" t="n"/>
      <c r="D654" s="57" t="n"/>
      <c r="E654" s="57" t="n"/>
      <c r="F654" s="57" t="n"/>
      <c r="G654" s="57" t="n"/>
    </row>
    <row r="655" ht="15.75" customHeight="1" s="94">
      <c r="A655" s="57" t="n"/>
      <c r="B655" s="57" t="n"/>
      <c r="C655" s="57" t="n"/>
      <c r="D655" s="57" t="n"/>
      <c r="E655" s="57" t="n"/>
      <c r="F655" s="57" t="n"/>
      <c r="G655" s="57" t="n"/>
    </row>
    <row r="656" ht="15.75" customHeight="1" s="94">
      <c r="A656" s="57" t="n"/>
      <c r="B656" s="57" t="n"/>
      <c r="C656" s="57" t="n"/>
      <c r="D656" s="57" t="n"/>
      <c r="E656" s="57" t="n"/>
      <c r="F656" s="57" t="n"/>
      <c r="G656" s="57" t="n"/>
    </row>
    <row r="657" ht="15.75" customHeight="1" s="94">
      <c r="A657" s="57" t="n"/>
      <c r="B657" s="57" t="n"/>
      <c r="C657" s="57" t="n"/>
      <c r="D657" s="57" t="n"/>
      <c r="E657" s="57" t="n"/>
      <c r="F657" s="57" t="n"/>
      <c r="G657" s="57" t="n"/>
    </row>
    <row r="658" ht="15.75" customHeight="1" s="94">
      <c r="A658" s="57" t="n"/>
      <c r="B658" s="57" t="n"/>
      <c r="C658" s="57" t="n"/>
      <c r="D658" s="57" t="n"/>
      <c r="E658" s="57" t="n"/>
      <c r="F658" s="57" t="n"/>
      <c r="G658" s="57" t="n"/>
    </row>
    <row r="659" ht="15.75" customHeight="1" s="94">
      <c r="A659" s="57" t="n"/>
      <c r="B659" s="57" t="n"/>
      <c r="C659" s="57" t="n"/>
      <c r="D659" s="57" t="n"/>
      <c r="E659" s="57" t="n"/>
      <c r="F659" s="57" t="n"/>
      <c r="G659" s="57" t="n"/>
    </row>
    <row r="660" ht="15.75" customHeight="1" s="94">
      <c r="A660" s="57" t="n"/>
      <c r="B660" s="57" t="n"/>
      <c r="C660" s="57" t="n"/>
      <c r="D660" s="57" t="n"/>
      <c r="E660" s="57" t="n"/>
      <c r="F660" s="57" t="n"/>
      <c r="G660" s="57" t="n"/>
    </row>
    <row r="661" ht="15.75" customHeight="1" s="94">
      <c r="A661" s="57" t="n"/>
      <c r="B661" s="57" t="n"/>
      <c r="C661" s="57" t="n"/>
      <c r="D661" s="57" t="n"/>
      <c r="E661" s="57" t="n"/>
      <c r="F661" s="57" t="n"/>
      <c r="G661" s="57" t="n"/>
    </row>
    <row r="662" ht="15.75" customHeight="1" s="94">
      <c r="A662" s="57" t="n"/>
      <c r="B662" s="57" t="n"/>
      <c r="C662" s="57" t="n"/>
      <c r="D662" s="57" t="n"/>
      <c r="E662" s="57" t="n"/>
      <c r="F662" s="57" t="n"/>
      <c r="G662" s="57" t="n"/>
    </row>
    <row r="663" ht="15.75" customHeight="1" s="94">
      <c r="A663" s="57" t="n"/>
      <c r="B663" s="57" t="n"/>
      <c r="C663" s="57" t="n"/>
      <c r="D663" s="57" t="n"/>
      <c r="E663" s="57" t="n"/>
      <c r="F663" s="57" t="n"/>
      <c r="G663" s="57" t="n"/>
    </row>
    <row r="664" ht="15.75" customHeight="1" s="94">
      <c r="A664" s="57" t="n"/>
      <c r="B664" s="57" t="n"/>
      <c r="C664" s="57" t="n"/>
      <c r="D664" s="57" t="n"/>
      <c r="E664" s="57" t="n"/>
      <c r="F664" s="57" t="n"/>
      <c r="G664" s="57" t="n"/>
    </row>
    <row r="665" ht="15.75" customHeight="1" s="94">
      <c r="A665" s="57" t="n"/>
      <c r="B665" s="57" t="n"/>
      <c r="C665" s="57" t="n"/>
      <c r="D665" s="57" t="n"/>
      <c r="E665" s="57" t="n"/>
      <c r="F665" s="57" t="n"/>
      <c r="G665" s="57" t="n"/>
    </row>
    <row r="666" ht="15.75" customHeight="1" s="94">
      <c r="A666" s="57" t="n"/>
      <c r="B666" s="57" t="n"/>
      <c r="C666" s="57" t="n"/>
      <c r="D666" s="57" t="n"/>
      <c r="E666" s="57" t="n"/>
      <c r="F666" s="57" t="n"/>
      <c r="G666" s="57" t="n"/>
    </row>
    <row r="667" ht="15.75" customHeight="1" s="94">
      <c r="A667" s="57" t="n"/>
      <c r="B667" s="57" t="n"/>
      <c r="C667" s="57" t="n"/>
      <c r="D667" s="57" t="n"/>
      <c r="E667" s="57" t="n"/>
      <c r="F667" s="57" t="n"/>
      <c r="G667" s="57" t="n"/>
    </row>
    <row r="668" ht="15.75" customHeight="1" s="94">
      <c r="A668" s="57" t="n"/>
      <c r="B668" s="57" t="n"/>
      <c r="C668" s="57" t="n"/>
      <c r="D668" s="57" t="n"/>
      <c r="E668" s="57" t="n"/>
      <c r="F668" s="57" t="n"/>
      <c r="G668" s="57" t="n"/>
    </row>
    <row r="669" ht="15.75" customHeight="1" s="94">
      <c r="A669" s="57" t="n"/>
      <c r="B669" s="57" t="n"/>
      <c r="C669" s="57" t="n"/>
      <c r="D669" s="57" t="n"/>
      <c r="E669" s="57" t="n"/>
      <c r="F669" s="57" t="n"/>
      <c r="G669" s="57" t="n"/>
    </row>
    <row r="670" ht="15.75" customHeight="1" s="94">
      <c r="A670" s="57" t="n"/>
      <c r="B670" s="57" t="n"/>
      <c r="C670" s="57" t="n"/>
      <c r="D670" s="57" t="n"/>
      <c r="E670" s="57" t="n"/>
      <c r="F670" s="57" t="n"/>
      <c r="G670" s="57" t="n"/>
    </row>
    <row r="671" ht="15.75" customHeight="1" s="94">
      <c r="A671" s="57" t="n"/>
      <c r="B671" s="57" t="n"/>
      <c r="C671" s="57" t="n"/>
      <c r="D671" s="57" t="n"/>
      <c r="E671" s="57" t="n"/>
      <c r="F671" s="57" t="n"/>
      <c r="G671" s="57" t="n"/>
    </row>
    <row r="672" ht="15.75" customHeight="1" s="94">
      <c r="A672" s="57" t="n"/>
      <c r="B672" s="57" t="n"/>
      <c r="C672" s="57" t="n"/>
      <c r="D672" s="57" t="n"/>
      <c r="E672" s="57" t="n"/>
      <c r="F672" s="57" t="n"/>
      <c r="G672" s="57" t="n"/>
    </row>
    <row r="673" ht="15.75" customHeight="1" s="94">
      <c r="A673" s="57" t="n"/>
      <c r="B673" s="57" t="n"/>
      <c r="C673" s="57" t="n"/>
      <c r="D673" s="57" t="n"/>
      <c r="E673" s="57" t="n"/>
      <c r="F673" s="57" t="n"/>
      <c r="G673" s="57" t="n"/>
    </row>
    <row r="674" ht="15.75" customHeight="1" s="94">
      <c r="A674" s="57" t="n"/>
      <c r="B674" s="57" t="n"/>
      <c r="C674" s="57" t="n"/>
      <c r="D674" s="57" t="n"/>
      <c r="E674" s="57" t="n"/>
      <c r="F674" s="57" t="n"/>
      <c r="G674" s="57" t="n"/>
    </row>
    <row r="675" ht="15.75" customHeight="1" s="94">
      <c r="A675" s="57" t="n"/>
      <c r="B675" s="57" t="n"/>
      <c r="C675" s="57" t="n"/>
      <c r="D675" s="57" t="n"/>
      <c r="E675" s="57" t="n"/>
      <c r="F675" s="57" t="n"/>
      <c r="G675" s="57" t="n"/>
    </row>
    <row r="676" ht="15.75" customHeight="1" s="94">
      <c r="A676" s="57" t="n"/>
      <c r="B676" s="57" t="n"/>
      <c r="C676" s="57" t="n"/>
      <c r="D676" s="57" t="n"/>
      <c r="E676" s="57" t="n"/>
      <c r="F676" s="57" t="n"/>
      <c r="G676" s="57" t="n"/>
    </row>
    <row r="677" ht="15.75" customHeight="1" s="94">
      <c r="A677" s="57" t="n"/>
      <c r="B677" s="57" t="n"/>
      <c r="C677" s="57" t="n"/>
      <c r="D677" s="57" t="n"/>
      <c r="E677" s="57" t="n"/>
      <c r="F677" s="57" t="n"/>
      <c r="G677" s="57" t="n"/>
    </row>
    <row r="678" ht="15.75" customHeight="1" s="94">
      <c r="A678" s="57" t="n"/>
      <c r="B678" s="57" t="n"/>
      <c r="C678" s="57" t="n"/>
      <c r="D678" s="57" t="n"/>
      <c r="E678" s="57" t="n"/>
      <c r="F678" s="57" t="n"/>
      <c r="G678" s="57" t="n"/>
    </row>
    <row r="679" ht="15.75" customHeight="1" s="94">
      <c r="A679" s="57" t="n"/>
      <c r="B679" s="57" t="n"/>
      <c r="C679" s="57" t="n"/>
      <c r="D679" s="57" t="n"/>
      <c r="E679" s="57" t="n"/>
      <c r="F679" s="57" t="n"/>
      <c r="G679" s="57" t="n"/>
    </row>
    <row r="680" ht="15.75" customHeight="1" s="94">
      <c r="A680" s="57" t="n"/>
      <c r="B680" s="57" t="n"/>
      <c r="C680" s="57" t="n"/>
      <c r="D680" s="57" t="n"/>
      <c r="E680" s="57" t="n"/>
      <c r="F680" s="57" t="n"/>
      <c r="G680" s="57" t="n"/>
    </row>
    <row r="681" ht="15.75" customHeight="1" s="94">
      <c r="A681" s="57" t="n"/>
      <c r="B681" s="57" t="n"/>
      <c r="C681" s="57" t="n"/>
      <c r="D681" s="57" t="n"/>
      <c r="E681" s="57" t="n"/>
      <c r="F681" s="57" t="n"/>
      <c r="G681" s="57" t="n"/>
    </row>
    <row r="682" ht="15.75" customHeight="1" s="94">
      <c r="A682" s="57" t="n"/>
      <c r="B682" s="57" t="n"/>
      <c r="C682" s="57" t="n"/>
      <c r="D682" s="57" t="n"/>
      <c r="E682" s="57" t="n"/>
      <c r="F682" s="57" t="n"/>
      <c r="G682" s="57" t="n"/>
    </row>
    <row r="683" ht="15.75" customHeight="1" s="94">
      <c r="A683" s="57" t="n"/>
      <c r="B683" s="57" t="n"/>
      <c r="C683" s="57" t="n"/>
      <c r="D683" s="57" t="n"/>
      <c r="E683" s="57" t="n"/>
      <c r="F683" s="57" t="n"/>
      <c r="G683" s="57" t="n"/>
    </row>
    <row r="684" ht="15.75" customHeight="1" s="94">
      <c r="A684" s="57" t="n"/>
      <c r="B684" s="57" t="n"/>
      <c r="C684" s="57" t="n"/>
      <c r="D684" s="57" t="n"/>
      <c r="E684" s="57" t="n"/>
      <c r="F684" s="57" t="n"/>
      <c r="G684" s="57" t="n"/>
    </row>
    <row r="685" ht="15.75" customHeight="1" s="94">
      <c r="A685" s="57" t="n"/>
      <c r="B685" s="57" t="n"/>
      <c r="C685" s="57" t="n"/>
      <c r="D685" s="57" t="n"/>
      <c r="E685" s="57" t="n"/>
      <c r="F685" s="57" t="n"/>
      <c r="G685" s="57" t="n"/>
    </row>
    <row r="686" ht="15.75" customHeight="1" s="94">
      <c r="A686" s="57" t="n"/>
      <c r="B686" s="57" t="n"/>
      <c r="C686" s="57" t="n"/>
      <c r="D686" s="57" t="n"/>
      <c r="E686" s="57" t="n"/>
      <c r="F686" s="57" t="n"/>
      <c r="G686" s="57" t="n"/>
    </row>
    <row r="687" ht="15.75" customHeight="1" s="94">
      <c r="A687" s="57" t="n"/>
      <c r="B687" s="57" t="n"/>
      <c r="C687" s="57" t="n"/>
      <c r="D687" s="57" t="n"/>
      <c r="E687" s="57" t="n"/>
      <c r="F687" s="57" t="n"/>
      <c r="G687" s="57" t="n"/>
    </row>
    <row r="688" ht="15.75" customHeight="1" s="94">
      <c r="A688" s="57" t="n"/>
      <c r="B688" s="57" t="n"/>
      <c r="C688" s="57" t="n"/>
      <c r="D688" s="57" t="n"/>
      <c r="E688" s="57" t="n"/>
      <c r="F688" s="57" t="n"/>
      <c r="G688" s="57" t="n"/>
    </row>
    <row r="689" ht="15.75" customHeight="1" s="94">
      <c r="A689" s="57" t="n"/>
      <c r="B689" s="57" t="n"/>
      <c r="C689" s="57" t="n"/>
      <c r="D689" s="57" t="n"/>
      <c r="E689" s="57" t="n"/>
      <c r="F689" s="57" t="n"/>
      <c r="G689" s="57" t="n"/>
    </row>
    <row r="690" ht="15.75" customHeight="1" s="94">
      <c r="A690" s="57" t="n"/>
      <c r="B690" s="57" t="n"/>
      <c r="C690" s="57" t="n"/>
      <c r="D690" s="57" t="n"/>
      <c r="E690" s="57" t="n"/>
      <c r="F690" s="57" t="n"/>
      <c r="G690" s="57" t="n"/>
    </row>
    <row r="691" ht="15.75" customHeight="1" s="94">
      <c r="A691" s="57" t="n"/>
      <c r="B691" s="57" t="n"/>
      <c r="C691" s="57" t="n"/>
      <c r="D691" s="57" t="n"/>
      <c r="E691" s="57" t="n"/>
      <c r="F691" s="57" t="n"/>
      <c r="G691" s="57" t="n"/>
    </row>
    <row r="692" ht="15.75" customHeight="1" s="94">
      <c r="A692" s="57" t="n"/>
      <c r="B692" s="57" t="n"/>
      <c r="C692" s="57" t="n"/>
      <c r="D692" s="57" t="n"/>
      <c r="E692" s="57" t="n"/>
      <c r="F692" s="57" t="n"/>
      <c r="G692" s="57" t="n"/>
    </row>
    <row r="693" ht="15.75" customHeight="1" s="94">
      <c r="A693" s="57" t="n"/>
      <c r="B693" s="57" t="n"/>
      <c r="C693" s="57" t="n"/>
      <c r="D693" s="57" t="n"/>
      <c r="E693" s="57" t="n"/>
      <c r="F693" s="57" t="n"/>
      <c r="G693" s="57" t="n"/>
    </row>
    <row r="694" ht="15.75" customHeight="1" s="94">
      <c r="A694" s="57" t="n"/>
      <c r="B694" s="57" t="n"/>
      <c r="C694" s="57" t="n"/>
      <c r="D694" s="57" t="n"/>
      <c r="E694" s="57" t="n"/>
      <c r="F694" s="57" t="n"/>
      <c r="G694" s="57" t="n"/>
    </row>
    <row r="695" ht="15.75" customHeight="1" s="94">
      <c r="A695" s="57" t="n"/>
      <c r="B695" s="57" t="n"/>
      <c r="C695" s="57" t="n"/>
      <c r="D695" s="57" t="n"/>
      <c r="E695" s="57" t="n"/>
      <c r="F695" s="57" t="n"/>
      <c r="G695" s="57" t="n"/>
    </row>
    <row r="696" ht="15.75" customHeight="1" s="94">
      <c r="A696" s="57" t="n"/>
      <c r="B696" s="57" t="n"/>
      <c r="C696" s="57" t="n"/>
      <c r="D696" s="57" t="n"/>
      <c r="E696" s="57" t="n"/>
      <c r="F696" s="57" t="n"/>
      <c r="G696" s="57" t="n"/>
    </row>
    <row r="697" ht="15.75" customHeight="1" s="94">
      <c r="A697" s="57" t="n"/>
      <c r="B697" s="57" t="n"/>
      <c r="C697" s="57" t="n"/>
      <c r="D697" s="57" t="n"/>
      <c r="E697" s="57" t="n"/>
      <c r="F697" s="57" t="n"/>
      <c r="G697" s="57" t="n"/>
    </row>
    <row r="698" ht="15.75" customHeight="1" s="94">
      <c r="A698" s="57" t="n"/>
      <c r="B698" s="57" t="n"/>
      <c r="C698" s="57" t="n"/>
      <c r="D698" s="57" t="n"/>
      <c r="E698" s="57" t="n"/>
      <c r="F698" s="57" t="n"/>
      <c r="G698" s="57" t="n"/>
    </row>
    <row r="699" ht="15.75" customHeight="1" s="94">
      <c r="A699" s="57" t="n"/>
      <c r="B699" s="57" t="n"/>
      <c r="C699" s="57" t="n"/>
      <c r="D699" s="57" t="n"/>
      <c r="E699" s="57" t="n"/>
      <c r="F699" s="57" t="n"/>
      <c r="G699" s="57" t="n"/>
    </row>
    <row r="700" ht="15.75" customHeight="1" s="94">
      <c r="A700" s="57" t="n"/>
      <c r="B700" s="57" t="n"/>
      <c r="C700" s="57" t="n"/>
      <c r="D700" s="57" t="n"/>
      <c r="E700" s="57" t="n"/>
      <c r="F700" s="57" t="n"/>
      <c r="G700" s="57" t="n"/>
    </row>
    <row r="701" ht="15.75" customHeight="1" s="94">
      <c r="A701" s="57" t="n"/>
      <c r="B701" s="57" t="n"/>
      <c r="C701" s="57" t="n"/>
      <c r="D701" s="57" t="n"/>
      <c r="E701" s="57" t="n"/>
      <c r="F701" s="57" t="n"/>
      <c r="G701" s="57" t="n"/>
    </row>
    <row r="702" ht="15.75" customHeight="1" s="94">
      <c r="A702" s="57" t="n"/>
      <c r="B702" s="57" t="n"/>
      <c r="C702" s="57" t="n"/>
      <c r="D702" s="57" t="n"/>
      <c r="E702" s="57" t="n"/>
      <c r="F702" s="57" t="n"/>
      <c r="G702" s="57" t="n"/>
    </row>
    <row r="703" ht="15.75" customHeight="1" s="94">
      <c r="A703" s="57" t="n"/>
      <c r="B703" s="57" t="n"/>
      <c r="C703" s="57" t="n"/>
      <c r="D703" s="57" t="n"/>
      <c r="E703" s="57" t="n"/>
      <c r="F703" s="57" t="n"/>
      <c r="G703" s="57" t="n"/>
    </row>
    <row r="704" ht="15.75" customHeight="1" s="94">
      <c r="A704" s="57" t="n"/>
      <c r="B704" s="57" t="n"/>
      <c r="C704" s="57" t="n"/>
      <c r="D704" s="57" t="n"/>
      <c r="E704" s="57" t="n"/>
      <c r="F704" s="57" t="n"/>
      <c r="G704" s="57" t="n"/>
    </row>
    <row r="705" ht="15.75" customHeight="1" s="94">
      <c r="A705" s="57" t="n"/>
      <c r="B705" s="57" t="n"/>
      <c r="C705" s="57" t="n"/>
      <c r="D705" s="57" t="n"/>
      <c r="E705" s="57" t="n"/>
      <c r="F705" s="57" t="n"/>
      <c r="G705" s="57" t="n"/>
    </row>
    <row r="706" ht="15.75" customHeight="1" s="94">
      <c r="A706" s="57" t="n"/>
      <c r="B706" s="57" t="n"/>
      <c r="C706" s="57" t="n"/>
      <c r="D706" s="57" t="n"/>
      <c r="E706" s="57" t="n"/>
      <c r="F706" s="57" t="n"/>
      <c r="G706" s="57" t="n"/>
    </row>
    <row r="707" ht="15.75" customHeight="1" s="94">
      <c r="A707" s="57" t="n"/>
      <c r="B707" s="57" t="n"/>
      <c r="C707" s="57" t="n"/>
      <c r="D707" s="57" t="n"/>
      <c r="E707" s="57" t="n"/>
      <c r="F707" s="57" t="n"/>
      <c r="G707" s="57" t="n"/>
    </row>
    <row r="708" ht="15.75" customHeight="1" s="94">
      <c r="A708" s="57" t="n"/>
      <c r="B708" s="57" t="n"/>
      <c r="C708" s="57" t="n"/>
      <c r="D708" s="57" t="n"/>
      <c r="E708" s="57" t="n"/>
      <c r="F708" s="57" t="n"/>
      <c r="G708" s="57" t="n"/>
    </row>
    <row r="709" ht="15.75" customHeight="1" s="94">
      <c r="A709" s="57" t="n"/>
      <c r="B709" s="57" t="n"/>
      <c r="C709" s="57" t="n"/>
      <c r="D709" s="57" t="n"/>
      <c r="E709" s="57" t="n"/>
      <c r="F709" s="57" t="n"/>
      <c r="G709" s="57" t="n"/>
    </row>
    <row r="710" ht="15.75" customHeight="1" s="94">
      <c r="A710" s="57" t="n"/>
      <c r="B710" s="57" t="n"/>
      <c r="C710" s="57" t="n"/>
      <c r="D710" s="57" t="n"/>
      <c r="E710" s="57" t="n"/>
      <c r="F710" s="57" t="n"/>
      <c r="G710" s="57" t="n"/>
    </row>
    <row r="711" ht="15.75" customHeight="1" s="94">
      <c r="A711" s="57" t="n"/>
      <c r="B711" s="57" t="n"/>
      <c r="C711" s="57" t="n"/>
      <c r="D711" s="57" t="n"/>
      <c r="E711" s="57" t="n"/>
      <c r="F711" s="57" t="n"/>
      <c r="G711" s="57" t="n"/>
    </row>
    <row r="712" ht="15.75" customHeight="1" s="94">
      <c r="A712" s="57" t="n"/>
      <c r="B712" s="57" t="n"/>
      <c r="C712" s="57" t="n"/>
      <c r="D712" s="57" t="n"/>
      <c r="E712" s="57" t="n"/>
      <c r="F712" s="57" t="n"/>
      <c r="G712" s="57" t="n"/>
    </row>
    <row r="713" ht="15.75" customHeight="1" s="94">
      <c r="A713" s="57" t="n"/>
      <c r="B713" s="57" t="n"/>
      <c r="C713" s="57" t="n"/>
      <c r="D713" s="57" t="n"/>
      <c r="E713" s="57" t="n"/>
      <c r="F713" s="57" t="n"/>
      <c r="G713" s="57" t="n"/>
    </row>
    <row r="714" ht="15.75" customHeight="1" s="94">
      <c r="A714" s="57" t="n"/>
      <c r="B714" s="57" t="n"/>
      <c r="C714" s="57" t="n"/>
      <c r="D714" s="57" t="n"/>
      <c r="E714" s="57" t="n"/>
      <c r="F714" s="57" t="n"/>
      <c r="G714" s="57" t="n"/>
    </row>
    <row r="715" ht="15.75" customHeight="1" s="94">
      <c r="A715" s="57" t="n"/>
      <c r="B715" s="57" t="n"/>
      <c r="C715" s="57" t="n"/>
      <c r="D715" s="57" t="n"/>
      <c r="E715" s="57" t="n"/>
      <c r="F715" s="57" t="n"/>
      <c r="G715" s="57" t="n"/>
    </row>
    <row r="716" ht="15.75" customHeight="1" s="94">
      <c r="A716" s="57" t="n"/>
      <c r="B716" s="57" t="n"/>
      <c r="C716" s="57" t="n"/>
      <c r="D716" s="57" t="n"/>
      <c r="E716" s="57" t="n"/>
      <c r="F716" s="57" t="n"/>
      <c r="G716" s="57" t="n"/>
    </row>
    <row r="717" ht="15.75" customHeight="1" s="94">
      <c r="A717" s="57" t="n"/>
      <c r="B717" s="57" t="n"/>
      <c r="C717" s="57" t="n"/>
      <c r="D717" s="57" t="n"/>
      <c r="E717" s="57" t="n"/>
      <c r="F717" s="57" t="n"/>
      <c r="G717" s="57" t="n"/>
    </row>
    <row r="718" ht="15.75" customHeight="1" s="94">
      <c r="A718" s="57" t="n"/>
      <c r="B718" s="57" t="n"/>
      <c r="C718" s="57" t="n"/>
      <c r="D718" s="57" t="n"/>
      <c r="E718" s="57" t="n"/>
      <c r="F718" s="57" t="n"/>
      <c r="G718" s="57" t="n"/>
    </row>
    <row r="719" ht="15.75" customHeight="1" s="94">
      <c r="A719" s="57" t="n"/>
      <c r="B719" s="57" t="n"/>
      <c r="C719" s="57" t="n"/>
      <c r="D719" s="57" t="n"/>
      <c r="E719" s="57" t="n"/>
      <c r="F719" s="57" t="n"/>
      <c r="G719" s="57" t="n"/>
    </row>
    <row r="720" ht="15.75" customHeight="1" s="94">
      <c r="A720" s="57" t="n"/>
      <c r="B720" s="57" t="n"/>
      <c r="C720" s="57" t="n"/>
      <c r="D720" s="57" t="n"/>
      <c r="E720" s="57" t="n"/>
      <c r="F720" s="57" t="n"/>
      <c r="G720" s="57" t="n"/>
    </row>
    <row r="721" ht="15.75" customHeight="1" s="94">
      <c r="A721" s="57" t="n"/>
      <c r="B721" s="57" t="n"/>
      <c r="C721" s="57" t="n"/>
      <c r="D721" s="57" t="n"/>
      <c r="E721" s="57" t="n"/>
      <c r="F721" s="57" t="n"/>
      <c r="G721" s="57" t="n"/>
    </row>
    <row r="722" ht="15.75" customHeight="1" s="94">
      <c r="A722" s="57" t="n"/>
      <c r="B722" s="57" t="n"/>
      <c r="C722" s="57" t="n"/>
      <c r="D722" s="57" t="n"/>
      <c r="E722" s="57" t="n"/>
      <c r="F722" s="57" t="n"/>
      <c r="G722" s="57" t="n"/>
    </row>
    <row r="723" ht="15.75" customHeight="1" s="94">
      <c r="A723" s="57" t="n"/>
      <c r="B723" s="57" t="n"/>
      <c r="C723" s="57" t="n"/>
      <c r="D723" s="57" t="n"/>
      <c r="E723" s="57" t="n"/>
      <c r="F723" s="57" t="n"/>
      <c r="G723" s="57" t="n"/>
    </row>
    <row r="724" ht="15.75" customHeight="1" s="94">
      <c r="A724" s="57" t="n"/>
      <c r="B724" s="57" t="n"/>
      <c r="C724" s="57" t="n"/>
      <c r="D724" s="57" t="n"/>
      <c r="E724" s="57" t="n"/>
      <c r="F724" s="57" t="n"/>
      <c r="G724" s="57" t="n"/>
    </row>
    <row r="725" ht="15.75" customHeight="1" s="94">
      <c r="A725" s="57" t="n"/>
      <c r="B725" s="57" t="n"/>
      <c r="C725" s="57" t="n"/>
      <c r="D725" s="57" t="n"/>
      <c r="E725" s="57" t="n"/>
      <c r="F725" s="57" t="n"/>
      <c r="G725" s="57" t="n"/>
    </row>
    <row r="726" ht="15.75" customHeight="1" s="94">
      <c r="A726" s="57" t="n"/>
      <c r="B726" s="57" t="n"/>
      <c r="C726" s="57" t="n"/>
      <c r="D726" s="57" t="n"/>
      <c r="E726" s="57" t="n"/>
      <c r="F726" s="57" t="n"/>
      <c r="G726" s="57" t="n"/>
    </row>
    <row r="727" ht="15.75" customHeight="1" s="94">
      <c r="A727" s="57" t="n"/>
      <c r="B727" s="57" t="n"/>
      <c r="C727" s="57" t="n"/>
      <c r="D727" s="57" t="n"/>
      <c r="E727" s="57" t="n"/>
      <c r="F727" s="57" t="n"/>
      <c r="G727" s="57" t="n"/>
    </row>
    <row r="728" ht="15.75" customHeight="1" s="94">
      <c r="A728" s="57" t="n"/>
      <c r="B728" s="57" t="n"/>
      <c r="C728" s="57" t="n"/>
      <c r="D728" s="57" t="n"/>
      <c r="E728" s="57" t="n"/>
      <c r="F728" s="57" t="n"/>
      <c r="G728" s="57" t="n"/>
    </row>
    <row r="729" ht="15.75" customHeight="1" s="94">
      <c r="A729" s="57" t="n"/>
      <c r="B729" s="57" t="n"/>
      <c r="C729" s="57" t="n"/>
      <c r="D729" s="57" t="n"/>
      <c r="E729" s="57" t="n"/>
      <c r="F729" s="57" t="n"/>
      <c r="G729" s="57" t="n"/>
    </row>
    <row r="730" ht="15.75" customHeight="1" s="94">
      <c r="A730" s="57" t="n"/>
      <c r="B730" s="57" t="n"/>
      <c r="C730" s="57" t="n"/>
      <c r="D730" s="57" t="n"/>
      <c r="E730" s="57" t="n"/>
      <c r="F730" s="57" t="n"/>
      <c r="G730" s="57" t="n"/>
    </row>
    <row r="731" ht="15.75" customHeight="1" s="94">
      <c r="A731" s="57" t="n"/>
      <c r="B731" s="57" t="n"/>
      <c r="C731" s="57" t="n"/>
      <c r="D731" s="57" t="n"/>
      <c r="E731" s="57" t="n"/>
      <c r="F731" s="57" t="n"/>
      <c r="G731" s="57" t="n"/>
    </row>
    <row r="732" ht="15.75" customHeight="1" s="94">
      <c r="A732" s="57" t="n"/>
      <c r="B732" s="57" t="n"/>
      <c r="C732" s="57" t="n"/>
      <c r="D732" s="57" t="n"/>
      <c r="E732" s="57" t="n"/>
      <c r="F732" s="57" t="n"/>
      <c r="G732" s="57" t="n"/>
    </row>
    <row r="733" ht="15.75" customHeight="1" s="94">
      <c r="A733" s="57" t="n"/>
      <c r="B733" s="57" t="n"/>
      <c r="C733" s="57" t="n"/>
      <c r="D733" s="57" t="n"/>
      <c r="E733" s="57" t="n"/>
      <c r="F733" s="57" t="n"/>
      <c r="G733" s="57" t="n"/>
    </row>
    <row r="734" ht="15.75" customHeight="1" s="94">
      <c r="A734" s="57" t="n"/>
      <c r="B734" s="57" t="n"/>
      <c r="C734" s="57" t="n"/>
      <c r="D734" s="57" t="n"/>
      <c r="E734" s="57" t="n"/>
      <c r="F734" s="57" t="n"/>
      <c r="G734" s="57" t="n"/>
    </row>
    <row r="735" ht="15.75" customHeight="1" s="94">
      <c r="A735" s="57" t="n"/>
      <c r="B735" s="57" t="n"/>
      <c r="C735" s="57" t="n"/>
      <c r="D735" s="57" t="n"/>
      <c r="E735" s="57" t="n"/>
      <c r="F735" s="57" t="n"/>
      <c r="G735" s="57" t="n"/>
    </row>
    <row r="736" ht="15.75" customHeight="1" s="94">
      <c r="A736" s="57" t="n"/>
      <c r="B736" s="57" t="n"/>
      <c r="C736" s="57" t="n"/>
      <c r="D736" s="57" t="n"/>
      <c r="E736" s="57" t="n"/>
      <c r="F736" s="57" t="n"/>
      <c r="G736" s="57" t="n"/>
    </row>
    <row r="737" ht="15.75" customHeight="1" s="94">
      <c r="A737" s="57" t="n"/>
      <c r="B737" s="57" t="n"/>
      <c r="C737" s="57" t="n"/>
      <c r="D737" s="57" t="n"/>
      <c r="E737" s="57" t="n"/>
      <c r="F737" s="57" t="n"/>
      <c r="G737" s="57" t="n"/>
    </row>
    <row r="738" ht="15.75" customHeight="1" s="94">
      <c r="A738" s="57" t="n"/>
      <c r="B738" s="57" t="n"/>
      <c r="C738" s="57" t="n"/>
      <c r="D738" s="57" t="n"/>
      <c r="E738" s="57" t="n"/>
      <c r="F738" s="57" t="n"/>
      <c r="G738" s="57" t="n"/>
    </row>
    <row r="739" ht="15.75" customHeight="1" s="94">
      <c r="A739" s="57" t="n"/>
      <c r="B739" s="57" t="n"/>
      <c r="C739" s="57" t="n"/>
      <c r="D739" s="57" t="n"/>
      <c r="E739" s="57" t="n"/>
      <c r="F739" s="57" t="n"/>
      <c r="G739" s="57" t="n"/>
    </row>
    <row r="740" ht="15.75" customHeight="1" s="94">
      <c r="A740" s="57" t="n"/>
      <c r="B740" s="57" t="n"/>
      <c r="C740" s="57" t="n"/>
      <c r="D740" s="57" t="n"/>
      <c r="E740" s="57" t="n"/>
      <c r="F740" s="57" t="n"/>
      <c r="G740" s="57" t="n"/>
    </row>
    <row r="741" ht="15.75" customHeight="1" s="94">
      <c r="A741" s="57" t="n"/>
      <c r="B741" s="57" t="n"/>
      <c r="C741" s="57" t="n"/>
      <c r="D741" s="57" t="n"/>
      <c r="E741" s="57" t="n"/>
      <c r="F741" s="57" t="n"/>
      <c r="G741" s="57" t="n"/>
    </row>
    <row r="742" ht="15.75" customHeight="1" s="94">
      <c r="A742" s="57" t="n"/>
      <c r="B742" s="57" t="n"/>
      <c r="C742" s="57" t="n"/>
      <c r="D742" s="57" t="n"/>
      <c r="E742" s="57" t="n"/>
      <c r="F742" s="57" t="n"/>
      <c r="G742" s="57" t="n"/>
    </row>
    <row r="743" ht="15.75" customHeight="1" s="94">
      <c r="A743" s="57" t="n"/>
      <c r="B743" s="57" t="n"/>
      <c r="C743" s="57" t="n"/>
      <c r="D743" s="57" t="n"/>
      <c r="E743" s="57" t="n"/>
      <c r="F743" s="57" t="n"/>
      <c r="G743" s="57" t="n"/>
    </row>
    <row r="744" ht="15.75" customHeight="1" s="94">
      <c r="A744" s="57" t="n"/>
      <c r="B744" s="57" t="n"/>
      <c r="C744" s="57" t="n"/>
      <c r="D744" s="57" t="n"/>
      <c r="E744" s="57" t="n"/>
      <c r="F744" s="57" t="n"/>
      <c r="G744" s="57" t="n"/>
    </row>
    <row r="745" ht="15.75" customHeight="1" s="94">
      <c r="A745" s="57" t="n"/>
      <c r="B745" s="57" t="n"/>
      <c r="C745" s="57" t="n"/>
      <c r="D745" s="57" t="n"/>
      <c r="E745" s="57" t="n"/>
      <c r="F745" s="57" t="n"/>
      <c r="G745" s="57" t="n"/>
    </row>
    <row r="746" ht="15.75" customHeight="1" s="94">
      <c r="A746" s="57" t="n"/>
      <c r="B746" s="57" t="n"/>
      <c r="C746" s="57" t="n"/>
      <c r="D746" s="57" t="n"/>
      <c r="E746" s="57" t="n"/>
      <c r="F746" s="57" t="n"/>
      <c r="G746" s="57" t="n"/>
    </row>
    <row r="747" ht="15.75" customHeight="1" s="94">
      <c r="A747" s="57" t="n"/>
      <c r="B747" s="57" t="n"/>
      <c r="C747" s="57" t="n"/>
      <c r="D747" s="57" t="n"/>
      <c r="E747" s="57" t="n"/>
      <c r="F747" s="57" t="n"/>
      <c r="G747" s="57" t="n"/>
    </row>
    <row r="748" ht="15.75" customHeight="1" s="94">
      <c r="A748" s="57" t="n"/>
      <c r="B748" s="57" t="n"/>
      <c r="C748" s="57" t="n"/>
      <c r="D748" s="57" t="n"/>
      <c r="E748" s="57" t="n"/>
      <c r="F748" s="57" t="n"/>
      <c r="G748" s="57" t="n"/>
    </row>
    <row r="749" ht="15.75" customHeight="1" s="94">
      <c r="A749" s="57" t="n"/>
      <c r="B749" s="57" t="n"/>
      <c r="C749" s="57" t="n"/>
      <c r="D749" s="57" t="n"/>
      <c r="E749" s="57" t="n"/>
      <c r="F749" s="57" t="n"/>
      <c r="G749" s="57" t="n"/>
    </row>
    <row r="750" ht="15.75" customHeight="1" s="94">
      <c r="A750" s="57" t="n"/>
      <c r="B750" s="57" t="n"/>
      <c r="C750" s="57" t="n"/>
      <c r="D750" s="57" t="n"/>
      <c r="E750" s="57" t="n"/>
      <c r="F750" s="57" t="n"/>
      <c r="G750" s="57" t="n"/>
    </row>
    <row r="751" ht="15.75" customHeight="1" s="94">
      <c r="A751" s="57" t="n"/>
      <c r="B751" s="57" t="n"/>
      <c r="C751" s="57" t="n"/>
      <c r="D751" s="57" t="n"/>
      <c r="E751" s="57" t="n"/>
      <c r="F751" s="57" t="n"/>
      <c r="G751" s="57" t="n"/>
    </row>
    <row r="752" ht="15.75" customHeight="1" s="94">
      <c r="A752" s="57" t="n"/>
      <c r="B752" s="57" t="n"/>
      <c r="C752" s="57" t="n"/>
      <c r="D752" s="57" t="n"/>
      <c r="E752" s="57" t="n"/>
      <c r="F752" s="57" t="n"/>
      <c r="G752" s="57" t="n"/>
    </row>
    <row r="753" ht="15.75" customHeight="1" s="94">
      <c r="A753" s="57" t="n"/>
      <c r="B753" s="57" t="n"/>
      <c r="C753" s="57" t="n"/>
      <c r="D753" s="57" t="n"/>
      <c r="E753" s="57" t="n"/>
      <c r="F753" s="57" t="n"/>
      <c r="G753" s="57" t="n"/>
    </row>
    <row r="754" ht="15.75" customHeight="1" s="94">
      <c r="A754" s="57" t="n"/>
      <c r="B754" s="57" t="n"/>
      <c r="C754" s="57" t="n"/>
      <c r="D754" s="57" t="n"/>
      <c r="E754" s="57" t="n"/>
      <c r="F754" s="57" t="n"/>
      <c r="G754" s="57" t="n"/>
    </row>
    <row r="755" ht="15.75" customHeight="1" s="94">
      <c r="A755" s="57" t="n"/>
      <c r="B755" s="57" t="n"/>
      <c r="C755" s="57" t="n"/>
      <c r="D755" s="57" t="n"/>
      <c r="E755" s="57" t="n"/>
      <c r="F755" s="57" t="n"/>
      <c r="G755" s="57" t="n"/>
    </row>
    <row r="756" ht="15.75" customHeight="1" s="94">
      <c r="A756" s="57" t="n"/>
      <c r="B756" s="57" t="n"/>
      <c r="C756" s="57" t="n"/>
      <c r="D756" s="57" t="n"/>
      <c r="E756" s="57" t="n"/>
      <c r="F756" s="57" t="n"/>
      <c r="G756" s="57" t="n"/>
    </row>
    <row r="757" ht="15.75" customHeight="1" s="94">
      <c r="A757" s="57" t="n"/>
      <c r="B757" s="57" t="n"/>
      <c r="C757" s="57" t="n"/>
      <c r="D757" s="57" t="n"/>
      <c r="E757" s="57" t="n"/>
      <c r="F757" s="57" t="n"/>
      <c r="G757" s="57" t="n"/>
    </row>
    <row r="758" ht="15.75" customHeight="1" s="94">
      <c r="A758" s="57" t="n"/>
      <c r="B758" s="57" t="n"/>
      <c r="C758" s="57" t="n"/>
      <c r="D758" s="57" t="n"/>
      <c r="E758" s="57" t="n"/>
      <c r="F758" s="57" t="n"/>
      <c r="G758" s="57" t="n"/>
    </row>
    <row r="759" ht="15.75" customHeight="1" s="94">
      <c r="A759" s="57" t="n"/>
      <c r="B759" s="57" t="n"/>
      <c r="C759" s="57" t="n"/>
      <c r="D759" s="57" t="n"/>
      <c r="E759" s="57" t="n"/>
      <c r="F759" s="57" t="n"/>
      <c r="G759" s="57" t="n"/>
    </row>
    <row r="760" ht="15.75" customHeight="1" s="94">
      <c r="A760" s="57" t="n"/>
      <c r="B760" s="57" t="n"/>
      <c r="C760" s="57" t="n"/>
      <c r="D760" s="57" t="n"/>
      <c r="E760" s="57" t="n"/>
      <c r="F760" s="57" t="n"/>
      <c r="G760" s="57" t="n"/>
    </row>
    <row r="761" ht="15.75" customHeight="1" s="94">
      <c r="A761" s="57" t="n"/>
      <c r="B761" s="57" t="n"/>
      <c r="C761" s="57" t="n"/>
      <c r="D761" s="57" t="n"/>
      <c r="E761" s="57" t="n"/>
      <c r="F761" s="57" t="n"/>
      <c r="G761" s="57" t="n"/>
    </row>
    <row r="762" ht="15.75" customHeight="1" s="94">
      <c r="A762" s="57" t="n"/>
      <c r="B762" s="57" t="n"/>
      <c r="C762" s="57" t="n"/>
      <c r="D762" s="57" t="n"/>
      <c r="E762" s="57" t="n"/>
      <c r="F762" s="57" t="n"/>
      <c r="G762" s="57" t="n"/>
    </row>
    <row r="763" ht="15.75" customHeight="1" s="94">
      <c r="A763" s="57" t="n"/>
      <c r="B763" s="57" t="n"/>
      <c r="C763" s="57" t="n"/>
      <c r="D763" s="57" t="n"/>
      <c r="E763" s="57" t="n"/>
      <c r="F763" s="57" t="n"/>
      <c r="G763" s="57" t="n"/>
    </row>
    <row r="764" ht="15.75" customHeight="1" s="94">
      <c r="A764" s="57" t="n"/>
      <c r="B764" s="57" t="n"/>
      <c r="C764" s="57" t="n"/>
      <c r="D764" s="57" t="n"/>
      <c r="E764" s="57" t="n"/>
      <c r="F764" s="57" t="n"/>
      <c r="G764" s="57" t="n"/>
    </row>
    <row r="765" ht="15.75" customHeight="1" s="94">
      <c r="A765" s="57" t="n"/>
      <c r="B765" s="57" t="n"/>
      <c r="C765" s="57" t="n"/>
      <c r="D765" s="57" t="n"/>
      <c r="E765" s="57" t="n"/>
      <c r="F765" s="57" t="n"/>
      <c r="G765" s="57" t="n"/>
    </row>
    <row r="766" ht="15.75" customHeight="1" s="94">
      <c r="A766" s="57" t="n"/>
      <c r="B766" s="57" t="n"/>
      <c r="C766" s="57" t="n"/>
      <c r="D766" s="57" t="n"/>
      <c r="E766" s="57" t="n"/>
      <c r="F766" s="57" t="n"/>
      <c r="G766" s="57" t="n"/>
    </row>
    <row r="767" ht="15.75" customHeight="1" s="94">
      <c r="A767" s="57" t="n"/>
      <c r="B767" s="57" t="n"/>
      <c r="C767" s="57" t="n"/>
      <c r="D767" s="57" t="n"/>
      <c r="E767" s="57" t="n"/>
      <c r="F767" s="57" t="n"/>
      <c r="G767" s="57" t="n"/>
    </row>
    <row r="768" ht="15.75" customHeight="1" s="94">
      <c r="A768" s="57" t="n"/>
      <c r="B768" s="57" t="n"/>
      <c r="C768" s="57" t="n"/>
      <c r="D768" s="57" t="n"/>
      <c r="E768" s="57" t="n"/>
      <c r="F768" s="57" t="n"/>
      <c r="G768" s="57" t="n"/>
    </row>
    <row r="769" ht="15.75" customHeight="1" s="94">
      <c r="A769" s="57" t="n"/>
      <c r="B769" s="57" t="n"/>
      <c r="C769" s="57" t="n"/>
      <c r="D769" s="57" t="n"/>
      <c r="E769" s="57" t="n"/>
      <c r="F769" s="57" t="n"/>
      <c r="G769" s="57" t="n"/>
    </row>
    <row r="770" ht="15.75" customHeight="1" s="94">
      <c r="A770" s="57" t="n"/>
      <c r="B770" s="57" t="n"/>
      <c r="C770" s="57" t="n"/>
      <c r="D770" s="57" t="n"/>
      <c r="E770" s="57" t="n"/>
      <c r="F770" s="57" t="n"/>
      <c r="G770" s="57" t="n"/>
    </row>
    <row r="771" ht="15.75" customHeight="1" s="94">
      <c r="A771" s="57" t="n"/>
      <c r="B771" s="57" t="n"/>
      <c r="C771" s="57" t="n"/>
      <c r="D771" s="57" t="n"/>
      <c r="E771" s="57" t="n"/>
      <c r="F771" s="57" t="n"/>
      <c r="G771" s="57" t="n"/>
    </row>
    <row r="772" ht="15.75" customHeight="1" s="94">
      <c r="A772" s="57" t="n"/>
      <c r="B772" s="57" t="n"/>
      <c r="C772" s="57" t="n"/>
      <c r="D772" s="57" t="n"/>
      <c r="E772" s="57" t="n"/>
      <c r="F772" s="57" t="n"/>
      <c r="G772" s="57" t="n"/>
    </row>
    <row r="773" ht="15.75" customHeight="1" s="94">
      <c r="A773" s="57" t="n"/>
      <c r="B773" s="57" t="n"/>
      <c r="C773" s="57" t="n"/>
      <c r="D773" s="57" t="n"/>
      <c r="E773" s="57" t="n"/>
      <c r="F773" s="57" t="n"/>
      <c r="G773" s="57" t="n"/>
    </row>
    <row r="774" ht="15.75" customHeight="1" s="94">
      <c r="A774" s="57" t="n"/>
      <c r="B774" s="57" t="n"/>
      <c r="C774" s="57" t="n"/>
      <c r="D774" s="57" t="n"/>
      <c r="E774" s="57" t="n"/>
      <c r="F774" s="57" t="n"/>
      <c r="G774" s="57" t="n"/>
    </row>
    <row r="775" ht="15.75" customHeight="1" s="94">
      <c r="A775" s="57" t="n"/>
      <c r="B775" s="57" t="n"/>
      <c r="C775" s="57" t="n"/>
      <c r="D775" s="57" t="n"/>
      <c r="E775" s="57" t="n"/>
      <c r="F775" s="57" t="n"/>
      <c r="G775" s="57" t="n"/>
    </row>
    <row r="776" ht="15.75" customHeight="1" s="94">
      <c r="A776" s="57" t="n"/>
      <c r="B776" s="57" t="n"/>
      <c r="C776" s="57" t="n"/>
      <c r="D776" s="57" t="n"/>
      <c r="E776" s="57" t="n"/>
      <c r="F776" s="57" t="n"/>
      <c r="G776" s="57" t="n"/>
    </row>
    <row r="777" ht="15.75" customHeight="1" s="94">
      <c r="A777" s="57" t="n"/>
      <c r="B777" s="57" t="n"/>
      <c r="C777" s="57" t="n"/>
      <c r="D777" s="57" t="n"/>
      <c r="E777" s="57" t="n"/>
      <c r="F777" s="57" t="n"/>
      <c r="G777" s="57" t="n"/>
    </row>
    <row r="778" ht="15.75" customHeight="1" s="94">
      <c r="A778" s="57" t="n"/>
      <c r="B778" s="57" t="n"/>
      <c r="C778" s="57" t="n"/>
      <c r="D778" s="57" t="n"/>
      <c r="E778" s="57" t="n"/>
      <c r="F778" s="57" t="n"/>
      <c r="G778" s="57" t="n"/>
    </row>
    <row r="779" ht="15.75" customHeight="1" s="94">
      <c r="A779" s="57" t="n"/>
      <c r="B779" s="57" t="n"/>
      <c r="C779" s="57" t="n"/>
      <c r="D779" s="57" t="n"/>
      <c r="E779" s="57" t="n"/>
      <c r="F779" s="57" t="n"/>
      <c r="G779" s="57" t="n"/>
    </row>
    <row r="780" ht="15.75" customHeight="1" s="94">
      <c r="A780" s="57" t="n"/>
      <c r="B780" s="57" t="n"/>
      <c r="C780" s="57" t="n"/>
      <c r="D780" s="57" t="n"/>
      <c r="E780" s="57" t="n"/>
      <c r="F780" s="57" t="n"/>
      <c r="G780" s="57" t="n"/>
    </row>
    <row r="781" ht="15.75" customHeight="1" s="94">
      <c r="A781" s="57" t="n"/>
      <c r="B781" s="57" t="n"/>
      <c r="C781" s="57" t="n"/>
      <c r="D781" s="57" t="n"/>
      <c r="E781" s="57" t="n"/>
      <c r="F781" s="57" t="n"/>
      <c r="G781" s="57" t="n"/>
    </row>
    <row r="782" ht="15.75" customHeight="1" s="94">
      <c r="A782" s="57" t="n"/>
      <c r="B782" s="57" t="n"/>
      <c r="C782" s="57" t="n"/>
      <c r="D782" s="57" t="n"/>
      <c r="E782" s="57" t="n"/>
      <c r="F782" s="57" t="n"/>
      <c r="G782" s="57" t="n"/>
    </row>
    <row r="783" ht="15.75" customHeight="1" s="94">
      <c r="A783" s="57" t="n"/>
      <c r="B783" s="57" t="n"/>
      <c r="C783" s="57" t="n"/>
      <c r="D783" s="57" t="n"/>
      <c r="E783" s="57" t="n"/>
      <c r="F783" s="57" t="n"/>
      <c r="G783" s="57" t="n"/>
    </row>
    <row r="784" ht="15.75" customHeight="1" s="94">
      <c r="A784" s="57" t="n"/>
      <c r="B784" s="57" t="n"/>
      <c r="C784" s="57" t="n"/>
      <c r="D784" s="57" t="n"/>
      <c r="E784" s="57" t="n"/>
      <c r="F784" s="57" t="n"/>
      <c r="G784" s="57" t="n"/>
    </row>
    <row r="785" ht="15.75" customHeight="1" s="94">
      <c r="A785" s="57" t="n"/>
      <c r="B785" s="57" t="n"/>
      <c r="C785" s="57" t="n"/>
      <c r="D785" s="57" t="n"/>
      <c r="E785" s="57" t="n"/>
      <c r="F785" s="57" t="n"/>
      <c r="G785" s="57" t="n"/>
    </row>
    <row r="786" ht="15.75" customHeight="1" s="94">
      <c r="A786" s="57" t="n"/>
      <c r="B786" s="57" t="n"/>
      <c r="C786" s="57" t="n"/>
      <c r="D786" s="57" t="n"/>
      <c r="E786" s="57" t="n"/>
      <c r="F786" s="57" t="n"/>
      <c r="G786" s="57" t="n"/>
    </row>
    <row r="787" ht="15.75" customHeight="1" s="94">
      <c r="A787" s="57" t="n"/>
      <c r="B787" s="57" t="n"/>
      <c r="C787" s="57" t="n"/>
      <c r="D787" s="57" t="n"/>
      <c r="E787" s="57" t="n"/>
      <c r="F787" s="57" t="n"/>
      <c r="G787" s="57" t="n"/>
    </row>
    <row r="788" ht="15.75" customHeight="1" s="94">
      <c r="A788" s="57" t="n"/>
      <c r="B788" s="57" t="n"/>
      <c r="C788" s="57" t="n"/>
      <c r="D788" s="57" t="n"/>
      <c r="E788" s="57" t="n"/>
      <c r="F788" s="57" t="n"/>
      <c r="G788" s="57" t="n"/>
    </row>
    <row r="789" ht="15.75" customHeight="1" s="94">
      <c r="A789" s="57" t="n"/>
      <c r="B789" s="57" t="n"/>
      <c r="C789" s="57" t="n"/>
      <c r="D789" s="57" t="n"/>
      <c r="E789" s="57" t="n"/>
      <c r="F789" s="57" t="n"/>
      <c r="G789" s="57" t="n"/>
    </row>
    <row r="790" ht="15.75" customHeight="1" s="94">
      <c r="A790" s="57" t="n"/>
      <c r="B790" s="57" t="n"/>
      <c r="C790" s="57" t="n"/>
      <c r="D790" s="57" t="n"/>
      <c r="E790" s="57" t="n"/>
      <c r="F790" s="57" t="n"/>
      <c r="G790" s="57" t="n"/>
    </row>
    <row r="791" ht="15.75" customHeight="1" s="94">
      <c r="A791" s="57" t="n"/>
      <c r="B791" s="57" t="n"/>
      <c r="C791" s="57" t="n"/>
      <c r="D791" s="57" t="n"/>
      <c r="E791" s="57" t="n"/>
      <c r="F791" s="57" t="n"/>
      <c r="G791" s="57" t="n"/>
    </row>
    <row r="792" ht="15.75" customHeight="1" s="94">
      <c r="A792" s="57" t="n"/>
      <c r="B792" s="57" t="n"/>
      <c r="C792" s="57" t="n"/>
      <c r="D792" s="57" t="n"/>
      <c r="E792" s="57" t="n"/>
      <c r="F792" s="57" t="n"/>
      <c r="G792" s="57" t="n"/>
    </row>
    <row r="793" ht="15.75" customHeight="1" s="94">
      <c r="A793" s="57" t="n"/>
      <c r="B793" s="57" t="n"/>
      <c r="C793" s="57" t="n"/>
      <c r="D793" s="57" t="n"/>
      <c r="E793" s="57" t="n"/>
      <c r="F793" s="57" t="n"/>
      <c r="G793" s="57" t="n"/>
    </row>
    <row r="794" ht="15.75" customHeight="1" s="94">
      <c r="A794" s="57" t="n"/>
      <c r="B794" s="57" t="n"/>
      <c r="C794" s="57" t="n"/>
      <c r="D794" s="57" t="n"/>
      <c r="E794" s="57" t="n"/>
      <c r="F794" s="57" t="n"/>
      <c r="G794" s="57" t="n"/>
    </row>
    <row r="795" ht="15.75" customHeight="1" s="94">
      <c r="A795" s="57" t="n"/>
      <c r="B795" s="57" t="n"/>
      <c r="C795" s="57" t="n"/>
      <c r="D795" s="57" t="n"/>
      <c r="E795" s="57" t="n"/>
      <c r="F795" s="57" t="n"/>
      <c r="G795" s="57" t="n"/>
    </row>
    <row r="796" ht="15.75" customHeight="1" s="94">
      <c r="A796" s="57" t="n"/>
      <c r="B796" s="57" t="n"/>
      <c r="C796" s="57" t="n"/>
      <c r="D796" s="57" t="n"/>
      <c r="E796" s="57" t="n"/>
      <c r="F796" s="57" t="n"/>
      <c r="G796" s="57" t="n"/>
    </row>
    <row r="797" ht="15.75" customHeight="1" s="94">
      <c r="A797" s="57" t="n"/>
      <c r="B797" s="57" t="n"/>
      <c r="C797" s="57" t="n"/>
      <c r="D797" s="57" t="n"/>
      <c r="E797" s="57" t="n"/>
      <c r="F797" s="57" t="n"/>
      <c r="G797" s="57" t="n"/>
    </row>
    <row r="798" ht="15.75" customHeight="1" s="94">
      <c r="A798" s="57" t="n"/>
      <c r="B798" s="57" t="n"/>
      <c r="C798" s="57" t="n"/>
      <c r="D798" s="57" t="n"/>
      <c r="E798" s="57" t="n"/>
      <c r="F798" s="57" t="n"/>
      <c r="G798" s="57" t="n"/>
    </row>
    <row r="799" ht="15.75" customHeight="1" s="94">
      <c r="A799" s="57" t="n"/>
      <c r="B799" s="57" t="n"/>
      <c r="C799" s="57" t="n"/>
      <c r="D799" s="57" t="n"/>
      <c r="E799" s="57" t="n"/>
      <c r="F799" s="57" t="n"/>
      <c r="G799" s="57" t="n"/>
    </row>
    <row r="800" ht="15.75" customHeight="1" s="94">
      <c r="A800" s="57" t="n"/>
      <c r="B800" s="57" t="n"/>
      <c r="C800" s="57" t="n"/>
      <c r="D800" s="57" t="n"/>
      <c r="E800" s="57" t="n"/>
      <c r="F800" s="57" t="n"/>
      <c r="G800" s="57" t="n"/>
    </row>
    <row r="801" ht="15.75" customHeight="1" s="94">
      <c r="A801" s="57" t="n"/>
      <c r="B801" s="57" t="n"/>
      <c r="C801" s="57" t="n"/>
      <c r="D801" s="57" t="n"/>
      <c r="E801" s="57" t="n"/>
      <c r="F801" s="57" t="n"/>
      <c r="G801" s="57" t="n"/>
    </row>
    <row r="802" ht="15.75" customHeight="1" s="94">
      <c r="A802" s="57" t="n"/>
      <c r="B802" s="57" t="n"/>
      <c r="C802" s="57" t="n"/>
      <c r="D802" s="57" t="n"/>
      <c r="E802" s="57" t="n"/>
      <c r="F802" s="57" t="n"/>
      <c r="G802" s="57" t="n"/>
    </row>
    <row r="803" ht="15.75" customHeight="1" s="94">
      <c r="A803" s="57" t="n"/>
      <c r="B803" s="57" t="n"/>
      <c r="C803" s="57" t="n"/>
      <c r="D803" s="57" t="n"/>
      <c r="E803" s="57" t="n"/>
      <c r="F803" s="57" t="n"/>
      <c r="G803" s="57" t="n"/>
    </row>
    <row r="804" ht="15.75" customHeight="1" s="94">
      <c r="A804" s="57" t="n"/>
      <c r="B804" s="57" t="n"/>
      <c r="C804" s="57" t="n"/>
      <c r="D804" s="57" t="n"/>
      <c r="E804" s="57" t="n"/>
      <c r="F804" s="57" t="n"/>
      <c r="G804" s="57" t="n"/>
    </row>
    <row r="805" ht="15.75" customHeight="1" s="94">
      <c r="A805" s="57" t="n"/>
      <c r="B805" s="57" t="n"/>
      <c r="C805" s="57" t="n"/>
      <c r="D805" s="57" t="n"/>
      <c r="E805" s="57" t="n"/>
      <c r="F805" s="57" t="n"/>
      <c r="G805" s="57" t="n"/>
    </row>
    <row r="806" ht="15.75" customHeight="1" s="94">
      <c r="A806" s="57" t="n"/>
      <c r="B806" s="57" t="n"/>
      <c r="C806" s="57" t="n"/>
      <c r="D806" s="57" t="n"/>
      <c r="E806" s="57" t="n"/>
      <c r="F806" s="57" t="n"/>
      <c r="G806" s="57" t="n"/>
    </row>
    <row r="807" ht="15.75" customHeight="1" s="94">
      <c r="A807" s="57" t="n"/>
      <c r="B807" s="57" t="n"/>
      <c r="C807" s="57" t="n"/>
      <c r="D807" s="57" t="n"/>
      <c r="E807" s="57" t="n"/>
      <c r="F807" s="57" t="n"/>
      <c r="G807" s="57" t="n"/>
    </row>
    <row r="808" ht="15.75" customHeight="1" s="94">
      <c r="A808" s="57" t="n"/>
      <c r="B808" s="57" t="n"/>
      <c r="C808" s="57" t="n"/>
      <c r="D808" s="57" t="n"/>
      <c r="E808" s="57" t="n"/>
      <c r="F808" s="57" t="n"/>
      <c r="G808" s="57" t="n"/>
    </row>
    <row r="809" ht="15.75" customHeight="1" s="94">
      <c r="A809" s="57" t="n"/>
      <c r="B809" s="57" t="n"/>
      <c r="C809" s="57" t="n"/>
      <c r="D809" s="57" t="n"/>
      <c r="E809" s="57" t="n"/>
      <c r="F809" s="57" t="n"/>
      <c r="G809" s="57" t="n"/>
    </row>
    <row r="810" ht="15.75" customHeight="1" s="94">
      <c r="A810" s="57" t="n"/>
      <c r="B810" s="57" t="n"/>
      <c r="C810" s="57" t="n"/>
      <c r="D810" s="57" t="n"/>
      <c r="E810" s="57" t="n"/>
      <c r="F810" s="57" t="n"/>
      <c r="G810" s="57" t="n"/>
    </row>
    <row r="811" ht="15.75" customHeight="1" s="94">
      <c r="A811" s="57" t="n"/>
      <c r="B811" s="57" t="n"/>
      <c r="C811" s="57" t="n"/>
      <c r="D811" s="57" t="n"/>
      <c r="E811" s="57" t="n"/>
      <c r="F811" s="57" t="n"/>
      <c r="G811" s="57" t="n"/>
    </row>
    <row r="812" ht="15.75" customHeight="1" s="94">
      <c r="A812" s="57" t="n"/>
      <c r="B812" s="57" t="n"/>
      <c r="C812" s="57" t="n"/>
      <c r="D812" s="57" t="n"/>
      <c r="E812" s="57" t="n"/>
      <c r="F812" s="57" t="n"/>
      <c r="G812" s="57" t="n"/>
    </row>
    <row r="813" ht="15.75" customHeight="1" s="94">
      <c r="A813" s="57" t="n"/>
      <c r="B813" s="57" t="n"/>
      <c r="C813" s="57" t="n"/>
      <c r="D813" s="57" t="n"/>
      <c r="E813" s="57" t="n"/>
      <c r="F813" s="57" t="n"/>
      <c r="G813" s="57" t="n"/>
    </row>
    <row r="814" ht="15.75" customHeight="1" s="94">
      <c r="A814" s="57" t="n"/>
      <c r="B814" s="57" t="n"/>
      <c r="C814" s="57" t="n"/>
      <c r="D814" s="57" t="n"/>
      <c r="E814" s="57" t="n"/>
      <c r="F814" s="57" t="n"/>
      <c r="G814" s="57" t="n"/>
    </row>
    <row r="815" ht="15.75" customHeight="1" s="94">
      <c r="A815" s="57" t="n"/>
      <c r="B815" s="57" t="n"/>
      <c r="C815" s="57" t="n"/>
      <c r="D815" s="57" t="n"/>
      <c r="E815" s="57" t="n"/>
      <c r="F815" s="57" t="n"/>
      <c r="G815" s="57" t="n"/>
    </row>
    <row r="816" ht="15.75" customHeight="1" s="94">
      <c r="A816" s="57" t="n"/>
      <c r="B816" s="57" t="n"/>
      <c r="C816" s="57" t="n"/>
      <c r="D816" s="57" t="n"/>
      <c r="E816" s="57" t="n"/>
      <c r="F816" s="57" t="n"/>
      <c r="G816" s="57" t="n"/>
    </row>
    <row r="817" ht="15.75" customHeight="1" s="94">
      <c r="A817" s="57" t="n"/>
      <c r="B817" s="57" t="n"/>
      <c r="C817" s="57" t="n"/>
      <c r="D817" s="57" t="n"/>
      <c r="E817" s="57" t="n"/>
      <c r="F817" s="57" t="n"/>
      <c r="G817" s="57" t="n"/>
    </row>
    <row r="818" ht="15.75" customHeight="1" s="94">
      <c r="A818" s="57" t="n"/>
      <c r="B818" s="57" t="n"/>
      <c r="C818" s="57" t="n"/>
      <c r="D818" s="57" t="n"/>
      <c r="E818" s="57" t="n"/>
      <c r="F818" s="57" t="n"/>
      <c r="G818" s="57" t="n"/>
    </row>
    <row r="819" ht="15.75" customHeight="1" s="94">
      <c r="A819" s="57" t="n"/>
      <c r="B819" s="57" t="n"/>
      <c r="C819" s="57" t="n"/>
      <c r="D819" s="57" t="n"/>
      <c r="E819" s="57" t="n"/>
      <c r="F819" s="57" t="n"/>
      <c r="G819" s="57" t="n"/>
    </row>
    <row r="820" ht="15.75" customHeight="1" s="94">
      <c r="A820" s="57" t="n"/>
      <c r="B820" s="57" t="n"/>
      <c r="C820" s="57" t="n"/>
      <c r="D820" s="57" t="n"/>
      <c r="E820" s="57" t="n"/>
      <c r="F820" s="57" t="n"/>
      <c r="G820" s="57" t="n"/>
    </row>
    <row r="821" ht="15.75" customHeight="1" s="94">
      <c r="A821" s="57" t="n"/>
      <c r="B821" s="57" t="n"/>
      <c r="C821" s="57" t="n"/>
      <c r="D821" s="57" t="n"/>
      <c r="E821" s="57" t="n"/>
      <c r="F821" s="57" t="n"/>
      <c r="G821" s="57" t="n"/>
    </row>
    <row r="822" ht="15.75" customHeight="1" s="94">
      <c r="A822" s="57" t="n"/>
      <c r="B822" s="57" t="n"/>
      <c r="C822" s="57" t="n"/>
      <c r="D822" s="57" t="n"/>
      <c r="E822" s="57" t="n"/>
      <c r="F822" s="57" t="n"/>
      <c r="G822" s="57" t="n"/>
    </row>
    <row r="823" ht="15.75" customHeight="1" s="94">
      <c r="A823" s="57" t="n"/>
      <c r="B823" s="57" t="n"/>
      <c r="C823" s="57" t="n"/>
      <c r="D823" s="57" t="n"/>
      <c r="E823" s="57" t="n"/>
      <c r="F823" s="57" t="n"/>
      <c r="G823" s="57" t="n"/>
    </row>
    <row r="824" ht="15.75" customHeight="1" s="94">
      <c r="A824" s="57" t="n"/>
      <c r="B824" s="57" t="n"/>
      <c r="C824" s="57" t="n"/>
      <c r="D824" s="57" t="n"/>
      <c r="E824" s="57" t="n"/>
      <c r="F824" s="57" t="n"/>
      <c r="G824" s="57" t="n"/>
    </row>
    <row r="825" ht="15.75" customHeight="1" s="94">
      <c r="A825" s="57" t="n"/>
      <c r="B825" s="57" t="n"/>
      <c r="C825" s="57" t="n"/>
      <c r="D825" s="57" t="n"/>
      <c r="E825" s="57" t="n"/>
      <c r="F825" s="57" t="n"/>
      <c r="G825" s="57" t="n"/>
    </row>
    <row r="826" ht="15.75" customHeight="1" s="94">
      <c r="A826" s="57" t="n"/>
      <c r="B826" s="57" t="n"/>
      <c r="C826" s="57" t="n"/>
      <c r="D826" s="57" t="n"/>
      <c r="E826" s="57" t="n"/>
      <c r="F826" s="57" t="n"/>
      <c r="G826" s="57" t="n"/>
    </row>
    <row r="827" ht="15.75" customHeight="1" s="94">
      <c r="A827" s="57" t="n"/>
      <c r="B827" s="57" t="n"/>
      <c r="C827" s="57" t="n"/>
      <c r="D827" s="57" t="n"/>
      <c r="E827" s="57" t="n"/>
      <c r="F827" s="57" t="n"/>
      <c r="G827" s="57" t="n"/>
    </row>
    <row r="828" ht="15.75" customHeight="1" s="94">
      <c r="A828" s="57" t="n"/>
      <c r="B828" s="57" t="n"/>
      <c r="C828" s="57" t="n"/>
      <c r="D828" s="57" t="n"/>
      <c r="E828" s="57" t="n"/>
      <c r="F828" s="57" t="n"/>
      <c r="G828" s="57" t="n"/>
    </row>
    <row r="829" ht="15.75" customHeight="1" s="94">
      <c r="A829" s="57" t="n"/>
      <c r="B829" s="57" t="n"/>
      <c r="C829" s="57" t="n"/>
      <c r="D829" s="57" t="n"/>
      <c r="E829" s="57" t="n"/>
      <c r="F829" s="57" t="n"/>
      <c r="G829" s="57" t="n"/>
    </row>
    <row r="830" ht="15.75" customHeight="1" s="94">
      <c r="A830" s="57" t="n"/>
      <c r="B830" s="57" t="n"/>
      <c r="C830" s="57" t="n"/>
      <c r="D830" s="57" t="n"/>
      <c r="E830" s="57" t="n"/>
      <c r="F830" s="57" t="n"/>
      <c r="G830" s="57" t="n"/>
    </row>
    <row r="831" ht="15.75" customHeight="1" s="94">
      <c r="A831" s="57" t="n"/>
      <c r="B831" s="57" t="n"/>
      <c r="C831" s="57" t="n"/>
      <c r="D831" s="57" t="n"/>
      <c r="E831" s="57" t="n"/>
      <c r="F831" s="57" t="n"/>
      <c r="G831" s="57" t="n"/>
    </row>
    <row r="832" ht="15.75" customHeight="1" s="94">
      <c r="A832" s="57" t="n"/>
      <c r="B832" s="57" t="n"/>
      <c r="C832" s="57" t="n"/>
      <c r="D832" s="57" t="n"/>
      <c r="E832" s="57" t="n"/>
      <c r="F832" s="57" t="n"/>
      <c r="G832" s="57" t="n"/>
    </row>
    <row r="833" ht="15.75" customHeight="1" s="94">
      <c r="A833" s="57" t="n"/>
      <c r="B833" s="57" t="n"/>
      <c r="C833" s="57" t="n"/>
      <c r="D833" s="57" t="n"/>
      <c r="E833" s="57" t="n"/>
      <c r="F833" s="57" t="n"/>
      <c r="G833" s="57" t="n"/>
    </row>
    <row r="834" ht="15.75" customHeight="1" s="94">
      <c r="A834" s="57" t="n"/>
      <c r="B834" s="57" t="n"/>
      <c r="C834" s="57" t="n"/>
      <c r="D834" s="57" t="n"/>
      <c r="E834" s="57" t="n"/>
      <c r="F834" s="57" t="n"/>
      <c r="G834" s="57" t="n"/>
    </row>
    <row r="835" ht="15.75" customHeight="1" s="94">
      <c r="A835" s="57" t="n"/>
      <c r="B835" s="57" t="n"/>
      <c r="C835" s="57" t="n"/>
      <c r="D835" s="57" t="n"/>
      <c r="E835" s="57" t="n"/>
      <c r="F835" s="57" t="n"/>
      <c r="G835" s="57" t="n"/>
    </row>
    <row r="836" ht="15.75" customHeight="1" s="94">
      <c r="A836" s="57" t="n"/>
      <c r="B836" s="57" t="n"/>
      <c r="C836" s="57" t="n"/>
      <c r="D836" s="57" t="n"/>
      <c r="E836" s="57" t="n"/>
      <c r="F836" s="57" t="n"/>
      <c r="G836" s="57" t="n"/>
    </row>
    <row r="837" ht="15.75" customHeight="1" s="94">
      <c r="A837" s="57" t="n"/>
      <c r="B837" s="57" t="n"/>
      <c r="C837" s="57" t="n"/>
      <c r="D837" s="57" t="n"/>
      <c r="E837" s="57" t="n"/>
      <c r="F837" s="57" t="n"/>
      <c r="G837" s="57" t="n"/>
    </row>
    <row r="838" ht="15.75" customHeight="1" s="94">
      <c r="A838" s="57" t="n"/>
      <c r="B838" s="57" t="n"/>
      <c r="C838" s="57" t="n"/>
      <c r="D838" s="57" t="n"/>
      <c r="E838" s="57" t="n"/>
      <c r="F838" s="57" t="n"/>
      <c r="G838" s="57" t="n"/>
    </row>
    <row r="839" ht="15.75" customHeight="1" s="94">
      <c r="A839" s="57" t="n"/>
      <c r="B839" s="57" t="n"/>
      <c r="C839" s="57" t="n"/>
      <c r="D839" s="57" t="n"/>
      <c r="E839" s="57" t="n"/>
      <c r="F839" s="57" t="n"/>
      <c r="G839" s="57" t="n"/>
    </row>
    <row r="840" ht="15.75" customHeight="1" s="94">
      <c r="A840" s="57" t="n"/>
      <c r="B840" s="57" t="n"/>
      <c r="C840" s="57" t="n"/>
      <c r="D840" s="57" t="n"/>
      <c r="E840" s="57" t="n"/>
      <c r="F840" s="57" t="n"/>
      <c r="G840" s="57" t="n"/>
    </row>
    <row r="841" ht="15.75" customHeight="1" s="94">
      <c r="A841" s="57" t="n"/>
      <c r="B841" s="57" t="n"/>
      <c r="C841" s="57" t="n"/>
      <c r="D841" s="57" t="n"/>
      <c r="E841" s="57" t="n"/>
      <c r="F841" s="57" t="n"/>
      <c r="G841" s="57" t="n"/>
    </row>
    <row r="842" ht="15.75" customHeight="1" s="94">
      <c r="A842" s="57" t="n"/>
      <c r="B842" s="57" t="n"/>
      <c r="C842" s="57" t="n"/>
      <c r="D842" s="57" t="n"/>
      <c r="E842" s="57" t="n"/>
      <c r="F842" s="57" t="n"/>
      <c r="G842" s="57" t="n"/>
    </row>
    <row r="843" ht="15.75" customHeight="1" s="94">
      <c r="A843" s="57" t="n"/>
      <c r="B843" s="57" t="n"/>
      <c r="C843" s="57" t="n"/>
      <c r="D843" s="57" t="n"/>
      <c r="E843" s="57" t="n"/>
      <c r="F843" s="57" t="n"/>
      <c r="G843" s="57" t="n"/>
    </row>
    <row r="844" ht="15.75" customHeight="1" s="94">
      <c r="A844" s="57" t="n"/>
      <c r="B844" s="57" t="n"/>
      <c r="C844" s="57" t="n"/>
      <c r="D844" s="57" t="n"/>
      <c r="E844" s="57" t="n"/>
      <c r="F844" s="57" t="n"/>
      <c r="G844" s="57" t="n"/>
    </row>
    <row r="845" ht="15.75" customHeight="1" s="94">
      <c r="A845" s="57" t="n"/>
      <c r="B845" s="57" t="n"/>
      <c r="C845" s="57" t="n"/>
      <c r="D845" s="57" t="n"/>
      <c r="E845" s="57" t="n"/>
      <c r="F845" s="57" t="n"/>
      <c r="G845" s="57" t="n"/>
    </row>
    <row r="846" ht="15.75" customHeight="1" s="94">
      <c r="A846" s="57" t="n"/>
      <c r="B846" s="57" t="n"/>
      <c r="C846" s="57" t="n"/>
      <c r="D846" s="57" t="n"/>
      <c r="E846" s="57" t="n"/>
      <c r="F846" s="57" t="n"/>
      <c r="G846" s="57" t="n"/>
    </row>
    <row r="847" ht="15.75" customHeight="1" s="94">
      <c r="A847" s="57" t="n"/>
      <c r="B847" s="57" t="n"/>
      <c r="C847" s="57" t="n"/>
      <c r="D847" s="57" t="n"/>
      <c r="E847" s="57" t="n"/>
      <c r="F847" s="57" t="n"/>
      <c r="G847" s="57" t="n"/>
    </row>
    <row r="848" ht="15.75" customHeight="1" s="94">
      <c r="A848" s="57" t="n"/>
      <c r="B848" s="57" t="n"/>
      <c r="C848" s="57" t="n"/>
      <c r="D848" s="57" t="n"/>
      <c r="E848" s="57" t="n"/>
      <c r="F848" s="57" t="n"/>
      <c r="G848" s="57" t="n"/>
    </row>
    <row r="849" ht="15.75" customHeight="1" s="94">
      <c r="A849" s="57" t="n"/>
      <c r="B849" s="57" t="n"/>
      <c r="C849" s="57" t="n"/>
      <c r="D849" s="57" t="n"/>
      <c r="E849" s="57" t="n"/>
      <c r="F849" s="57" t="n"/>
      <c r="G849" s="57" t="n"/>
    </row>
    <row r="850" ht="15.75" customHeight="1" s="94">
      <c r="A850" s="57" t="n"/>
      <c r="B850" s="57" t="n"/>
      <c r="C850" s="57" t="n"/>
      <c r="D850" s="57" t="n"/>
      <c r="E850" s="57" t="n"/>
      <c r="F850" s="57" t="n"/>
      <c r="G850" s="57" t="n"/>
    </row>
    <row r="851" ht="15.75" customHeight="1" s="94">
      <c r="A851" s="57" t="n"/>
      <c r="B851" s="57" t="n"/>
      <c r="C851" s="57" t="n"/>
      <c r="D851" s="57" t="n"/>
      <c r="E851" s="57" t="n"/>
      <c r="F851" s="57" t="n"/>
      <c r="G851" s="57" t="n"/>
    </row>
    <row r="852" ht="15.75" customHeight="1" s="94">
      <c r="A852" s="57" t="n"/>
      <c r="B852" s="57" t="n"/>
      <c r="C852" s="57" t="n"/>
      <c r="D852" s="57" t="n"/>
      <c r="E852" s="57" t="n"/>
      <c r="F852" s="57" t="n"/>
      <c r="G852" s="57" t="n"/>
    </row>
    <row r="853" ht="15.75" customHeight="1" s="94">
      <c r="A853" s="57" t="n"/>
      <c r="B853" s="57" t="n"/>
      <c r="C853" s="57" t="n"/>
      <c r="D853" s="57" t="n"/>
      <c r="E853" s="57" t="n"/>
      <c r="F853" s="57" t="n"/>
      <c r="G853" s="57" t="n"/>
    </row>
    <row r="854" ht="15.75" customHeight="1" s="94">
      <c r="A854" s="57" t="n"/>
      <c r="B854" s="57" t="n"/>
      <c r="C854" s="57" t="n"/>
      <c r="D854" s="57" t="n"/>
      <c r="E854" s="57" t="n"/>
      <c r="F854" s="57" t="n"/>
      <c r="G854" s="57" t="n"/>
    </row>
    <row r="855" ht="15.75" customHeight="1" s="94">
      <c r="A855" s="57" t="n"/>
      <c r="B855" s="57" t="n"/>
      <c r="C855" s="57" t="n"/>
      <c r="D855" s="57" t="n"/>
      <c r="E855" s="57" t="n"/>
      <c r="F855" s="57" t="n"/>
      <c r="G855" s="57" t="n"/>
    </row>
    <row r="856" ht="15.75" customHeight="1" s="94">
      <c r="A856" s="57" t="n"/>
      <c r="B856" s="57" t="n"/>
      <c r="C856" s="57" t="n"/>
      <c r="D856" s="57" t="n"/>
      <c r="E856" s="57" t="n"/>
      <c r="F856" s="57" t="n"/>
      <c r="G856" s="57" t="n"/>
    </row>
    <row r="857" ht="15.75" customHeight="1" s="94">
      <c r="A857" s="57" t="n"/>
      <c r="B857" s="57" t="n"/>
      <c r="C857" s="57" t="n"/>
      <c r="D857" s="57" t="n"/>
      <c r="E857" s="57" t="n"/>
      <c r="F857" s="57" t="n"/>
      <c r="G857" s="57" t="n"/>
    </row>
    <row r="858" ht="15.75" customHeight="1" s="94">
      <c r="A858" s="57" t="n"/>
      <c r="B858" s="57" t="n"/>
      <c r="C858" s="57" t="n"/>
      <c r="D858" s="57" t="n"/>
      <c r="E858" s="57" t="n"/>
      <c r="F858" s="57" t="n"/>
      <c r="G858" s="57" t="n"/>
    </row>
    <row r="859" ht="15.75" customHeight="1" s="94">
      <c r="A859" s="57" t="n"/>
      <c r="B859" s="57" t="n"/>
      <c r="C859" s="57" t="n"/>
      <c r="D859" s="57" t="n"/>
      <c r="E859" s="57" t="n"/>
      <c r="F859" s="57" t="n"/>
      <c r="G859" s="57" t="n"/>
    </row>
    <row r="860" ht="15.75" customHeight="1" s="94">
      <c r="A860" s="57" t="n"/>
      <c r="B860" s="57" t="n"/>
      <c r="C860" s="57" t="n"/>
      <c r="D860" s="57" t="n"/>
      <c r="E860" s="57" t="n"/>
      <c r="F860" s="57" t="n"/>
      <c r="G860" s="57" t="n"/>
    </row>
    <row r="861" ht="15.75" customHeight="1" s="94">
      <c r="A861" s="57" t="n"/>
      <c r="B861" s="57" t="n"/>
      <c r="C861" s="57" t="n"/>
      <c r="D861" s="57" t="n"/>
      <c r="E861" s="57" t="n"/>
      <c r="F861" s="57" t="n"/>
      <c r="G861" s="57" t="n"/>
    </row>
    <row r="862" ht="15.75" customHeight="1" s="94">
      <c r="A862" s="57" t="n"/>
      <c r="B862" s="57" t="n"/>
      <c r="C862" s="57" t="n"/>
      <c r="D862" s="57" t="n"/>
      <c r="E862" s="57" t="n"/>
      <c r="F862" s="57" t="n"/>
      <c r="G862" s="57" t="n"/>
    </row>
    <row r="863" ht="15.75" customHeight="1" s="94">
      <c r="A863" s="57" t="n"/>
      <c r="B863" s="57" t="n"/>
      <c r="C863" s="57" t="n"/>
      <c r="D863" s="57" t="n"/>
      <c r="E863" s="57" t="n"/>
      <c r="F863" s="57" t="n"/>
      <c r="G863" s="57" t="n"/>
    </row>
    <row r="864" ht="15.75" customHeight="1" s="94">
      <c r="A864" s="57" t="n"/>
      <c r="B864" s="57" t="n"/>
      <c r="C864" s="57" t="n"/>
      <c r="D864" s="57" t="n"/>
      <c r="E864" s="57" t="n"/>
      <c r="F864" s="57" t="n"/>
      <c r="G864" s="57" t="n"/>
    </row>
    <row r="865" ht="15.75" customHeight="1" s="94">
      <c r="A865" s="57" t="n"/>
      <c r="B865" s="57" t="n"/>
      <c r="C865" s="57" t="n"/>
      <c r="D865" s="57" t="n"/>
      <c r="E865" s="57" t="n"/>
      <c r="F865" s="57" t="n"/>
      <c r="G865" s="57" t="n"/>
    </row>
    <row r="866" ht="15.75" customHeight="1" s="94">
      <c r="A866" s="57" t="n"/>
      <c r="B866" s="57" t="n"/>
      <c r="C866" s="57" t="n"/>
      <c r="D866" s="57" t="n"/>
      <c r="E866" s="57" t="n"/>
      <c r="F866" s="57" t="n"/>
      <c r="G866" s="57" t="n"/>
    </row>
    <row r="867" ht="15.75" customHeight="1" s="94">
      <c r="A867" s="57" t="n"/>
      <c r="B867" s="57" t="n"/>
      <c r="C867" s="57" t="n"/>
      <c r="D867" s="57" t="n"/>
      <c r="E867" s="57" t="n"/>
      <c r="F867" s="57" t="n"/>
      <c r="G867" s="57" t="n"/>
    </row>
    <row r="868" ht="15.75" customHeight="1" s="94">
      <c r="A868" s="57" t="n"/>
      <c r="B868" s="57" t="n"/>
      <c r="C868" s="57" t="n"/>
      <c r="D868" s="57" t="n"/>
      <c r="E868" s="57" t="n"/>
      <c r="F868" s="57" t="n"/>
      <c r="G868" s="57" t="n"/>
    </row>
    <row r="869" ht="15.75" customHeight="1" s="94">
      <c r="A869" s="57" t="n"/>
      <c r="B869" s="57" t="n"/>
      <c r="C869" s="57" t="n"/>
      <c r="D869" s="57" t="n"/>
      <c r="E869" s="57" t="n"/>
      <c r="F869" s="57" t="n"/>
      <c r="G869" s="57" t="n"/>
    </row>
    <row r="870" ht="15.75" customHeight="1" s="94">
      <c r="A870" s="57" t="n"/>
      <c r="B870" s="57" t="n"/>
      <c r="C870" s="57" t="n"/>
      <c r="D870" s="57" t="n"/>
      <c r="E870" s="57" t="n"/>
      <c r="F870" s="57" t="n"/>
      <c r="G870" s="57" t="n"/>
    </row>
    <row r="871" ht="15.75" customHeight="1" s="94">
      <c r="A871" s="57" t="n"/>
      <c r="B871" s="57" t="n"/>
      <c r="C871" s="57" t="n"/>
      <c r="D871" s="57" t="n"/>
      <c r="E871" s="57" t="n"/>
      <c r="F871" s="57" t="n"/>
      <c r="G871" s="57" t="n"/>
    </row>
    <row r="872" ht="15.75" customHeight="1" s="94">
      <c r="A872" s="57" t="n"/>
      <c r="B872" s="57" t="n"/>
      <c r="C872" s="57" t="n"/>
      <c r="D872" s="57" t="n"/>
      <c r="E872" s="57" t="n"/>
      <c r="F872" s="57" t="n"/>
      <c r="G872" s="57" t="n"/>
    </row>
    <row r="873" ht="15.75" customHeight="1" s="94">
      <c r="A873" s="57" t="n"/>
      <c r="B873" s="57" t="n"/>
      <c r="C873" s="57" t="n"/>
      <c r="D873" s="57" t="n"/>
      <c r="E873" s="57" t="n"/>
      <c r="F873" s="57" t="n"/>
      <c r="G873" s="57" t="n"/>
    </row>
    <row r="874" ht="15.75" customHeight="1" s="94">
      <c r="A874" s="57" t="n"/>
      <c r="B874" s="57" t="n"/>
      <c r="C874" s="57" t="n"/>
      <c r="D874" s="57" t="n"/>
      <c r="E874" s="57" t="n"/>
      <c r="F874" s="57" t="n"/>
      <c r="G874" s="57" t="n"/>
    </row>
    <row r="875" ht="15.75" customHeight="1" s="94">
      <c r="A875" s="57" t="n"/>
      <c r="B875" s="57" t="n"/>
      <c r="C875" s="57" t="n"/>
      <c r="D875" s="57" t="n"/>
      <c r="E875" s="57" t="n"/>
      <c r="F875" s="57" t="n"/>
      <c r="G875" s="57" t="n"/>
    </row>
    <row r="876" ht="15.75" customHeight="1" s="94">
      <c r="A876" s="57" t="n"/>
      <c r="B876" s="57" t="n"/>
      <c r="C876" s="57" t="n"/>
      <c r="D876" s="57" t="n"/>
      <c r="E876" s="57" t="n"/>
      <c r="F876" s="57" t="n"/>
      <c r="G876" s="57" t="n"/>
    </row>
    <row r="877" ht="15.75" customHeight="1" s="94">
      <c r="A877" s="57" t="n"/>
      <c r="B877" s="57" t="n"/>
      <c r="C877" s="57" t="n"/>
      <c r="D877" s="57" t="n"/>
      <c r="E877" s="57" t="n"/>
      <c r="F877" s="57" t="n"/>
      <c r="G877" s="57" t="n"/>
    </row>
    <row r="878" ht="15.75" customHeight="1" s="94">
      <c r="A878" s="57" t="n"/>
      <c r="B878" s="57" t="n"/>
      <c r="C878" s="57" t="n"/>
      <c r="D878" s="57" t="n"/>
      <c r="E878" s="57" t="n"/>
      <c r="F878" s="57" t="n"/>
      <c r="G878" s="57" t="n"/>
    </row>
    <row r="879" ht="15.75" customHeight="1" s="94">
      <c r="A879" s="57" t="n"/>
      <c r="B879" s="57" t="n"/>
      <c r="C879" s="57" t="n"/>
      <c r="D879" s="57" t="n"/>
      <c r="E879" s="57" t="n"/>
      <c r="F879" s="57" t="n"/>
      <c r="G879" s="57" t="n"/>
    </row>
    <row r="880" ht="15.75" customHeight="1" s="94">
      <c r="A880" s="57" t="n"/>
      <c r="B880" s="57" t="n"/>
      <c r="C880" s="57" t="n"/>
      <c r="D880" s="57" t="n"/>
      <c r="E880" s="57" t="n"/>
      <c r="F880" s="57" t="n"/>
      <c r="G880" s="57" t="n"/>
    </row>
    <row r="881" ht="15.75" customHeight="1" s="94">
      <c r="A881" s="57" t="n"/>
      <c r="B881" s="57" t="n"/>
      <c r="C881" s="57" t="n"/>
      <c r="D881" s="57" t="n"/>
      <c r="E881" s="57" t="n"/>
      <c r="F881" s="57" t="n"/>
      <c r="G881" s="57" t="n"/>
    </row>
    <row r="882" ht="15.75" customHeight="1" s="94">
      <c r="A882" s="57" t="n"/>
      <c r="B882" s="57" t="n"/>
      <c r="C882" s="57" t="n"/>
      <c r="D882" s="57" t="n"/>
      <c r="E882" s="57" t="n"/>
      <c r="F882" s="57" t="n"/>
      <c r="G882" s="57" t="n"/>
    </row>
    <row r="883" ht="15.75" customHeight="1" s="94">
      <c r="A883" s="57" t="n"/>
      <c r="B883" s="57" t="n"/>
      <c r="C883" s="57" t="n"/>
      <c r="D883" s="57" t="n"/>
      <c r="E883" s="57" t="n"/>
      <c r="F883" s="57" t="n"/>
      <c r="G883" s="57" t="n"/>
    </row>
    <row r="884" ht="15.75" customHeight="1" s="94">
      <c r="A884" s="57" t="n"/>
      <c r="B884" s="57" t="n"/>
      <c r="C884" s="57" t="n"/>
      <c r="D884" s="57" t="n"/>
      <c r="E884" s="57" t="n"/>
      <c r="F884" s="57" t="n"/>
      <c r="G884" s="57" t="n"/>
    </row>
    <row r="885" ht="15.75" customHeight="1" s="94">
      <c r="A885" s="57" t="n"/>
      <c r="B885" s="57" t="n"/>
      <c r="C885" s="57" t="n"/>
      <c r="D885" s="57" t="n"/>
      <c r="E885" s="57" t="n"/>
      <c r="F885" s="57" t="n"/>
      <c r="G885" s="57" t="n"/>
    </row>
    <row r="886" ht="15.75" customHeight="1" s="94">
      <c r="A886" s="57" t="n"/>
      <c r="B886" s="57" t="n"/>
      <c r="C886" s="57" t="n"/>
      <c r="D886" s="57" t="n"/>
      <c r="E886" s="57" t="n"/>
      <c r="F886" s="57" t="n"/>
      <c r="G886" s="57" t="n"/>
    </row>
    <row r="887" ht="15.75" customHeight="1" s="94">
      <c r="A887" s="57" t="n"/>
      <c r="B887" s="57" t="n"/>
      <c r="C887" s="57" t="n"/>
      <c r="D887" s="57" t="n"/>
      <c r="E887" s="57" t="n"/>
      <c r="F887" s="57" t="n"/>
      <c r="G887" s="57" t="n"/>
    </row>
    <row r="888" ht="15.75" customHeight="1" s="94">
      <c r="A888" s="57" t="n"/>
      <c r="B888" s="57" t="n"/>
      <c r="C888" s="57" t="n"/>
      <c r="D888" s="57" t="n"/>
      <c r="E888" s="57" t="n"/>
      <c r="F888" s="57" t="n"/>
      <c r="G888" s="57" t="n"/>
    </row>
    <row r="889" ht="15.75" customHeight="1" s="94">
      <c r="A889" s="57" t="n"/>
      <c r="B889" s="57" t="n"/>
      <c r="C889" s="57" t="n"/>
      <c r="D889" s="57" t="n"/>
      <c r="E889" s="57" t="n"/>
      <c r="F889" s="57" t="n"/>
      <c r="G889" s="57" t="n"/>
    </row>
    <row r="890" ht="15.75" customHeight="1" s="94">
      <c r="A890" s="57" t="n"/>
      <c r="B890" s="57" t="n"/>
      <c r="C890" s="57" t="n"/>
      <c r="D890" s="57" t="n"/>
      <c r="E890" s="57" t="n"/>
      <c r="F890" s="57" t="n"/>
      <c r="G890" s="57" t="n"/>
    </row>
    <row r="891" ht="15.75" customHeight="1" s="94">
      <c r="A891" s="57" t="n"/>
      <c r="B891" s="57" t="n"/>
      <c r="C891" s="57" t="n"/>
      <c r="D891" s="57" t="n"/>
      <c r="E891" s="57" t="n"/>
      <c r="F891" s="57" t="n"/>
      <c r="G891" s="57" t="n"/>
    </row>
    <row r="892" ht="15.75" customHeight="1" s="94">
      <c r="A892" s="57" t="n"/>
      <c r="B892" s="57" t="n"/>
      <c r="C892" s="57" t="n"/>
      <c r="D892" s="57" t="n"/>
      <c r="E892" s="57" t="n"/>
      <c r="F892" s="57" t="n"/>
      <c r="G892" s="57" t="n"/>
    </row>
    <row r="893" ht="15.75" customHeight="1" s="94">
      <c r="A893" s="57" t="n"/>
      <c r="B893" s="57" t="n"/>
      <c r="C893" s="57" t="n"/>
      <c r="D893" s="57" t="n"/>
      <c r="E893" s="57" t="n"/>
      <c r="F893" s="57" t="n"/>
      <c r="G893" s="57" t="n"/>
    </row>
    <row r="894" ht="15.75" customHeight="1" s="94">
      <c r="A894" s="57" t="n"/>
      <c r="B894" s="57" t="n"/>
      <c r="C894" s="57" t="n"/>
      <c r="D894" s="57" t="n"/>
      <c r="E894" s="57" t="n"/>
      <c r="F894" s="57" t="n"/>
      <c r="G894" s="57" t="n"/>
    </row>
    <row r="895" ht="15.75" customHeight="1" s="94">
      <c r="A895" s="57" t="n"/>
      <c r="B895" s="57" t="n"/>
      <c r="C895" s="57" t="n"/>
      <c r="D895" s="57" t="n"/>
      <c r="E895" s="57" t="n"/>
      <c r="F895" s="57" t="n"/>
      <c r="G895" s="57" t="n"/>
    </row>
    <row r="896" ht="15.75" customHeight="1" s="94">
      <c r="A896" s="57" t="n"/>
      <c r="B896" s="57" t="n"/>
      <c r="C896" s="57" t="n"/>
      <c r="D896" s="57" t="n"/>
      <c r="E896" s="57" t="n"/>
      <c r="F896" s="57" t="n"/>
      <c r="G896" s="57" t="n"/>
    </row>
    <row r="897" ht="15.75" customHeight="1" s="94">
      <c r="A897" s="57" t="n"/>
      <c r="B897" s="57" t="n"/>
      <c r="C897" s="57" t="n"/>
      <c r="D897" s="57" t="n"/>
      <c r="E897" s="57" t="n"/>
      <c r="F897" s="57" t="n"/>
      <c r="G897" s="57" t="n"/>
    </row>
    <row r="898" ht="15.75" customHeight="1" s="94">
      <c r="A898" s="57" t="n"/>
      <c r="B898" s="57" t="n"/>
      <c r="C898" s="57" t="n"/>
      <c r="D898" s="57" t="n"/>
      <c r="E898" s="57" t="n"/>
      <c r="F898" s="57" t="n"/>
      <c r="G898" s="57" t="n"/>
    </row>
    <row r="899" ht="15.75" customHeight="1" s="94">
      <c r="A899" s="57" t="n"/>
      <c r="B899" s="57" t="n"/>
      <c r="C899" s="57" t="n"/>
      <c r="D899" s="57" t="n"/>
      <c r="E899" s="57" t="n"/>
      <c r="F899" s="57" t="n"/>
      <c r="G899" s="57" t="n"/>
    </row>
    <row r="900" ht="15.75" customHeight="1" s="94">
      <c r="A900" s="57" t="n"/>
      <c r="B900" s="57" t="n"/>
      <c r="C900" s="57" t="n"/>
      <c r="D900" s="57" t="n"/>
      <c r="E900" s="57" t="n"/>
      <c r="F900" s="57" t="n"/>
      <c r="G900" s="57" t="n"/>
    </row>
    <row r="901" ht="15.75" customHeight="1" s="94">
      <c r="A901" s="57" t="n"/>
      <c r="B901" s="57" t="n"/>
      <c r="C901" s="57" t="n"/>
      <c r="D901" s="57" t="n"/>
      <c r="E901" s="57" t="n"/>
      <c r="F901" s="57" t="n"/>
      <c r="G901" s="57" t="n"/>
    </row>
    <row r="902" ht="15.75" customHeight="1" s="94">
      <c r="A902" s="57" t="n"/>
      <c r="B902" s="57" t="n"/>
      <c r="C902" s="57" t="n"/>
      <c r="D902" s="57" t="n"/>
      <c r="E902" s="57" t="n"/>
      <c r="F902" s="57" t="n"/>
      <c r="G902" s="57" t="n"/>
    </row>
    <row r="903" ht="15.75" customHeight="1" s="94">
      <c r="A903" s="57" t="n"/>
      <c r="B903" s="57" t="n"/>
      <c r="C903" s="57" t="n"/>
      <c r="D903" s="57" t="n"/>
      <c r="E903" s="57" t="n"/>
      <c r="F903" s="57" t="n"/>
      <c r="G903" s="57" t="n"/>
    </row>
    <row r="904" ht="15.75" customHeight="1" s="94">
      <c r="A904" s="57" t="n"/>
      <c r="B904" s="57" t="n"/>
      <c r="C904" s="57" t="n"/>
      <c r="D904" s="57" t="n"/>
      <c r="E904" s="57" t="n"/>
      <c r="F904" s="57" t="n"/>
      <c r="G904" s="57" t="n"/>
    </row>
    <row r="905" ht="15.75" customHeight="1" s="94">
      <c r="A905" s="57" t="n"/>
      <c r="B905" s="57" t="n"/>
      <c r="C905" s="57" t="n"/>
      <c r="D905" s="57" t="n"/>
      <c r="E905" s="57" t="n"/>
      <c r="F905" s="57" t="n"/>
      <c r="G905" s="57" t="n"/>
    </row>
    <row r="906" ht="15.75" customHeight="1" s="94">
      <c r="A906" s="57" t="n"/>
      <c r="B906" s="57" t="n"/>
      <c r="C906" s="57" t="n"/>
      <c r="D906" s="57" t="n"/>
      <c r="E906" s="57" t="n"/>
      <c r="F906" s="57" t="n"/>
      <c r="G906" s="57" t="n"/>
    </row>
    <row r="907" ht="15.75" customHeight="1" s="94">
      <c r="A907" s="57" t="n"/>
      <c r="B907" s="57" t="n"/>
      <c r="C907" s="57" t="n"/>
      <c r="D907" s="57" t="n"/>
      <c r="E907" s="57" t="n"/>
      <c r="F907" s="57" t="n"/>
      <c r="G907" s="57" t="n"/>
    </row>
    <row r="908" ht="15.75" customHeight="1" s="94">
      <c r="A908" s="57" t="n"/>
      <c r="B908" s="57" t="n"/>
      <c r="C908" s="57" t="n"/>
      <c r="D908" s="57" t="n"/>
      <c r="E908" s="57" t="n"/>
      <c r="F908" s="57" t="n"/>
      <c r="G908" s="57" t="n"/>
    </row>
    <row r="909" ht="15.75" customHeight="1" s="94">
      <c r="A909" s="57" t="n"/>
      <c r="B909" s="57" t="n"/>
      <c r="C909" s="57" t="n"/>
      <c r="D909" s="57" t="n"/>
      <c r="E909" s="57" t="n"/>
      <c r="F909" s="57" t="n"/>
      <c r="G909" s="57" t="n"/>
    </row>
    <row r="910" ht="15.75" customHeight="1" s="94">
      <c r="A910" s="57" t="n"/>
      <c r="B910" s="57" t="n"/>
      <c r="C910" s="57" t="n"/>
      <c r="D910" s="57" t="n"/>
      <c r="E910" s="57" t="n"/>
      <c r="F910" s="57" t="n"/>
      <c r="G910" s="57" t="n"/>
    </row>
    <row r="911" ht="15.75" customHeight="1" s="94">
      <c r="A911" s="57" t="n"/>
      <c r="B911" s="57" t="n"/>
      <c r="C911" s="57" t="n"/>
      <c r="D911" s="57" t="n"/>
      <c r="E911" s="57" t="n"/>
      <c r="F911" s="57" t="n"/>
      <c r="G911" s="57" t="n"/>
    </row>
    <row r="912" ht="15.75" customHeight="1" s="94">
      <c r="A912" s="57" t="n"/>
      <c r="B912" s="57" t="n"/>
      <c r="C912" s="57" t="n"/>
      <c r="D912" s="57" t="n"/>
      <c r="E912" s="57" t="n"/>
      <c r="F912" s="57" t="n"/>
      <c r="G912" s="57" t="n"/>
    </row>
    <row r="913" ht="15.75" customHeight="1" s="94">
      <c r="A913" s="57" t="n"/>
      <c r="B913" s="57" t="n"/>
      <c r="C913" s="57" t="n"/>
      <c r="D913" s="57" t="n"/>
      <c r="E913" s="57" t="n"/>
      <c r="F913" s="57" t="n"/>
      <c r="G913" s="57" t="n"/>
    </row>
    <row r="914" ht="15.75" customHeight="1" s="94">
      <c r="A914" s="57" t="n"/>
      <c r="B914" s="57" t="n"/>
      <c r="C914" s="57" t="n"/>
      <c r="D914" s="57" t="n"/>
      <c r="E914" s="57" t="n"/>
      <c r="F914" s="57" t="n"/>
      <c r="G914" s="57" t="n"/>
    </row>
    <row r="915" ht="15.75" customHeight="1" s="94">
      <c r="A915" s="57" t="n"/>
      <c r="B915" s="57" t="n"/>
      <c r="C915" s="57" t="n"/>
      <c r="D915" s="57" t="n"/>
      <c r="E915" s="57" t="n"/>
      <c r="F915" s="57" t="n"/>
      <c r="G915" s="57" t="n"/>
    </row>
    <row r="916" ht="15.75" customHeight="1" s="94">
      <c r="A916" s="57" t="n"/>
      <c r="B916" s="57" t="n"/>
      <c r="C916" s="57" t="n"/>
      <c r="D916" s="57" t="n"/>
      <c r="E916" s="57" t="n"/>
      <c r="F916" s="57" t="n"/>
      <c r="G916" s="57" t="n"/>
    </row>
    <row r="917" ht="15.75" customHeight="1" s="94">
      <c r="A917" s="57" t="n"/>
      <c r="B917" s="57" t="n"/>
      <c r="C917" s="57" t="n"/>
      <c r="D917" s="57" t="n"/>
      <c r="E917" s="57" t="n"/>
      <c r="F917" s="57" t="n"/>
      <c r="G917" s="57" t="n"/>
    </row>
    <row r="918" ht="15.75" customHeight="1" s="94">
      <c r="A918" s="57" t="n"/>
      <c r="B918" s="57" t="n"/>
      <c r="C918" s="57" t="n"/>
      <c r="D918" s="57" t="n"/>
      <c r="E918" s="57" t="n"/>
      <c r="F918" s="57" t="n"/>
      <c r="G918" s="57" t="n"/>
    </row>
    <row r="919" ht="15.75" customHeight="1" s="94">
      <c r="A919" s="57" t="n"/>
      <c r="B919" s="57" t="n"/>
      <c r="C919" s="57" t="n"/>
      <c r="D919" s="57" t="n"/>
      <c r="E919" s="57" t="n"/>
      <c r="F919" s="57" t="n"/>
      <c r="G919" s="57" t="n"/>
    </row>
    <row r="920" ht="15.75" customHeight="1" s="94">
      <c r="A920" s="57" t="n"/>
      <c r="B920" s="57" t="n"/>
      <c r="C920" s="57" t="n"/>
      <c r="D920" s="57" t="n"/>
      <c r="E920" s="57" t="n"/>
      <c r="F920" s="57" t="n"/>
      <c r="G920" s="57" t="n"/>
    </row>
    <row r="921" ht="15.75" customHeight="1" s="94">
      <c r="A921" s="57" t="n"/>
      <c r="B921" s="57" t="n"/>
      <c r="C921" s="57" t="n"/>
      <c r="D921" s="57" t="n"/>
      <c r="E921" s="57" t="n"/>
      <c r="F921" s="57" t="n"/>
      <c r="G921" s="57" t="n"/>
    </row>
    <row r="922" ht="15.75" customHeight="1" s="94">
      <c r="A922" s="57" t="n"/>
      <c r="B922" s="57" t="n"/>
      <c r="C922" s="57" t="n"/>
      <c r="D922" s="57" t="n"/>
      <c r="E922" s="57" t="n"/>
      <c r="F922" s="57" t="n"/>
      <c r="G922" s="57" t="n"/>
    </row>
    <row r="923" ht="15.75" customHeight="1" s="94">
      <c r="A923" s="57" t="n"/>
      <c r="B923" s="57" t="n"/>
      <c r="C923" s="57" t="n"/>
      <c r="D923" s="57" t="n"/>
      <c r="E923" s="57" t="n"/>
      <c r="F923" s="57" t="n"/>
      <c r="G923" s="57" t="n"/>
    </row>
    <row r="924" ht="15.75" customHeight="1" s="94">
      <c r="A924" s="57" t="n"/>
      <c r="B924" s="57" t="n"/>
      <c r="C924" s="57" t="n"/>
      <c r="D924" s="57" t="n"/>
      <c r="E924" s="57" t="n"/>
      <c r="F924" s="57" t="n"/>
      <c r="G924" s="57" t="n"/>
    </row>
    <row r="925" ht="15.75" customHeight="1" s="94">
      <c r="A925" s="57" t="n"/>
      <c r="B925" s="57" t="n"/>
      <c r="C925" s="57" t="n"/>
      <c r="D925" s="57" t="n"/>
      <c r="E925" s="57" t="n"/>
      <c r="F925" s="57" t="n"/>
      <c r="G925" s="57" t="n"/>
    </row>
    <row r="926" ht="15.75" customHeight="1" s="94">
      <c r="A926" s="57" t="n"/>
      <c r="B926" s="57" t="n"/>
      <c r="C926" s="57" t="n"/>
      <c r="D926" s="57" t="n"/>
      <c r="E926" s="57" t="n"/>
      <c r="F926" s="57" t="n"/>
      <c r="G926" s="57" t="n"/>
    </row>
    <row r="927" ht="15.75" customHeight="1" s="94">
      <c r="A927" s="57" t="n"/>
      <c r="B927" s="57" t="n"/>
      <c r="C927" s="57" t="n"/>
      <c r="D927" s="57" t="n"/>
      <c r="E927" s="57" t="n"/>
      <c r="F927" s="57" t="n"/>
      <c r="G927" s="57" t="n"/>
    </row>
    <row r="928" ht="15.75" customHeight="1" s="94">
      <c r="A928" s="57" t="n"/>
      <c r="B928" s="57" t="n"/>
      <c r="C928" s="57" t="n"/>
      <c r="D928" s="57" t="n"/>
      <c r="E928" s="57" t="n"/>
      <c r="F928" s="57" t="n"/>
      <c r="G928" s="57" t="n"/>
    </row>
    <row r="929" ht="15.75" customHeight="1" s="94">
      <c r="A929" s="57" t="n"/>
      <c r="B929" s="57" t="n"/>
      <c r="C929" s="57" t="n"/>
      <c r="D929" s="57" t="n"/>
      <c r="E929" s="57" t="n"/>
      <c r="F929" s="57" t="n"/>
      <c r="G929" s="57" t="n"/>
    </row>
    <row r="930" ht="15.75" customHeight="1" s="94">
      <c r="A930" s="57" t="n"/>
      <c r="B930" s="57" t="n"/>
      <c r="C930" s="57" t="n"/>
      <c r="D930" s="57" t="n"/>
      <c r="E930" s="57" t="n"/>
      <c r="F930" s="57" t="n"/>
      <c r="G930" s="57" t="n"/>
    </row>
    <row r="931" ht="15.75" customHeight="1" s="94">
      <c r="A931" s="57" t="n"/>
      <c r="B931" s="57" t="n"/>
      <c r="C931" s="57" t="n"/>
      <c r="D931" s="57" t="n"/>
      <c r="E931" s="57" t="n"/>
      <c r="F931" s="57" t="n"/>
      <c r="G931" s="57" t="n"/>
    </row>
    <row r="932" ht="15.75" customHeight="1" s="94">
      <c r="A932" s="57" t="n"/>
      <c r="B932" s="57" t="n"/>
      <c r="C932" s="57" t="n"/>
      <c r="D932" s="57" t="n"/>
      <c r="E932" s="57" t="n"/>
      <c r="F932" s="57" t="n"/>
      <c r="G932" s="57" t="n"/>
    </row>
    <row r="933" ht="15.75" customHeight="1" s="94">
      <c r="A933" s="57" t="n"/>
      <c r="B933" s="57" t="n"/>
      <c r="C933" s="57" t="n"/>
      <c r="D933" s="57" t="n"/>
      <c r="E933" s="57" t="n"/>
      <c r="F933" s="57" t="n"/>
      <c r="G933" s="57" t="n"/>
    </row>
    <row r="934" ht="15.75" customHeight="1" s="94">
      <c r="A934" s="57" t="n"/>
      <c r="B934" s="57" t="n"/>
      <c r="C934" s="57" t="n"/>
      <c r="D934" s="57" t="n"/>
      <c r="E934" s="57" t="n"/>
      <c r="F934" s="57" t="n"/>
      <c r="G934" s="57" t="n"/>
    </row>
    <row r="935" ht="15.75" customHeight="1" s="94">
      <c r="A935" s="57" t="n"/>
      <c r="B935" s="57" t="n"/>
      <c r="C935" s="57" t="n"/>
      <c r="D935" s="57" t="n"/>
      <c r="E935" s="57" t="n"/>
      <c r="F935" s="57" t="n"/>
      <c r="G935" s="57" t="n"/>
    </row>
    <row r="936" ht="15.75" customHeight="1" s="94">
      <c r="A936" s="57" t="n"/>
      <c r="B936" s="57" t="n"/>
      <c r="C936" s="57" t="n"/>
      <c r="D936" s="57" t="n"/>
      <c r="E936" s="57" t="n"/>
      <c r="F936" s="57" t="n"/>
      <c r="G936" s="57" t="n"/>
    </row>
    <row r="937" ht="15.75" customHeight="1" s="94">
      <c r="A937" s="57" t="n"/>
      <c r="B937" s="57" t="n"/>
      <c r="C937" s="57" t="n"/>
      <c r="D937" s="57" t="n"/>
      <c r="E937" s="57" t="n"/>
      <c r="F937" s="57" t="n"/>
      <c r="G937" s="57" t="n"/>
    </row>
    <row r="938" ht="15.75" customHeight="1" s="94">
      <c r="A938" s="57" t="n"/>
      <c r="B938" s="57" t="n"/>
      <c r="C938" s="57" t="n"/>
      <c r="D938" s="57" t="n"/>
      <c r="E938" s="57" t="n"/>
      <c r="F938" s="57" t="n"/>
      <c r="G938" s="57" t="n"/>
    </row>
    <row r="939" ht="15.75" customHeight="1" s="94">
      <c r="A939" s="57" t="n"/>
      <c r="B939" s="57" t="n"/>
      <c r="C939" s="57" t="n"/>
      <c r="D939" s="57" t="n"/>
      <c r="E939" s="57" t="n"/>
      <c r="F939" s="57" t="n"/>
      <c r="G939" s="57" t="n"/>
    </row>
    <row r="940" ht="15.75" customHeight="1" s="94">
      <c r="A940" s="57" t="n"/>
      <c r="B940" s="57" t="n"/>
      <c r="C940" s="57" t="n"/>
      <c r="D940" s="57" t="n"/>
      <c r="E940" s="57" t="n"/>
      <c r="F940" s="57" t="n"/>
      <c r="G940" s="57" t="n"/>
    </row>
    <row r="941" ht="15.75" customHeight="1" s="94">
      <c r="A941" s="57" t="n"/>
      <c r="B941" s="57" t="n"/>
      <c r="C941" s="57" t="n"/>
      <c r="D941" s="57" t="n"/>
      <c r="E941" s="57" t="n"/>
      <c r="F941" s="57" t="n"/>
      <c r="G941" s="57" t="n"/>
    </row>
    <row r="942" ht="15.75" customHeight="1" s="94">
      <c r="A942" s="57" t="n"/>
      <c r="B942" s="57" t="n"/>
      <c r="C942" s="57" t="n"/>
      <c r="D942" s="57" t="n"/>
      <c r="E942" s="57" t="n"/>
      <c r="F942" s="57" t="n"/>
      <c r="G942" s="57" t="n"/>
    </row>
    <row r="943" ht="15.75" customHeight="1" s="94">
      <c r="A943" s="57" t="n"/>
      <c r="B943" s="57" t="n"/>
      <c r="C943" s="57" t="n"/>
      <c r="D943" s="57" t="n"/>
      <c r="E943" s="57" t="n"/>
      <c r="F943" s="57" t="n"/>
      <c r="G943" s="57" t="n"/>
    </row>
    <row r="944" ht="15.75" customHeight="1" s="94">
      <c r="A944" s="57" t="n"/>
      <c r="B944" s="57" t="n"/>
      <c r="C944" s="57" t="n"/>
      <c r="D944" s="57" t="n"/>
      <c r="E944" s="57" t="n"/>
      <c r="F944" s="57" t="n"/>
      <c r="G944" s="57" t="n"/>
    </row>
    <row r="945" ht="15.75" customHeight="1" s="94">
      <c r="A945" s="57" t="n"/>
      <c r="B945" s="57" t="n"/>
      <c r="C945" s="57" t="n"/>
      <c r="D945" s="57" t="n"/>
      <c r="E945" s="57" t="n"/>
      <c r="F945" s="57" t="n"/>
      <c r="G945" s="57" t="n"/>
    </row>
    <row r="946" ht="15.75" customHeight="1" s="94">
      <c r="A946" s="57" t="n"/>
      <c r="B946" s="57" t="n"/>
      <c r="C946" s="57" t="n"/>
      <c r="D946" s="57" t="n"/>
      <c r="E946" s="57" t="n"/>
      <c r="F946" s="57" t="n"/>
      <c r="G946" s="57" t="n"/>
    </row>
    <row r="947" ht="15.75" customHeight="1" s="94">
      <c r="A947" s="57" t="n"/>
      <c r="B947" s="57" t="n"/>
      <c r="C947" s="57" t="n"/>
      <c r="D947" s="57" t="n"/>
      <c r="E947" s="57" t="n"/>
      <c r="F947" s="57" t="n"/>
      <c r="G947" s="57" t="n"/>
    </row>
    <row r="948" ht="15.75" customHeight="1" s="94">
      <c r="A948" s="57" t="n"/>
      <c r="B948" s="57" t="n"/>
      <c r="C948" s="57" t="n"/>
      <c r="D948" s="57" t="n"/>
      <c r="E948" s="57" t="n"/>
      <c r="F948" s="57" t="n"/>
      <c r="G948" s="57" t="n"/>
    </row>
    <row r="949" ht="15.75" customHeight="1" s="94">
      <c r="A949" s="57" t="n"/>
      <c r="B949" s="57" t="n"/>
      <c r="C949" s="57" t="n"/>
      <c r="D949" s="57" t="n"/>
      <c r="E949" s="57" t="n"/>
      <c r="F949" s="57" t="n"/>
      <c r="G949" s="57" t="n"/>
    </row>
    <row r="950" ht="15.75" customHeight="1" s="94">
      <c r="A950" s="57" t="n"/>
      <c r="B950" s="57" t="n"/>
      <c r="C950" s="57" t="n"/>
      <c r="D950" s="57" t="n"/>
      <c r="E950" s="57" t="n"/>
      <c r="F950" s="57" t="n"/>
      <c r="G950" s="57" t="n"/>
    </row>
    <row r="951" ht="15.75" customHeight="1" s="94">
      <c r="A951" s="57" t="n"/>
      <c r="B951" s="57" t="n"/>
      <c r="C951" s="57" t="n"/>
      <c r="D951" s="57" t="n"/>
      <c r="E951" s="57" t="n"/>
      <c r="F951" s="57" t="n"/>
      <c r="G951" s="57" t="n"/>
    </row>
    <row r="952" ht="15.75" customHeight="1" s="94">
      <c r="A952" s="57" t="n"/>
      <c r="B952" s="57" t="n"/>
      <c r="C952" s="57" t="n"/>
      <c r="D952" s="57" t="n"/>
      <c r="E952" s="57" t="n"/>
      <c r="F952" s="57" t="n"/>
      <c r="G952" s="57" t="n"/>
    </row>
    <row r="953" ht="15.75" customHeight="1" s="94">
      <c r="A953" s="57" t="n"/>
      <c r="B953" s="57" t="n"/>
      <c r="C953" s="57" t="n"/>
      <c r="D953" s="57" t="n"/>
      <c r="E953" s="57" t="n"/>
      <c r="F953" s="57" t="n"/>
      <c r="G953" s="57" t="n"/>
    </row>
    <row r="954" ht="15.75" customHeight="1" s="94">
      <c r="A954" s="57" t="n"/>
      <c r="B954" s="57" t="n"/>
      <c r="C954" s="57" t="n"/>
      <c r="D954" s="57" t="n"/>
      <c r="E954" s="57" t="n"/>
      <c r="F954" s="57" t="n"/>
      <c r="G954" s="57" t="n"/>
    </row>
    <row r="955" ht="15.75" customHeight="1" s="94">
      <c r="A955" s="57" t="n"/>
      <c r="B955" s="57" t="n"/>
      <c r="C955" s="57" t="n"/>
      <c r="D955" s="57" t="n"/>
      <c r="E955" s="57" t="n"/>
      <c r="F955" s="57" t="n"/>
      <c r="G955" s="57" t="n"/>
    </row>
    <row r="956" ht="15.75" customHeight="1" s="94">
      <c r="A956" s="57" t="n"/>
      <c r="B956" s="57" t="n"/>
      <c r="C956" s="57" t="n"/>
      <c r="D956" s="57" t="n"/>
      <c r="E956" s="57" t="n"/>
      <c r="F956" s="57" t="n"/>
      <c r="G956" s="57" t="n"/>
    </row>
    <row r="957" ht="15.75" customHeight="1" s="94">
      <c r="A957" s="57" t="n"/>
      <c r="B957" s="57" t="n"/>
      <c r="C957" s="57" t="n"/>
      <c r="D957" s="57" t="n"/>
      <c r="E957" s="57" t="n"/>
      <c r="F957" s="57" t="n"/>
      <c r="G957" s="57" t="n"/>
    </row>
    <row r="958" ht="15.75" customHeight="1" s="94">
      <c r="A958" s="57" t="n"/>
      <c r="B958" s="57" t="n"/>
      <c r="C958" s="57" t="n"/>
      <c r="D958" s="57" t="n"/>
      <c r="E958" s="57" t="n"/>
      <c r="F958" s="57" t="n"/>
      <c r="G958" s="57" t="n"/>
    </row>
    <row r="959" ht="15.75" customHeight="1" s="94">
      <c r="A959" s="57" t="n"/>
      <c r="B959" s="57" t="n"/>
      <c r="C959" s="57" t="n"/>
      <c r="D959" s="57" t="n"/>
      <c r="E959" s="57" t="n"/>
      <c r="F959" s="57" t="n"/>
      <c r="G959" s="57" t="n"/>
    </row>
    <row r="960" ht="15.75" customHeight="1" s="94">
      <c r="A960" s="57" t="n"/>
      <c r="B960" s="57" t="n"/>
      <c r="C960" s="57" t="n"/>
      <c r="D960" s="57" t="n"/>
      <c r="E960" s="57" t="n"/>
      <c r="F960" s="57" t="n"/>
      <c r="G960" s="57" t="n"/>
    </row>
    <row r="961" ht="15.75" customHeight="1" s="94">
      <c r="A961" s="57" t="n"/>
      <c r="B961" s="57" t="n"/>
      <c r="C961" s="57" t="n"/>
      <c r="D961" s="57" t="n"/>
      <c r="E961" s="57" t="n"/>
      <c r="F961" s="57" t="n"/>
      <c r="G961" s="57" t="n"/>
    </row>
    <row r="962" ht="15.75" customHeight="1" s="94">
      <c r="A962" s="57" t="n"/>
      <c r="B962" s="57" t="n"/>
      <c r="C962" s="57" t="n"/>
      <c r="D962" s="57" t="n"/>
      <c r="E962" s="57" t="n"/>
      <c r="F962" s="57" t="n"/>
      <c r="G962" s="57" t="n"/>
    </row>
    <row r="963" ht="15.75" customHeight="1" s="94">
      <c r="A963" s="57" t="n"/>
      <c r="B963" s="57" t="n"/>
      <c r="C963" s="57" t="n"/>
      <c r="D963" s="57" t="n"/>
      <c r="E963" s="57" t="n"/>
      <c r="F963" s="57" t="n"/>
      <c r="G963" s="57" t="n"/>
    </row>
    <row r="964" ht="15.75" customHeight="1" s="94">
      <c r="A964" s="57" t="n"/>
      <c r="B964" s="57" t="n"/>
      <c r="C964" s="57" t="n"/>
      <c r="D964" s="57" t="n"/>
      <c r="E964" s="57" t="n"/>
      <c r="F964" s="57" t="n"/>
      <c r="G964" s="57" t="n"/>
    </row>
    <row r="965" ht="15.75" customHeight="1" s="94">
      <c r="A965" s="57" t="n"/>
      <c r="B965" s="57" t="n"/>
      <c r="C965" s="57" t="n"/>
      <c r="D965" s="57" t="n"/>
      <c r="E965" s="57" t="n"/>
      <c r="F965" s="57" t="n"/>
      <c r="G965" s="57" t="n"/>
    </row>
    <row r="966" ht="15.75" customHeight="1" s="94">
      <c r="A966" s="57" t="n"/>
      <c r="B966" s="57" t="n"/>
      <c r="C966" s="57" t="n"/>
      <c r="D966" s="57" t="n"/>
      <c r="E966" s="57" t="n"/>
      <c r="F966" s="57" t="n"/>
      <c r="G966" s="57" t="n"/>
    </row>
    <row r="967" ht="15.75" customHeight="1" s="94">
      <c r="A967" s="57" t="n"/>
      <c r="B967" s="57" t="n"/>
      <c r="C967" s="57" t="n"/>
      <c r="D967" s="57" t="n"/>
      <c r="E967" s="57" t="n"/>
      <c r="F967" s="57" t="n"/>
      <c r="G967" s="57" t="n"/>
    </row>
    <row r="968" ht="15.75" customHeight="1" s="94">
      <c r="A968" s="57" t="n"/>
      <c r="B968" s="57" t="n"/>
      <c r="C968" s="57" t="n"/>
      <c r="D968" s="57" t="n"/>
      <c r="E968" s="57" t="n"/>
      <c r="F968" s="57" t="n"/>
      <c r="G968" s="57" t="n"/>
    </row>
    <row r="969" ht="15.75" customHeight="1" s="94">
      <c r="A969" s="57" t="n"/>
      <c r="B969" s="57" t="n"/>
      <c r="C969" s="57" t="n"/>
      <c r="D969" s="57" t="n"/>
      <c r="E969" s="57" t="n"/>
      <c r="F969" s="57" t="n"/>
      <c r="G969" s="57" t="n"/>
    </row>
    <row r="970" ht="15.75" customHeight="1" s="94">
      <c r="A970" s="57" t="n"/>
      <c r="B970" s="57" t="n"/>
      <c r="C970" s="57" t="n"/>
      <c r="D970" s="57" t="n"/>
      <c r="E970" s="57" t="n"/>
      <c r="F970" s="57" t="n"/>
      <c r="G970" s="57" t="n"/>
    </row>
    <row r="971" ht="15.75" customHeight="1" s="94">
      <c r="A971" s="57" t="n"/>
      <c r="B971" s="57" t="n"/>
      <c r="C971" s="57" t="n"/>
      <c r="D971" s="57" t="n"/>
      <c r="E971" s="57" t="n"/>
      <c r="F971" s="57" t="n"/>
      <c r="G971" s="57" t="n"/>
    </row>
    <row r="972" ht="15.75" customHeight="1" s="94">
      <c r="A972" s="57" t="n"/>
      <c r="B972" s="57" t="n"/>
      <c r="C972" s="57" t="n"/>
      <c r="D972" s="57" t="n"/>
      <c r="E972" s="57" t="n"/>
      <c r="F972" s="57" t="n"/>
      <c r="G972" s="57" t="n"/>
    </row>
    <row r="973" ht="15.75" customHeight="1" s="94">
      <c r="A973" s="57" t="n"/>
      <c r="B973" s="57" t="n"/>
      <c r="C973" s="57" t="n"/>
      <c r="D973" s="57" t="n"/>
      <c r="E973" s="57" t="n"/>
      <c r="F973" s="57" t="n"/>
      <c r="G973" s="57" t="n"/>
    </row>
    <row r="974" ht="15.75" customHeight="1" s="94">
      <c r="A974" s="57" t="n"/>
      <c r="B974" s="57" t="n"/>
      <c r="C974" s="57" t="n"/>
      <c r="D974" s="57" t="n"/>
      <c r="E974" s="57" t="n"/>
      <c r="F974" s="57" t="n"/>
      <c r="G974" s="57" t="n"/>
    </row>
    <row r="975" ht="15.75" customHeight="1" s="94">
      <c r="A975" s="57" t="n"/>
      <c r="B975" s="57" t="n"/>
      <c r="C975" s="57" t="n"/>
      <c r="D975" s="57" t="n"/>
      <c r="E975" s="57" t="n"/>
      <c r="F975" s="57" t="n"/>
      <c r="G975" s="57" t="n"/>
    </row>
    <row r="976" ht="15.75" customHeight="1" s="94">
      <c r="A976" s="57" t="n"/>
      <c r="B976" s="57" t="n"/>
      <c r="C976" s="57" t="n"/>
      <c r="D976" s="57" t="n"/>
      <c r="E976" s="57" t="n"/>
      <c r="F976" s="57" t="n"/>
      <c r="G976" s="57" t="n"/>
    </row>
    <row r="977" ht="15.75" customHeight="1" s="94">
      <c r="A977" s="57" t="n"/>
      <c r="B977" s="57" t="n"/>
      <c r="C977" s="57" t="n"/>
      <c r="D977" s="57" t="n"/>
      <c r="E977" s="57" t="n"/>
      <c r="F977" s="57" t="n"/>
      <c r="G977" s="57" t="n"/>
    </row>
    <row r="978" ht="15.75" customHeight="1" s="94">
      <c r="A978" s="57" t="n"/>
      <c r="B978" s="57" t="n"/>
      <c r="C978" s="57" t="n"/>
      <c r="D978" s="57" t="n"/>
      <c r="E978" s="57" t="n"/>
      <c r="F978" s="57" t="n"/>
      <c r="G978" s="57" t="n"/>
    </row>
    <row r="979" ht="15.75" customHeight="1" s="94">
      <c r="A979" s="57" t="n"/>
      <c r="B979" s="57" t="n"/>
      <c r="C979" s="57" t="n"/>
      <c r="D979" s="57" t="n"/>
      <c r="E979" s="57" t="n"/>
      <c r="F979" s="57" t="n"/>
      <c r="G979" s="57" t="n"/>
    </row>
    <row r="980" ht="15.75" customHeight="1" s="94">
      <c r="A980" s="57" t="n"/>
      <c r="B980" s="57" t="n"/>
      <c r="C980" s="57" t="n"/>
      <c r="D980" s="57" t="n"/>
      <c r="E980" s="57" t="n"/>
      <c r="F980" s="57" t="n"/>
      <c r="G980" s="57" t="n"/>
    </row>
    <row r="981" ht="15.75" customHeight="1" s="94">
      <c r="A981" s="57" t="n"/>
      <c r="B981" s="57" t="n"/>
      <c r="C981" s="57" t="n"/>
      <c r="D981" s="57" t="n"/>
      <c r="E981" s="57" t="n"/>
      <c r="F981" s="57" t="n"/>
      <c r="G981" s="57" t="n"/>
    </row>
    <row r="982" ht="15.75" customHeight="1" s="94">
      <c r="A982" s="57" t="n"/>
      <c r="B982" s="57" t="n"/>
      <c r="C982" s="57" t="n"/>
      <c r="D982" s="57" t="n"/>
      <c r="E982" s="57" t="n"/>
      <c r="F982" s="57" t="n"/>
      <c r="G982" s="57" t="n"/>
    </row>
    <row r="983" ht="15.75" customHeight="1" s="94">
      <c r="A983" s="57" t="n"/>
      <c r="B983" s="57" t="n"/>
      <c r="C983" s="57" t="n"/>
      <c r="D983" s="57" t="n"/>
      <c r="E983" s="57" t="n"/>
      <c r="F983" s="57" t="n"/>
      <c r="G983" s="57" t="n"/>
    </row>
    <row r="984" ht="15.75" customHeight="1" s="94">
      <c r="A984" s="57" t="n"/>
      <c r="B984" s="57" t="n"/>
      <c r="C984" s="57" t="n"/>
      <c r="D984" s="57" t="n"/>
      <c r="E984" s="57" t="n"/>
      <c r="F984" s="57" t="n"/>
      <c r="G984" s="57" t="n"/>
    </row>
    <row r="985" ht="15.75" customHeight="1" s="94">
      <c r="A985" s="57" t="n"/>
      <c r="B985" s="57" t="n"/>
      <c r="C985" s="57" t="n"/>
      <c r="D985" s="57" t="n"/>
      <c r="E985" s="57" t="n"/>
      <c r="F985" s="57" t="n"/>
      <c r="G985" s="57" t="n"/>
    </row>
    <row r="986" ht="15.75" customHeight="1" s="94">
      <c r="A986" s="57" t="n"/>
      <c r="B986" s="57" t="n"/>
      <c r="C986" s="57" t="n"/>
      <c r="D986" s="57" t="n"/>
      <c r="E986" s="57" t="n"/>
      <c r="F986" s="57" t="n"/>
      <c r="G986" s="57" t="n"/>
    </row>
    <row r="987" ht="15.75" customHeight="1" s="94">
      <c r="A987" s="57" t="n"/>
      <c r="B987" s="57" t="n"/>
      <c r="C987" s="57" t="n"/>
      <c r="D987" s="57" t="n"/>
      <c r="E987" s="57" t="n"/>
      <c r="F987" s="57" t="n"/>
      <c r="G987" s="57" t="n"/>
    </row>
    <row r="988" ht="15.75" customHeight="1" s="94">
      <c r="A988" s="57" t="n"/>
      <c r="B988" s="57" t="n"/>
      <c r="C988" s="57" t="n"/>
      <c r="D988" s="57" t="n"/>
      <c r="E988" s="57" t="n"/>
      <c r="F988" s="57" t="n"/>
      <c r="G988" s="57" t="n"/>
    </row>
    <row r="989" ht="15.75" customHeight="1" s="94">
      <c r="A989" s="57" t="n"/>
      <c r="B989" s="57" t="n"/>
      <c r="C989" s="57" t="n"/>
      <c r="D989" s="57" t="n"/>
      <c r="E989" s="57" t="n"/>
      <c r="F989" s="57" t="n"/>
      <c r="G989" s="57" t="n"/>
    </row>
    <row r="990" ht="15.75" customHeight="1" s="94">
      <c r="A990" s="57" t="n"/>
      <c r="B990" s="57" t="n"/>
      <c r="C990" s="57" t="n"/>
      <c r="D990" s="57" t="n"/>
      <c r="E990" s="57" t="n"/>
      <c r="F990" s="57" t="n"/>
      <c r="G990" s="57" t="n"/>
    </row>
    <row r="991" ht="15.75" customHeight="1" s="94">
      <c r="A991" s="57" t="n"/>
      <c r="B991" s="57" t="n"/>
      <c r="C991" s="57" t="n"/>
      <c r="D991" s="57" t="n"/>
      <c r="E991" s="57" t="n"/>
      <c r="F991" s="57" t="n"/>
      <c r="G991" s="57" t="n"/>
    </row>
    <row r="992" ht="15.75" customHeight="1" s="94">
      <c r="A992" s="57" t="n"/>
      <c r="B992" s="57" t="n"/>
      <c r="C992" s="57" t="n"/>
      <c r="D992" s="57" t="n"/>
      <c r="E992" s="57" t="n"/>
      <c r="F992" s="57" t="n"/>
      <c r="G992" s="57" t="n"/>
    </row>
    <row r="993" ht="15.75" customHeight="1" s="94">
      <c r="A993" s="57" t="n"/>
      <c r="B993" s="57" t="n"/>
      <c r="C993" s="57" t="n"/>
      <c r="D993" s="57" t="n"/>
      <c r="E993" s="57" t="n"/>
      <c r="F993" s="57" t="n"/>
      <c r="G993" s="57" t="n"/>
    </row>
    <row r="994" ht="15.75" customHeight="1" s="94">
      <c r="A994" s="57" t="n"/>
      <c r="B994" s="57" t="n"/>
      <c r="C994" s="57" t="n"/>
      <c r="D994" s="57" t="n"/>
      <c r="E994" s="57" t="n"/>
      <c r="F994" s="57" t="n"/>
      <c r="G994" s="57" t="n"/>
    </row>
    <row r="995" ht="15.75" customHeight="1" s="94">
      <c r="A995" s="57" t="n"/>
      <c r="B995" s="57" t="n"/>
      <c r="C995" s="57" t="n"/>
      <c r="D995" s="57" t="n"/>
      <c r="E995" s="57" t="n"/>
      <c r="F995" s="57" t="n"/>
      <c r="G995" s="57" t="n"/>
    </row>
    <row r="996" ht="15.75" customHeight="1" s="94">
      <c r="A996" s="57" t="n"/>
      <c r="B996" s="57" t="n"/>
      <c r="C996" s="57" t="n"/>
      <c r="D996" s="57" t="n"/>
      <c r="E996" s="57" t="n"/>
      <c r="F996" s="57" t="n"/>
      <c r="G996" s="57" t="n"/>
    </row>
    <row r="997" ht="15.75" customHeight="1" s="94">
      <c r="A997" s="57" t="n"/>
      <c r="B997" s="57" t="n"/>
      <c r="C997" s="57" t="n"/>
      <c r="D997" s="57" t="n"/>
      <c r="E997" s="57" t="n"/>
      <c r="F997" s="57" t="n"/>
      <c r="G997" s="57" t="n"/>
    </row>
    <row r="998" ht="15.75" customHeight="1" s="94">
      <c r="A998" s="57" t="n"/>
      <c r="B998" s="57" t="n"/>
      <c r="C998" s="57" t="n"/>
      <c r="D998" s="57" t="n"/>
      <c r="E998" s="57" t="n"/>
      <c r="F998" s="57" t="n"/>
      <c r="G998" s="57" t="n"/>
    </row>
    <row r="999" ht="15.75" customHeight="1" s="94">
      <c r="A999" s="57" t="n"/>
      <c r="B999" s="57" t="n"/>
      <c r="C999" s="57" t="n"/>
      <c r="D999" s="57" t="n"/>
      <c r="E999" s="57" t="n"/>
      <c r="F999" s="57" t="n"/>
      <c r="G999" s="57" t="n"/>
    </row>
    <row r="1000" ht="15.75" customHeight="1" s="94">
      <c r="A1000" s="57" t="n"/>
      <c r="B1000" s="57" t="n"/>
      <c r="C1000" s="57" t="n"/>
      <c r="D1000" s="57" t="n"/>
      <c r="E1000" s="57" t="n"/>
      <c r="F1000" s="57" t="n"/>
      <c r="G1000" s="57" t="n"/>
    </row>
  </sheetData>
  <autoFilter ref="$A$4:$G$55"/>
  <mergeCells count="2">
    <mergeCell ref="A2:G2"/>
    <mergeCell ref="A1:G1"/>
  </mergeCells>
  <printOptions horizontalCentered="1"/>
  <pageMargins left="0.25" right="0.25" top="1" bottom="1" header="0" footer="0"/>
  <pageSetup orientation="landscape"/>
</worksheet>
</file>

<file path=xl/worksheets/sheet17.xml><?xml version="1.0" encoding="utf-8"?>
<worksheet xmlns="http://schemas.openxmlformats.org/spreadsheetml/2006/main">
  <sheetPr>
    <outlinePr summaryBelow="1" summaryRight="1"/>
    <pageSetUpPr fitToPage="1"/>
  </sheetPr>
  <dimension ref="A1:H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12" customWidth="1" style="94" min="1" max="1"/>
    <col width="16" customWidth="1" style="94" min="2" max="2"/>
    <col width="58" customWidth="1" style="94" min="3" max="3"/>
    <col width="99" customWidth="1" style="94" min="4" max="4"/>
    <col width="24" customWidth="1" style="94" min="5" max="5"/>
    <col width="15" customWidth="1" style="94" min="6" max="6"/>
    <col width="37" customWidth="1" style="94" min="7" max="7"/>
    <col width="24" customWidth="1" style="94" min="8" max="8"/>
    <col width="8.710000000000001" customWidth="1" style="94" min="9" max="26"/>
  </cols>
  <sheetData>
    <row r="1" ht="33.75" customHeight="1" s="94">
      <c r="A1" s="86" t="inlineStr">
        <is>
          <t>V4 | TÌNH HUỐNG NGHIỆM THU</t>
        </is>
      </c>
    </row>
    <row r="2" ht="27.75" customHeight="1" s="94">
      <c r="A2" s="87" t="inlineStr">
        <is>
          <t>Tình huống minh họa nghiệp vụ đã chốt. Ô vàng cho người rà soát ghi kết quả chạy thử, không bắt buộc điền trước lập đặc tả.</t>
        </is>
      </c>
    </row>
    <row r="3">
      <c r="A3" s="57" t="n"/>
      <c r="B3" s="57" t="n"/>
      <c r="C3" s="57" t="n"/>
      <c r="D3" s="57" t="n"/>
      <c r="E3" s="57" t="n"/>
      <c r="F3" s="57" t="n"/>
      <c r="G3" s="57" t="n"/>
      <c r="H3" s="57" t="n"/>
    </row>
    <row r="4" ht="33" customHeight="1" s="94">
      <c r="A4" s="88" t="inlineStr">
        <is>
          <t>Mã</t>
        </is>
      </c>
      <c r="B4" s="88" t="inlineStr">
        <is>
          <t>Nhóm</t>
        </is>
      </c>
      <c r="C4" s="88" t="inlineStr">
        <is>
          <t>Tình huống</t>
        </is>
      </c>
      <c r="D4" s="88" t="inlineStr">
        <is>
          <t>Kết quả hệ thống cần đạt</t>
        </is>
      </c>
      <c r="E4" s="88" t="inlineStr">
        <is>
          <t>Tham chiếu quy tắc</t>
        </is>
      </c>
      <c r="F4" s="88" t="inlineStr">
        <is>
          <t>Mức ưu tiên</t>
        </is>
      </c>
      <c r="G4" s="88" t="inlineStr">
        <is>
          <t>Kết quả chạy thử (điền)</t>
        </is>
      </c>
      <c r="H4" s="88" t="inlineStr">
        <is>
          <t>Trạng thái kiểm thử (điền)</t>
        </is>
      </c>
    </row>
    <row r="5" ht="51" customHeight="1" s="94">
      <c r="A5" s="89" t="inlineStr">
        <is>
          <t>UAT01</t>
        </is>
      </c>
      <c r="B5" s="90" t="inlineStr">
        <is>
          <t>Vé</t>
        </is>
      </c>
      <c r="C5" s="90" t="inlineStr">
        <is>
          <t>CONT_LANH vào kéo cont A</t>
        </is>
      </c>
      <c r="D5" s="90" t="inlineStr">
        <is>
          <t>Vé 250k; tạo lượt xe và cont liên kết; bắt buộc số cont</t>
        </is>
      </c>
      <c r="E5" s="90" t="inlineStr">
        <is>
          <t>GT-01,GT-02</t>
        </is>
      </c>
      <c r="F5" s="90" t="inlineStr">
        <is>
          <t>P0</t>
        </is>
      </c>
      <c r="G5" s="93" t="n"/>
      <c r="H5" s="93" t="inlineStr">
        <is>
          <t>Chưa kiểm thử</t>
        </is>
      </c>
    </row>
    <row r="6" ht="51" customHeight="1" s="94">
      <c r="A6" s="91" t="inlineStr">
        <is>
          <t>UAT02</t>
        </is>
      </c>
      <c r="B6" s="92" t="inlineStr">
        <is>
          <t>Vé</t>
        </is>
      </c>
      <c r="C6" s="92" t="inlineStr">
        <is>
          <t>Đầu kéo vào không cont sau đó kéo cont B ra</t>
        </is>
      </c>
      <c r="D6" s="92" t="inlineStr">
        <is>
          <t>Vé vào 0đ, không thu thêm 250k; cont B tính lưu riêng lúc ra</t>
        </is>
      </c>
      <c r="E6" s="92" t="inlineStr">
        <is>
          <t>GT-02,GT-10</t>
        </is>
      </c>
      <c r="F6" s="92" t="inlineStr">
        <is>
          <t>P0</t>
        </is>
      </c>
      <c r="G6" s="93" t="n"/>
      <c r="H6" s="93" t="inlineStr">
        <is>
          <t>Chưa kiểm thử</t>
        </is>
      </c>
    </row>
    <row r="7" ht="51" customHeight="1" s="94">
      <c r="A7" s="89" t="inlineStr">
        <is>
          <t>UAT03</t>
        </is>
      </c>
      <c r="B7" s="90" t="inlineStr">
        <is>
          <t>Vé</t>
        </is>
      </c>
      <c r="C7" s="90" t="inlineStr">
        <is>
          <t>Xe sang tải vé 0đ ra/vào</t>
        </is>
      </c>
      <c r="D7" s="90" t="inlineStr">
        <is>
          <t>Vẫn có lượt ghi cổng, đánh dấu 0đ/không thu tiền thật</t>
        </is>
      </c>
      <c r="E7" s="90" t="inlineStr">
        <is>
          <t>GT-03</t>
        </is>
      </c>
      <c r="F7" s="90" t="inlineStr">
        <is>
          <t>P1</t>
        </is>
      </c>
      <c r="G7" s="93" t="n"/>
      <c r="H7" s="93" t="inlineStr">
        <is>
          <t>Chưa kiểm thử</t>
        </is>
      </c>
    </row>
    <row r="8" ht="51" customHeight="1" s="94">
      <c r="A8" s="91" t="inlineStr">
        <is>
          <t>UAT04</t>
        </is>
      </c>
      <c r="B8" s="92" t="inlineStr">
        <is>
          <t>Vé</t>
        </is>
      </c>
      <c r="C8" s="92" t="inlineStr">
        <is>
          <t>Xe bo 3 bánh không biển số</t>
        </is>
      </c>
      <c r="D8" s="92" t="inlineStr">
        <is>
          <t>Sinh mã lượt/vé, nhập/tra cứu tại cổng ra; giá 40k</t>
        </is>
      </c>
      <c r="E8" s="92" t="inlineStr">
        <is>
          <t>GT-05</t>
        </is>
      </c>
      <c r="F8" s="92" t="inlineStr">
        <is>
          <t>P1</t>
        </is>
      </c>
      <c r="G8" s="93" t="n"/>
      <c r="H8" s="93" t="inlineStr">
        <is>
          <t>Chưa kiểm thử</t>
        </is>
      </c>
    </row>
    <row r="9" ht="51" customHeight="1" s="94">
      <c r="A9" s="89" t="inlineStr">
        <is>
          <t>UAT05</t>
        </is>
      </c>
      <c r="B9" s="90" t="inlineStr">
        <is>
          <t>Vé</t>
        </is>
      </c>
      <c r="C9" s="90" t="inlineStr">
        <is>
          <t>Nhân viên thu vé vào sau do ngoại lệ</t>
        </is>
      </c>
      <c r="D9" s="90" t="inlineStr">
        <is>
          <t>Có trạng thái chưa thu và nhật ký bổ sung; không báo Đã thu giả</t>
        </is>
      </c>
      <c r="E9" s="90" t="inlineStr">
        <is>
          <t>GT-04</t>
        </is>
      </c>
      <c r="F9" s="90" t="inlineStr">
        <is>
          <t>P0</t>
        </is>
      </c>
      <c r="G9" s="93" t="n"/>
      <c r="H9" s="93" t="inlineStr">
        <is>
          <t>Chưa kiểm thử</t>
        </is>
      </c>
    </row>
    <row r="10" ht="51" customHeight="1" s="94">
      <c r="A10" s="91" t="inlineStr">
        <is>
          <t>UAT06</t>
        </is>
      </c>
      <c r="B10" s="92" t="inlineStr">
        <is>
          <t>Vé</t>
        </is>
      </c>
      <c r="C10" s="92" t="inlineStr">
        <is>
          <t>Khách mất vé liên 02</t>
        </is>
      </c>
      <c r="D10" s="92" t="inlineStr">
        <is>
          <t>Tạo phí mất vé 250k riêng, không ghi đè vé gốc</t>
        </is>
      </c>
      <c r="E10" s="92" t="inlineStr">
        <is>
          <t>GT-06,TT-04</t>
        </is>
      </c>
      <c r="F10" s="92" t="inlineStr">
        <is>
          <t>P1</t>
        </is>
      </c>
      <c r="G10" s="93" t="n"/>
      <c r="H10" s="93" t="inlineStr">
        <is>
          <t>Chưa kiểm thử</t>
        </is>
      </c>
    </row>
    <row r="11" ht="51" customHeight="1" s="94">
      <c r="A11" s="89" t="inlineStr">
        <is>
          <t>UAT07</t>
        </is>
      </c>
      <c r="B11" s="90" t="inlineStr">
        <is>
          <t>Xe/cont</t>
        </is>
      </c>
      <c r="C11" s="90" t="inlineStr">
        <is>
          <t>Xe chở cont A, hạ A rồi xe ra không cont</t>
        </is>
      </c>
      <c r="D11" s="90" t="inlineStr">
        <is>
          <t>Xe ra, cont A tiếp tục trong bãi và tiếp tục tính thời gian; không yêu cầu duyệt CCKB riêng cho xe</t>
        </is>
      </c>
      <c r="E11" s="90" t="inlineStr">
        <is>
          <t>GT-07,GT-09,CT-01</t>
        </is>
      </c>
      <c r="F11" s="90" t="inlineStr">
        <is>
          <t>P0</t>
        </is>
      </c>
      <c r="G11" s="93" t="n"/>
      <c r="H11" s="93" t="inlineStr">
        <is>
          <t>Chưa kiểm thử</t>
        </is>
      </c>
    </row>
    <row r="12" ht="51" customHeight="1" s="94">
      <c r="A12" s="91" t="inlineStr">
        <is>
          <t>UAT08</t>
        </is>
      </c>
      <c r="B12" s="92" t="inlineStr">
        <is>
          <t>Xe/cont</t>
        </is>
      </c>
      <c r="C12" s="92" t="inlineStr">
        <is>
          <t>Xe đem A vào rồi ra cùng A, không hạ</t>
        </is>
      </c>
      <c r="D12" s="92" t="inlineStr">
        <is>
          <t>Cont A vẫn tính số kỳ đêm theo giờ vào/ra nếu đủ thời gian</t>
        </is>
      </c>
      <c r="E12" s="92" t="inlineStr">
        <is>
          <t>CT-01,CT-02</t>
        </is>
      </c>
      <c r="F12" s="92" t="inlineStr">
        <is>
          <t>P0</t>
        </is>
      </c>
      <c r="G12" s="93" t="n"/>
      <c r="H12" s="93" t="inlineStr">
        <is>
          <t>Chưa kiểm thử</t>
        </is>
      </c>
    </row>
    <row r="13" ht="51" customHeight="1" s="94">
      <c r="A13" s="89" t="inlineStr">
        <is>
          <t>UAT09</t>
        </is>
      </c>
      <c r="B13" s="90" t="inlineStr">
        <is>
          <t>Xe/cont</t>
        </is>
      </c>
      <c r="C13" s="90" t="inlineStr">
        <is>
          <t>Xe mang A vào rồi ra kéo B</t>
        </is>
      </c>
      <c r="D13" s="90" t="inlineStr">
        <is>
          <t>Giữ A trong bãi, chốt B, đúng ID lượt và xe ra</t>
        </is>
      </c>
      <c r="E13" s="90" t="inlineStr">
        <is>
          <t>GT-10,CT-01</t>
        </is>
      </c>
      <c r="F13" s="90" t="inlineStr">
        <is>
          <t>P0</t>
        </is>
      </c>
      <c r="G13" s="93" t="n"/>
      <c r="H13" s="93" t="inlineStr">
        <is>
          <t>Chưa kiểm thử</t>
        </is>
      </c>
    </row>
    <row r="14" ht="51" customHeight="1" s="94">
      <c r="A14" s="91" t="inlineStr">
        <is>
          <t>UAT10</t>
        </is>
      </c>
      <c r="B14" s="92" t="inlineStr">
        <is>
          <t>Lưu cont</t>
        </is>
      </c>
      <c r="C14" s="92" t="inlineStr">
        <is>
          <t>Cont vào trước 22h và ra đúng 22h</t>
        </is>
      </c>
      <c r="D14" s="92" t="inlineStr">
        <is>
          <t>Ghi nhận kỳ đêm 22:00, miễn đầu theo giá</t>
        </is>
      </c>
      <c r="E14" s="92" t="inlineStr">
        <is>
          <t>CT-03</t>
        </is>
      </c>
      <c r="F14" s="92" t="inlineStr">
        <is>
          <t>P0</t>
        </is>
      </c>
      <c r="G14" s="93" t="n"/>
      <c r="H14" s="93" t="inlineStr">
        <is>
          <t>Chưa kiểm thử</t>
        </is>
      </c>
    </row>
    <row r="15" ht="51" customHeight="1" s="94">
      <c r="A15" s="89" t="inlineStr">
        <is>
          <t>UAT11</t>
        </is>
      </c>
      <c r="B15" s="90" t="inlineStr">
        <is>
          <t>Lưu cont</t>
        </is>
      </c>
      <c r="C15" s="90" t="inlineStr">
        <is>
          <t>Cont vào 23:30, ra 02:00 sáng hôm sau</t>
        </is>
      </c>
      <c r="D15" s="90" t="inlineStr">
        <is>
          <t>Đêm đầu tiên được miễn; không phát sinh tiền lưu</t>
        </is>
      </c>
      <c r="E15" s="90" t="inlineStr">
        <is>
          <t>CT-03</t>
        </is>
      </c>
      <c r="F15" s="90" t="inlineStr">
        <is>
          <t>P0</t>
        </is>
      </c>
      <c r="G15" s="93" t="n"/>
      <c r="H15" s="93" t="inlineStr">
        <is>
          <t>Chưa kiểm thử</t>
        </is>
      </c>
    </row>
    <row r="16" ht="51" customHeight="1" s="94">
      <c r="A16" s="91" t="inlineStr">
        <is>
          <t>UAT12</t>
        </is>
      </c>
      <c r="B16" s="92" t="inlineStr">
        <is>
          <t>Lưu cont</t>
        </is>
      </c>
      <c r="C16" s="92" t="inlineStr">
        <is>
          <t>Cont vào và ra trước 22h cùng ngày</t>
        </is>
      </c>
      <c r="D16" s="92" t="inlineStr">
        <is>
          <t>Hiển thị 1 đêm miễn theo L05, tiền 0đ</t>
        </is>
      </c>
      <c r="E16" s="92" t="inlineStr">
        <is>
          <t>CT-04</t>
        </is>
      </c>
      <c r="F16" s="92" t="inlineStr">
        <is>
          <t>P1</t>
        </is>
      </c>
      <c r="G16" s="93" t="n"/>
      <c r="H16" s="93" t="inlineStr">
        <is>
          <t>Chưa kiểm thử</t>
        </is>
      </c>
    </row>
    <row r="17" ht="51" customHeight="1" s="94">
      <c r="A17" s="89" t="inlineStr">
        <is>
          <t>UAT13</t>
        </is>
      </c>
      <c r="B17" s="90" t="inlineStr">
        <is>
          <t>Lưu cont</t>
        </is>
      </c>
      <c r="C17" s="90" t="inlineStr">
        <is>
          <t>Cont đã rút điện lúc 20h, ra cổng sau 22h</t>
        </is>
      </c>
      <c r="D17" s="90" t="inlineStr">
        <is>
          <t>Tiền điện giữ theo phiên rút; phí lưu tính thêm kỳ đêm nếu thuộc diện phải thu</t>
        </is>
      </c>
      <c r="E17" s="90" t="inlineStr">
        <is>
          <t>CD-10,CT-02</t>
        </is>
      </c>
      <c r="F17" s="90" t="inlineStr">
        <is>
          <t>P0</t>
        </is>
      </c>
      <c r="G17" s="93" t="n"/>
      <c r="H17" s="93" t="inlineStr">
        <is>
          <t>Chưa kiểm thử</t>
        </is>
      </c>
    </row>
    <row r="18" ht="51" customHeight="1" s="94">
      <c r="A18" s="91" t="inlineStr">
        <is>
          <t>UAT14</t>
        </is>
      </c>
      <c r="B18" s="92" t="inlineStr">
        <is>
          <t>Lưu cont</t>
        </is>
      </c>
      <c r="C18" s="92" t="inlineStr">
        <is>
          <t>CCKB đã xác nhận điện xong nhưng cont chưa ra</t>
        </is>
      </c>
      <c r="D18" s="92" t="inlineStr">
        <is>
          <t>Không chốt/khóa tiền lưu; tiếp tục tính đến GIO_CONT_RA thực tế</t>
        </is>
      </c>
      <c r="E18" s="92" t="inlineStr">
        <is>
          <t>CT-02</t>
        </is>
      </c>
      <c r="F18" s="92" t="inlineStr">
        <is>
          <t>P0</t>
        </is>
      </c>
      <c r="G18" s="93" t="n"/>
      <c r="H18" s="93" t="inlineStr">
        <is>
          <t>Chưa kiểm thử</t>
        </is>
      </c>
    </row>
    <row r="19" ht="51" customHeight="1" s="94">
      <c r="A19" s="89" t="inlineStr">
        <is>
          <t>UAT15</t>
        </is>
      </c>
      <c r="B19" s="90" t="inlineStr">
        <is>
          <t>Lưu cont</t>
        </is>
      </c>
      <c r="C19" s="90" t="inlineStr">
        <is>
          <t>Xe ra không cont còn lại bãi 2 ngày</t>
        </is>
      </c>
      <c r="D19" s="90" t="inlineStr">
        <is>
          <t>Không chốt phí lưu khi xe ra; chỉ chốt khi cont thực tế rời bãi</t>
        </is>
      </c>
      <c r="E19" s="90" t="inlineStr">
        <is>
          <t>CT-02,GT-09</t>
        </is>
      </c>
      <c r="F19" s="90" t="inlineStr">
        <is>
          <t>P0</t>
        </is>
      </c>
      <c r="G19" s="93" t="n"/>
      <c r="H19" s="93" t="inlineStr">
        <is>
          <t>Chưa kiểm thử</t>
        </is>
      </c>
    </row>
    <row r="20" ht="51" customHeight="1" s="94">
      <c r="A20" s="91" t="inlineStr">
        <is>
          <t>UAT16</t>
        </is>
      </c>
      <c r="B20" s="92" t="inlineStr">
        <is>
          <t>Dự kiến điện</t>
        </is>
      </c>
      <c r="C20" s="92" t="inlineStr">
        <is>
          <t>CCKB tạo điện dự kiến cont A/B/C trước khi vào</t>
        </is>
      </c>
      <c r="D20" s="92" t="inlineStr">
        <is>
          <t>Tạo 3 phiếu dự kiến; không phát sinh phí/lượt cont thực, chưa có giờ vào</t>
        </is>
      </c>
      <c r="E20" s="92" t="inlineStr">
        <is>
          <t>CD-01,CD-02</t>
        </is>
      </c>
      <c r="F20" s="92" t="inlineStr">
        <is>
          <t>P0</t>
        </is>
      </c>
      <c r="G20" s="93" t="n"/>
      <c r="H20" s="93" t="inlineStr">
        <is>
          <t>Chưa kiểm thử</t>
        </is>
      </c>
    </row>
    <row r="21" ht="51" customHeight="1" s="94">
      <c r="A21" s="89" t="inlineStr">
        <is>
          <t>UAT17</t>
        </is>
      </c>
      <c r="B21" s="90" t="inlineStr">
        <is>
          <t>Dự kiến điện</t>
        </is>
      </c>
      <c r="C21" s="90" t="inlineStr">
        <is>
          <t>Cont A vào trùng mã trên dự kiến</t>
        </is>
      </c>
      <c r="D21" s="90" t="inlineStr">
        <is>
          <t>An ninh nhìn cảnh báo yêu cầu; người dùng xác nhận ghép thủ công, không tự ghép nhầm</t>
        </is>
      </c>
      <c r="E21" s="90" t="inlineStr">
        <is>
          <t>CD-03</t>
        </is>
      </c>
      <c r="F21" s="90" t="inlineStr">
        <is>
          <t>P0</t>
        </is>
      </c>
      <c r="G21" s="93" t="n"/>
      <c r="H21" s="93" t="inlineStr">
        <is>
          <t>Chưa kiểm thử</t>
        </is>
      </c>
    </row>
    <row r="22" ht="51" customHeight="1" s="94">
      <c r="A22" s="91" t="inlineStr">
        <is>
          <t>UAT18</t>
        </is>
      </c>
      <c r="B22" s="92" t="inlineStr">
        <is>
          <t>Dự kiến điện</t>
        </is>
      </c>
      <c r="C22" s="92" t="inlineStr">
        <is>
          <t>Nhập sai 1 ký tự/7 số cuối trùng</t>
        </is>
      </c>
      <c r="D22" s="92" t="inlineStr">
        <is>
          <t>Hiển thị gợi ý và bắt buộc người dùng xác nhận mã thực</t>
        </is>
      </c>
      <c r="E22" s="92" t="inlineStr">
        <is>
          <t>CD-03,GT-08</t>
        </is>
      </c>
      <c r="F22" s="92" t="inlineStr">
        <is>
          <t>P0</t>
        </is>
      </c>
      <c r="G22" s="93" t="n"/>
      <c r="H22" s="93" t="inlineStr">
        <is>
          <t>Chưa kiểm thử</t>
        </is>
      </c>
    </row>
    <row r="23" ht="51" customHeight="1" s="94">
      <c r="A23" s="89" t="inlineStr">
        <is>
          <t>UAT19</t>
        </is>
      </c>
      <c r="B23" s="90" t="inlineStr">
        <is>
          <t>Dự kiến điện</t>
        </is>
      </c>
      <c r="C23" s="90" t="inlineStr">
        <is>
          <t>Khách đổi A thành D trước khi vào</t>
        </is>
      </c>
      <c r="D23" s="90" t="inlineStr">
        <is>
          <t>CCKB sửa phiếu giữ lịch sử và báo An ninh</t>
        </is>
      </c>
      <c r="E23" s="90" t="inlineStr">
        <is>
          <t>CD-04</t>
        </is>
      </c>
      <c r="F23" s="90" t="inlineStr">
        <is>
          <t>P0</t>
        </is>
      </c>
      <c r="G23" s="93" t="n"/>
      <c r="H23" s="93" t="inlineStr">
        <is>
          <t>Chưa kiểm thử</t>
        </is>
      </c>
    </row>
    <row r="24" ht="51" customHeight="1" s="94">
      <c r="A24" s="91" t="inlineStr">
        <is>
          <t>UAT20</t>
        </is>
      </c>
      <c r="B24" s="92" t="inlineStr">
        <is>
          <t>Dự kiến điện</t>
        </is>
      </c>
      <c r="C24" s="92" t="inlineStr">
        <is>
          <t>Cont dự kiến không đến, khách hủy</t>
        </is>
      </c>
      <c r="D24" s="92" t="inlineStr">
        <is>
          <t>Đóng/hủy có audit; có thể hết hạn theo cấu hình</t>
        </is>
      </c>
      <c r="E24" s="92" t="inlineStr">
        <is>
          <t>CD-04</t>
        </is>
      </c>
      <c r="F24" s="92" t="inlineStr">
        <is>
          <t>P1</t>
        </is>
      </c>
      <c r="G24" s="93" t="n"/>
      <c r="H24" s="93" t="inlineStr">
        <is>
          <t>Chưa kiểm thử</t>
        </is>
      </c>
    </row>
    <row r="25" ht="51" customHeight="1" s="94">
      <c r="A25" s="89" t="inlineStr">
        <is>
          <t>UAT21</t>
        </is>
      </c>
      <c r="B25" s="90" t="inlineStr">
        <is>
          <t>Điện thực tế</t>
        </is>
      </c>
      <c r="C25" s="90" t="inlineStr">
        <is>
          <t>An ninh báo cắm qua Zalo, CCKB nhập sau</t>
        </is>
      </c>
      <c r="D25" s="90" t="inlineStr">
        <is>
          <t>Giờ thực tế khác giờ nhập; tính từ giờ thực tế, không dùng timestamp Zalo</t>
        </is>
      </c>
      <c r="E25" s="90" t="inlineStr">
        <is>
          <t>CD-05</t>
        </is>
      </c>
      <c r="F25" s="90" t="inlineStr">
        <is>
          <t>P0</t>
        </is>
      </c>
      <c r="G25" s="93" t="n"/>
      <c r="H25" s="93" t="inlineStr">
        <is>
          <t>Chưa kiểm thử</t>
        </is>
      </c>
    </row>
    <row r="26" ht="51" customHeight="1" s="94">
      <c r="A26" s="91" t="inlineStr">
        <is>
          <t>UAT22</t>
        </is>
      </c>
      <c r="B26" s="92" t="inlineStr">
        <is>
          <t>Điện thực tế</t>
        </is>
      </c>
      <c r="C26" s="92" t="inlineStr">
        <is>
          <t>CCKB nhận thông tin khi đã cắm và rút</t>
        </is>
      </c>
      <c r="D26" s="92" t="inlineStr">
        <is>
          <t>Nhập cả hai giờ trong một thao tác; tính phí và audit</t>
        </is>
      </c>
      <c r="E26" s="92" t="inlineStr">
        <is>
          <t>CD-05</t>
        </is>
      </c>
      <c r="F26" s="92" t="inlineStr">
        <is>
          <t>P0</t>
        </is>
      </c>
      <c r="G26" s="93" t="n"/>
      <c r="H26" s="93" t="inlineStr">
        <is>
          <t>Chưa kiểm thử</t>
        </is>
      </c>
    </row>
    <row r="27" ht="51" customHeight="1" s="94">
      <c r="A27" s="89" t="inlineStr">
        <is>
          <t>UAT23</t>
        </is>
      </c>
      <c r="B27" s="90" t="inlineStr">
        <is>
          <t>Điện thực tế</t>
        </is>
      </c>
      <c r="C27" s="90" t="inlineStr">
        <is>
          <t>Cắm 4 giờ 53 phút</t>
        </is>
      </c>
      <c r="D27" s="90" t="inlineStr">
        <is>
          <t>Tính 5 giờ và 500.000đ nếu đơn giá 100.000đ/giờ</t>
        </is>
      </c>
      <c r="E27" s="90" t="inlineStr">
        <is>
          <t>CD-06,CD-07</t>
        </is>
      </c>
      <c r="F27" s="90" t="inlineStr">
        <is>
          <t>P0</t>
        </is>
      </c>
      <c r="G27" s="93" t="n"/>
      <c r="H27" s="93" t="inlineStr">
        <is>
          <t>Chưa kiểm thử</t>
        </is>
      </c>
    </row>
    <row r="28" ht="51" customHeight="1" s="94">
      <c r="A28" s="91" t="inlineStr">
        <is>
          <t>UAT24</t>
        </is>
      </c>
      <c r="B28" s="92" t="inlineStr">
        <is>
          <t>Điện thực tế</t>
        </is>
      </c>
      <c r="C28" s="92" t="inlineStr">
        <is>
          <t>Cắm 4 giờ 01 phút</t>
        </is>
      </c>
      <c r="D28" s="92" t="inlineStr">
        <is>
          <t>Tính 4 giờ 15 phút và 425.000đ ở giá 100k/giờ</t>
        </is>
      </c>
      <c r="E28" s="92" t="inlineStr">
        <is>
          <t>CD-06,CD-07</t>
        </is>
      </c>
      <c r="F28" s="92" t="inlineStr">
        <is>
          <t>P0</t>
        </is>
      </c>
      <c r="G28" s="93" t="n"/>
      <c r="H28" s="93" t="inlineStr">
        <is>
          <t>Chưa kiểm thử</t>
        </is>
      </c>
    </row>
    <row r="29" ht="51" customHeight="1" s="94">
      <c r="A29" s="89" t="inlineStr">
        <is>
          <t>UAT25</t>
        </is>
      </c>
      <c r="B29" s="90" t="inlineStr">
        <is>
          <t>Điện thực tế</t>
        </is>
      </c>
      <c r="C29" s="90" t="inlineStr">
        <is>
          <t>Cont cắm/rút hai phiên 01h01 và 01h01</t>
        </is>
      </c>
      <c r="D29" s="90" t="inlineStr">
        <is>
          <t>Làm tròn từng phiên 01h15 + 01h15, không gộp rồi mới làm tròn</t>
        </is>
      </c>
      <c r="E29" s="90" t="inlineStr">
        <is>
          <t>CD-09</t>
        </is>
      </c>
      <c r="F29" s="90" t="inlineStr">
        <is>
          <t>P0</t>
        </is>
      </c>
      <c r="G29" s="93" t="n"/>
      <c r="H29" s="93" t="inlineStr">
        <is>
          <t>Chưa kiểm thử</t>
        </is>
      </c>
    </row>
    <row r="30" ht="51" customHeight="1" s="94">
      <c r="A30" s="91" t="inlineStr">
        <is>
          <t>UAT26</t>
        </is>
      </c>
      <c r="B30" s="92" t="inlineStr">
        <is>
          <t>Điện thực tế</t>
        </is>
      </c>
      <c r="C30" s="92" t="inlineStr">
        <is>
          <t>Một cont bị tạo hai phiên đang cắm đồng thời</t>
        </is>
      </c>
      <c r="D30" s="92" t="inlineStr">
        <is>
          <t>Chặn xung đột trạng thái; cho CCKB xử lý sửa lỗi có audit</t>
        </is>
      </c>
      <c r="E30" s="92" t="inlineStr">
        <is>
          <t>CD-09</t>
        </is>
      </c>
      <c r="F30" s="92" t="inlineStr">
        <is>
          <t>P0</t>
        </is>
      </c>
      <c r="G30" s="93" t="n"/>
      <c r="H30" s="93" t="inlineStr">
        <is>
          <t>Chưa kiểm thử</t>
        </is>
      </c>
    </row>
    <row r="31" ht="51" customHeight="1" s="94">
      <c r="A31" s="89" t="inlineStr">
        <is>
          <t>UAT27</t>
        </is>
      </c>
      <c r="B31" s="90" t="inlineStr">
        <is>
          <t>Điều chỉnh</t>
        </is>
      </c>
      <c r="C31" s="90" t="inlineStr">
        <is>
          <t>CCKB sửa GIO_CAM_THUC_TE trước thu</t>
        </is>
      </c>
      <c r="D31" s="90" t="inlineStr">
        <is>
          <t>Tự tính lại thời gian/tiền; audit trước/sau/lý do</t>
        </is>
      </c>
      <c r="E31" s="90" t="inlineStr">
        <is>
          <t>CD-08</t>
        </is>
      </c>
      <c r="F31" s="90" t="inlineStr">
        <is>
          <t>P0</t>
        </is>
      </c>
      <c r="G31" s="93" t="n"/>
      <c r="H31" s="93" t="inlineStr">
        <is>
          <t>Chưa kiểm thử</t>
        </is>
      </c>
    </row>
    <row r="32" ht="51" customHeight="1" s="94">
      <c r="A32" s="91" t="inlineStr">
        <is>
          <t>UAT28</t>
        </is>
      </c>
      <c r="B32" s="92" t="inlineStr">
        <is>
          <t>Điều chỉnh</t>
        </is>
      </c>
      <c r="C32" s="92" t="inlineStr">
        <is>
          <t>Sau thu, NV CCKB đề nghị sửa số giờ tính tiền</t>
        </is>
      </c>
      <c r="D32" s="92" t="inlineStr">
        <is>
          <t>Yêu cầu TBP xử lý chênh; giao dịch tiền đã thu không bị ghi đè</t>
        </is>
      </c>
      <c r="E32" s="92" t="inlineStr">
        <is>
          <t>CD-08</t>
        </is>
      </c>
      <c r="F32" s="92" t="inlineStr">
        <is>
          <t>P0</t>
        </is>
      </c>
      <c r="G32" s="93" t="n"/>
      <c r="H32" s="93" t="inlineStr">
        <is>
          <t>Chưa kiểm thử</t>
        </is>
      </c>
    </row>
    <row r="33" ht="51" customHeight="1" s="94">
      <c r="A33" s="89" t="inlineStr">
        <is>
          <t>UAT29</t>
        </is>
      </c>
      <c r="B33" s="90" t="inlineStr">
        <is>
          <t>Điều chỉnh</t>
        </is>
      </c>
      <c r="C33" s="90" t="inlineStr">
        <is>
          <t>TBP CCKB sửa trực tiếp sau thanh toán</t>
        </is>
      </c>
      <c r="D33" s="90" t="inlineStr">
        <is>
          <t>Ghi nhật ký và bút toán điều chỉnh/công nợ; giữ giao dịch gốc</t>
        </is>
      </c>
      <c r="E33" s="90" t="inlineStr">
        <is>
          <t>CD-08</t>
        </is>
      </c>
      <c r="F33" s="90" t="inlineStr">
        <is>
          <t>P0</t>
        </is>
      </c>
      <c r="G33" s="93" t="n"/>
      <c r="H33" s="93" t="inlineStr">
        <is>
          <t>Chưa kiểm thử</t>
        </is>
      </c>
    </row>
    <row r="34" ht="51" customHeight="1" s="94">
      <c r="A34" s="91" t="inlineStr">
        <is>
          <t>UAT30</t>
        </is>
      </c>
      <c r="B34" s="92" t="inlineStr">
        <is>
          <t>Sửa số cont</t>
        </is>
      </c>
      <c r="C34" s="92" t="inlineStr">
        <is>
          <t>An ninh phát hiện sai số từ ảnh timestamp</t>
        </is>
      </c>
      <c r="D34" s="92" t="inlineStr">
        <is>
          <t>Sửa trên lượt thực, lưu số trước/sau; CCKB có thông báo cần xem</t>
        </is>
      </c>
      <c r="E34" s="92" t="inlineStr">
        <is>
          <t>SC-01</t>
        </is>
      </c>
      <c r="F34" s="92" t="inlineStr">
        <is>
          <t>P0</t>
        </is>
      </c>
      <c r="G34" s="93" t="n"/>
      <c r="H34" s="93" t="inlineStr">
        <is>
          <t>Chưa kiểm thử</t>
        </is>
      </c>
    </row>
    <row r="35" ht="51" customHeight="1" s="94">
      <c r="A35" s="89" t="inlineStr">
        <is>
          <t>UAT31</t>
        </is>
      </c>
      <c r="B35" s="90" t="inlineStr">
        <is>
          <t>Sửa số cont</t>
        </is>
      </c>
      <c r="C35" s="90" t="inlineStr">
        <is>
          <t>An ninh không có ảnh nhưng có lý do sửa</t>
        </is>
      </c>
      <c r="D35" s="90" t="inlineStr">
        <is>
          <t>Cho sửa theo SC03=B, ghi lý do thiếu bằng chứng</t>
        </is>
      </c>
      <c r="E35" s="90" t="inlineStr">
        <is>
          <t>SC-01</t>
        </is>
      </c>
      <c r="F35" s="90" t="inlineStr">
        <is>
          <t>P1</t>
        </is>
      </c>
      <c r="G35" s="93" t="n"/>
      <c r="H35" s="93" t="inlineStr">
        <is>
          <t>Chưa kiểm thử</t>
        </is>
      </c>
    </row>
    <row r="36" ht="51" customHeight="1" s="94">
      <c r="A36" s="91" t="inlineStr">
        <is>
          <t>UAT32</t>
        </is>
      </c>
      <c r="B36" s="92" t="inlineStr">
        <is>
          <t>Sửa số cont</t>
        </is>
      </c>
      <c r="C36" s="92" t="inlineStr">
        <is>
          <t>Sửa mã cont sau khi tiền điện đã thu</t>
        </is>
      </c>
      <c r="D36" s="92" t="inlineStr">
        <is>
          <t>Giữ nguyên ID/giao dịch đã thu, liên kết lại số hiển thị, báo CCKB đối soát</t>
        </is>
      </c>
      <c r="E36" s="92" t="inlineStr">
        <is>
          <t>SC-02</t>
        </is>
      </c>
      <c r="F36" s="92" t="inlineStr">
        <is>
          <t>P0</t>
        </is>
      </c>
      <c r="G36" s="93" t="n"/>
      <c r="H36" s="93" t="inlineStr">
        <is>
          <t>Chưa kiểm thử</t>
        </is>
      </c>
    </row>
    <row r="37" ht="51" customHeight="1" s="94">
      <c r="A37" s="89" t="inlineStr">
        <is>
          <t>UAT33</t>
        </is>
      </c>
      <c r="B37" s="90" t="inlineStr">
        <is>
          <t>Sửa số cont</t>
        </is>
      </c>
      <c r="C37" s="90" t="inlineStr">
        <is>
          <t>Sửa thành mã cont đang hiện diện khác</t>
        </is>
      </c>
      <c r="D37" s="90" t="inlineStr">
        <is>
          <t>Cho lưu có cảnh báo rất rõ; không tự hợp nhất hai lượt, không thu trùng</t>
        </is>
      </c>
      <c r="E37" s="90" t="inlineStr">
        <is>
          <t>SC-03</t>
        </is>
      </c>
      <c r="F37" s="90" t="inlineStr">
        <is>
          <t>P0</t>
        </is>
      </c>
      <c r="G37" s="93" t="n"/>
      <c r="H37" s="93" t="inlineStr">
        <is>
          <t>Chưa kiểm thử</t>
        </is>
      </c>
    </row>
    <row r="38" ht="51" customHeight="1" s="94">
      <c r="A38" s="91" t="inlineStr">
        <is>
          <t>UAT34</t>
        </is>
      </c>
      <c r="B38" s="92" t="inlineStr">
        <is>
          <t>Sửa số cont</t>
        </is>
      </c>
      <c r="C38" s="92" t="inlineStr">
        <is>
          <t>Sửa mã sau khi CCKB đã xác nhận cho ra</t>
        </is>
      </c>
      <c r="D38" s="92" t="inlineStr">
        <is>
          <t>Có cảnh báo và nhật ký; không tự chặn ra chỉ vì sửa mã</t>
        </is>
      </c>
      <c r="E38" s="92" t="inlineStr">
        <is>
          <t>SC-03</t>
        </is>
      </c>
      <c r="F38" s="92" t="inlineStr">
        <is>
          <t>P0</t>
        </is>
      </c>
      <c r="G38" s="93" t="n"/>
      <c r="H38" s="93" t="inlineStr">
        <is>
          <t>Chưa kiểm thử</t>
        </is>
      </c>
    </row>
    <row r="39" ht="51" customHeight="1" s="94">
      <c r="A39" s="89" t="inlineStr">
        <is>
          <t>UAT35</t>
        </is>
      </c>
      <c r="B39" s="90" t="inlineStr">
        <is>
          <t>Thanh toán</t>
        </is>
      </c>
      <c r="C39" s="90" t="inlineStr">
        <is>
          <t>Khách thanh toán điện một phần, phần còn nợ</t>
        </is>
      </c>
      <c r="D39" s="90" t="inlineStr">
        <is>
          <t>Phân bổ số tiền đúng charge, status Còn phải thu</t>
        </is>
      </c>
      <c r="E39" s="90" t="inlineStr">
        <is>
          <t>TT-02</t>
        </is>
      </c>
      <c r="F39" s="90" t="inlineStr">
        <is>
          <t>P0</t>
        </is>
      </c>
      <c r="G39" s="93" t="n"/>
      <c r="H39" s="93" t="inlineStr">
        <is>
          <t>Chưa kiểm thử</t>
        </is>
      </c>
    </row>
    <row r="40" ht="51" customHeight="1" s="94">
      <c r="A40" s="91" t="inlineStr">
        <is>
          <t>UAT36</t>
        </is>
      </c>
      <c r="B40" s="92" t="inlineStr">
        <is>
          <t>Thanh toán</t>
        </is>
      </c>
      <c r="C40" s="92" t="inlineStr">
        <is>
          <t>Khách trả kết hợp TM và CK</t>
        </is>
      </c>
      <c r="D40" s="92" t="inlineStr">
        <is>
          <t>Tạo phương thức/từng dòng phù hợp; tổng khoản phân bổ không vượt tiền nhận</t>
        </is>
      </c>
      <c r="E40" s="92" t="inlineStr">
        <is>
          <t>TT-02</t>
        </is>
      </c>
      <c r="F40" s="92" t="inlineStr">
        <is>
          <t>P0</t>
        </is>
      </c>
      <c r="G40" s="93" t="n"/>
      <c r="H40" s="93" t="inlineStr">
        <is>
          <t>Chưa kiểm thử</t>
        </is>
      </c>
    </row>
    <row r="41" ht="51" customHeight="1" s="94">
      <c r="A41" s="89" t="inlineStr">
        <is>
          <t>UAT37</t>
        </is>
      </c>
      <c r="B41" s="90" t="inlineStr">
        <is>
          <t>Thanh toán</t>
        </is>
      </c>
      <c r="C41" s="90" t="inlineStr">
        <is>
          <t>Một lần CK trả cho 3 cont</t>
        </is>
      </c>
      <c r="D41" s="90" t="inlineStr">
        <is>
          <t>Phân bổ khoản theo từng cont, không ghi nhận trùng doanh thu</t>
        </is>
      </c>
      <c r="E41" s="90" t="inlineStr">
        <is>
          <t>TT-02</t>
        </is>
      </c>
      <c r="F41" s="90" t="inlineStr">
        <is>
          <t>P0</t>
        </is>
      </c>
      <c r="G41" s="93" t="n"/>
      <c r="H41" s="93" t="inlineStr">
        <is>
          <t>Chưa kiểm thử</t>
        </is>
      </c>
    </row>
    <row r="42" ht="51" customHeight="1" s="94">
      <c r="A42" s="91" t="inlineStr">
        <is>
          <t>UAT38</t>
        </is>
      </c>
      <c r="B42" s="92" t="inlineStr">
        <is>
          <t>Xuất</t>
        </is>
      </c>
      <c r="C42" s="92" t="inlineStr">
        <is>
          <t>CCKB duyệt cho cont ra dù còn điện chưa thu</t>
        </is>
      </c>
      <c r="D42" s="92" t="inlineStr">
        <is>
          <t>Ghi lý do, cảnh báo công nợ, không giả Đã thu; An ninh thấy clearance</t>
        </is>
      </c>
      <c r="E42" s="92" t="inlineStr">
        <is>
          <t>TT-03</t>
        </is>
      </c>
      <c r="F42" s="92" t="inlineStr">
        <is>
          <t>P0</t>
        </is>
      </c>
      <c r="G42" s="93" t="n"/>
      <c r="H42" s="93" t="inlineStr">
        <is>
          <t>Chưa kiểm thử</t>
        </is>
      </c>
    </row>
    <row r="43" ht="51" customHeight="1" s="94">
      <c r="A43" s="89" t="inlineStr">
        <is>
          <t>UAT39</t>
        </is>
      </c>
      <c r="B43" s="90" t="inlineStr">
        <is>
          <t>Xuất</t>
        </is>
      </c>
      <c r="C43" s="90" t="inlineStr">
        <is>
          <t>Cont thực tế đã rút, trên PWA chưa cập nhật</t>
        </is>
      </c>
      <c r="D43" s="90" t="inlineStr">
        <is>
          <t>Cảnh báo; CCKB xác nhận qua quy trình thủ công có audit; không tự biến thành Đã rút</t>
        </is>
      </c>
      <c r="E43" s="90" t="inlineStr">
        <is>
          <t>TT-03,CD-05</t>
        </is>
      </c>
      <c r="F43" s="90" t="inlineStr">
        <is>
          <t>P0</t>
        </is>
      </c>
      <c r="G43" s="93" t="n"/>
      <c r="H43" s="93" t="inlineStr">
        <is>
          <t>Chưa kiểm thử</t>
        </is>
      </c>
    </row>
    <row r="44" ht="51" customHeight="1" s="94">
      <c r="A44" s="91" t="inlineStr">
        <is>
          <t>UAT40</t>
        </is>
      </c>
      <c r="B44" s="92" t="inlineStr">
        <is>
          <t>Xuất</t>
        </is>
      </c>
      <c r="C44" s="92" t="inlineStr">
        <is>
          <t>An ninh xác nhận cont ra, phát sinh tiền lưu</t>
        </is>
      </c>
      <c r="D44" s="92" t="inlineStr">
        <is>
          <t>Tính dựa GIO_CONT_RA; An ninh chốt/thu; đồng bộ ra cont+xe một lần, tránh double-charge</t>
        </is>
      </c>
      <c r="E44" s="92" t="inlineStr">
        <is>
          <t>CT-02,CT-05</t>
        </is>
      </c>
      <c r="F44" s="92" t="inlineStr">
        <is>
          <t>P0</t>
        </is>
      </c>
      <c r="G44" s="93" t="n"/>
      <c r="H44" s="93" t="inlineStr">
        <is>
          <t>Chưa kiểm thử</t>
        </is>
      </c>
    </row>
    <row r="45" ht="51" customHeight="1" s="94">
      <c r="A45" s="89" t="inlineStr">
        <is>
          <t>UAT41</t>
        </is>
      </c>
      <c r="B45" s="90" t="inlineStr">
        <is>
          <t>Bảo mật</t>
        </is>
      </c>
      <c r="C45" s="90" t="inlineStr">
        <is>
          <t>Điện thoại/bốt mất mạng lúc xe ra</t>
        </is>
      </c>
      <c r="D45" s="90" t="inlineStr">
        <is>
          <t>Không tự xác nhận xuất thành công offline; nháp được chờ sync</t>
        </is>
      </c>
      <c r="E45" s="90" t="inlineStr">
        <is>
          <t>CN-02</t>
        </is>
      </c>
      <c r="F45" s="90" t="inlineStr">
        <is>
          <t>P0</t>
        </is>
      </c>
      <c r="G45" s="93" t="n"/>
      <c r="H45" s="93" t="inlineStr">
        <is>
          <t>Chưa kiểm thử</t>
        </is>
      </c>
    </row>
    <row r="46" ht="51" customHeight="1" s="94">
      <c r="A46" s="91" t="inlineStr">
        <is>
          <t>UAT42</t>
        </is>
      </c>
      <c r="B46" s="92" t="inlineStr">
        <is>
          <t>Chuyển đổi</t>
        </is>
      </c>
      <c r="C46" s="92" t="inlineStr">
        <is>
          <t>Di chuyển dữ liệu cũ còn xe quên chốt ra</t>
        </is>
      </c>
      <c r="D46" s="92" t="inlineStr">
        <is>
          <t>Đánh dấu legacy/cần rà soát, không tự coi xe đang ở bãi hoặc tự phát sinh công nợ mới</t>
        </is>
      </c>
      <c r="E46" s="92" t="inlineStr">
        <is>
          <t>DL-02</t>
        </is>
      </c>
      <c r="F46" s="92" t="inlineStr">
        <is>
          <t>P0</t>
        </is>
      </c>
      <c r="G46" s="93" t="n"/>
      <c r="H46" s="93" t="inlineStr">
        <is>
          <t>Chưa kiểm thử</t>
        </is>
      </c>
    </row>
    <row r="47" ht="51" customHeight="1" s="94">
      <c r="A47" s="89" t="inlineStr">
        <is>
          <t>UAT43</t>
        </is>
      </c>
      <c r="B47" s="90" t="inlineStr">
        <is>
          <t>Bảo mật</t>
        </is>
      </c>
      <c r="C47" s="90" t="inlineStr">
        <is>
          <t>Quản trị sửa sai giờ cont lịch sử sau import</t>
        </is>
      </c>
      <c r="D47" s="90" t="inlineStr">
        <is>
          <t>Qua màn hình quản trị có lý do/log, không sửa trực tiếp DB mất audit</t>
        </is>
      </c>
      <c r="E47" s="90" t="inlineStr">
        <is>
          <t>DL-02</t>
        </is>
      </c>
      <c r="F47" s="90" t="inlineStr">
        <is>
          <t>P0</t>
        </is>
      </c>
      <c r="G47" s="93" t="n"/>
      <c r="H47" s="93" t="inlineStr">
        <is>
          <t>Chưa kiểm thử</t>
        </is>
      </c>
    </row>
    <row r="48" ht="51" customHeight="1" s="94">
      <c r="A48" s="91" t="inlineStr">
        <is>
          <t>UAT44</t>
        </is>
      </c>
      <c r="B48" s="92" t="inlineStr">
        <is>
          <t>Báo cáo</t>
        </is>
      </c>
      <c r="C48" s="92" t="inlineStr">
        <is>
          <t>Đối soát ca 06–18, chốt doanh thu khác mốc giờ ca</t>
        </is>
      </c>
      <c r="D48" s="92" t="inlineStr">
        <is>
          <t>Tách mốc vận hành ca và mốc chốt tiền; cấu hình/báo cáo riêng</t>
        </is>
      </c>
      <c r="E48" s="92" t="inlineStr">
        <is>
          <t>TT-05</t>
        </is>
      </c>
      <c r="F48" s="92" t="inlineStr">
        <is>
          <t>P1</t>
        </is>
      </c>
      <c r="G48" s="93" t="n"/>
      <c r="H48" s="93" t="inlineStr">
        <is>
          <t>Chưa kiểm thử</t>
        </is>
      </c>
    </row>
    <row r="49" ht="15.75" customHeight="1" s="94">
      <c r="A49" s="57" t="n"/>
      <c r="B49" s="57" t="n"/>
      <c r="C49" s="57" t="n"/>
      <c r="D49" s="57" t="n"/>
      <c r="E49" s="57" t="n"/>
      <c r="F49" s="57" t="n"/>
      <c r="G49" s="57" t="n"/>
      <c r="H49" s="57" t="n"/>
    </row>
    <row r="50" ht="15.75" customHeight="1" s="94">
      <c r="A50" s="57" t="n"/>
      <c r="B50" s="57" t="n"/>
      <c r="C50" s="57" t="n"/>
      <c r="D50" s="57" t="n"/>
      <c r="E50" s="57" t="n"/>
      <c r="F50" s="57" t="n"/>
      <c r="G50" s="57" t="n"/>
      <c r="H50" s="57" t="n"/>
    </row>
    <row r="51" ht="15.75" customHeight="1" s="94">
      <c r="A51" s="57" t="n"/>
      <c r="B51" s="57" t="n"/>
      <c r="C51" s="57" t="n"/>
      <c r="D51" s="57" t="n"/>
      <c r="E51" s="57" t="n"/>
      <c r="F51" s="57" t="n"/>
      <c r="G51" s="57" t="n"/>
      <c r="H51" s="57" t="n"/>
    </row>
    <row r="52" ht="15.75" customHeight="1" s="94">
      <c r="A52" s="57" t="n"/>
      <c r="B52" s="57" t="n"/>
      <c r="C52" s="57" t="n"/>
      <c r="D52" s="57" t="n"/>
      <c r="E52" s="57" t="n"/>
      <c r="F52" s="57" t="n"/>
      <c r="G52" s="57" t="n"/>
      <c r="H52" s="57" t="n"/>
    </row>
    <row r="53" ht="15.75" customHeight="1" s="94">
      <c r="A53" s="57" t="n"/>
      <c r="B53" s="57" t="n"/>
      <c r="C53" s="57" t="n"/>
      <c r="D53" s="57" t="n"/>
      <c r="E53" s="57" t="n"/>
      <c r="F53" s="57" t="n"/>
      <c r="G53" s="57" t="n"/>
      <c r="H53" s="57" t="n"/>
    </row>
    <row r="54" ht="15.75" customHeight="1" s="94">
      <c r="A54" s="57" t="n"/>
      <c r="B54" s="57" t="n"/>
      <c r="C54" s="57" t="n"/>
      <c r="D54" s="57" t="n"/>
      <c r="E54" s="57" t="n"/>
      <c r="F54" s="57" t="n"/>
      <c r="G54" s="57" t="n"/>
      <c r="H54" s="57" t="n"/>
    </row>
    <row r="55" ht="15.75" customHeight="1" s="94">
      <c r="A55" s="57" t="n"/>
      <c r="B55" s="57" t="n"/>
      <c r="C55" s="57" t="n"/>
      <c r="D55" s="57" t="n"/>
      <c r="E55" s="57" t="n"/>
      <c r="F55" s="57" t="n"/>
      <c r="G55" s="57" t="n"/>
      <c r="H55" s="57" t="n"/>
    </row>
    <row r="56" ht="15.75" customHeight="1" s="94">
      <c r="A56" s="57" t="n"/>
      <c r="B56" s="57" t="n"/>
      <c r="C56" s="57" t="n"/>
      <c r="D56" s="57" t="n"/>
      <c r="E56" s="57" t="n"/>
      <c r="F56" s="57" t="n"/>
      <c r="G56" s="57" t="n"/>
      <c r="H56" s="57" t="n"/>
    </row>
    <row r="57" ht="15.75" customHeight="1" s="94">
      <c r="A57" s="57" t="n"/>
      <c r="B57" s="57" t="n"/>
      <c r="C57" s="57" t="n"/>
      <c r="D57" s="57" t="n"/>
      <c r="E57" s="57" t="n"/>
      <c r="F57" s="57" t="n"/>
      <c r="G57" s="57" t="n"/>
      <c r="H57" s="57" t="n"/>
    </row>
    <row r="58" ht="15.75" customHeight="1" s="94">
      <c r="A58" s="57" t="n"/>
      <c r="B58" s="57" t="n"/>
      <c r="C58" s="57" t="n"/>
      <c r="D58" s="57" t="n"/>
      <c r="E58" s="57" t="n"/>
      <c r="F58" s="57" t="n"/>
      <c r="G58" s="57" t="n"/>
      <c r="H58" s="57" t="n"/>
    </row>
    <row r="59" ht="15.75" customHeight="1" s="94">
      <c r="A59" s="57" t="n"/>
      <c r="B59" s="57" t="n"/>
      <c r="C59" s="57" t="n"/>
      <c r="D59" s="57" t="n"/>
      <c r="E59" s="57" t="n"/>
      <c r="F59" s="57" t="n"/>
      <c r="G59" s="57" t="n"/>
      <c r="H59" s="57" t="n"/>
    </row>
    <row r="60" ht="15.75" customHeight="1" s="94">
      <c r="A60" s="57" t="n"/>
      <c r="B60" s="57" t="n"/>
      <c r="C60" s="57" t="n"/>
      <c r="D60" s="57" t="n"/>
      <c r="E60" s="57" t="n"/>
      <c r="F60" s="57" t="n"/>
      <c r="G60" s="57" t="n"/>
      <c r="H60" s="57" t="n"/>
    </row>
    <row r="61" ht="15.75" customHeight="1" s="94">
      <c r="A61" s="57" t="n"/>
      <c r="B61" s="57" t="n"/>
      <c r="C61" s="57" t="n"/>
      <c r="D61" s="57" t="n"/>
      <c r="E61" s="57" t="n"/>
      <c r="F61" s="57" t="n"/>
      <c r="G61" s="57" t="n"/>
      <c r="H61" s="57" t="n"/>
    </row>
    <row r="62" ht="15.75" customHeight="1" s="94">
      <c r="A62" s="57" t="n"/>
      <c r="B62" s="57" t="n"/>
      <c r="C62" s="57" t="n"/>
      <c r="D62" s="57" t="n"/>
      <c r="E62" s="57" t="n"/>
      <c r="F62" s="57" t="n"/>
      <c r="G62" s="57" t="n"/>
      <c r="H62" s="57" t="n"/>
    </row>
    <row r="63" ht="15.75" customHeight="1" s="94">
      <c r="A63" s="57" t="n"/>
      <c r="B63" s="57" t="n"/>
      <c r="C63" s="57" t="n"/>
      <c r="D63" s="57" t="n"/>
      <c r="E63" s="57" t="n"/>
      <c r="F63" s="57" t="n"/>
      <c r="G63" s="57" t="n"/>
      <c r="H63" s="57" t="n"/>
    </row>
    <row r="64" ht="15.75" customHeight="1" s="94">
      <c r="A64" s="57" t="n"/>
      <c r="B64" s="57" t="n"/>
      <c r="C64" s="57" t="n"/>
      <c r="D64" s="57" t="n"/>
      <c r="E64" s="57" t="n"/>
      <c r="F64" s="57" t="n"/>
      <c r="G64" s="57" t="n"/>
      <c r="H64" s="57" t="n"/>
    </row>
    <row r="65" ht="15.75" customHeight="1" s="94">
      <c r="A65" s="57" t="n"/>
      <c r="B65" s="57" t="n"/>
      <c r="C65" s="57" t="n"/>
      <c r="D65" s="57" t="n"/>
      <c r="E65" s="57" t="n"/>
      <c r="F65" s="57" t="n"/>
      <c r="G65" s="57" t="n"/>
      <c r="H65" s="57" t="n"/>
    </row>
    <row r="66" ht="15.75" customHeight="1" s="94">
      <c r="A66" s="57" t="n"/>
      <c r="B66" s="57" t="n"/>
      <c r="C66" s="57" t="n"/>
      <c r="D66" s="57" t="n"/>
      <c r="E66" s="57" t="n"/>
      <c r="F66" s="57" t="n"/>
      <c r="G66" s="57" t="n"/>
      <c r="H66" s="57" t="n"/>
    </row>
    <row r="67" ht="15.75" customHeight="1" s="94">
      <c r="A67" s="57" t="n"/>
      <c r="B67" s="57" t="n"/>
      <c r="C67" s="57" t="n"/>
      <c r="D67" s="57" t="n"/>
      <c r="E67" s="57" t="n"/>
      <c r="F67" s="57" t="n"/>
      <c r="G67" s="57" t="n"/>
      <c r="H67" s="57" t="n"/>
    </row>
    <row r="68" ht="15.75" customHeight="1" s="94">
      <c r="A68" s="57" t="n"/>
      <c r="B68" s="57" t="n"/>
      <c r="C68" s="57" t="n"/>
      <c r="D68" s="57" t="n"/>
      <c r="E68" s="57" t="n"/>
      <c r="F68" s="57" t="n"/>
      <c r="G68" s="57" t="n"/>
      <c r="H68" s="57" t="n"/>
    </row>
    <row r="69" ht="15.75" customHeight="1" s="94">
      <c r="A69" s="57" t="n"/>
      <c r="B69" s="57" t="n"/>
      <c r="C69" s="57" t="n"/>
      <c r="D69" s="57" t="n"/>
      <c r="E69" s="57" t="n"/>
      <c r="F69" s="57" t="n"/>
      <c r="G69" s="57" t="n"/>
      <c r="H69" s="57" t="n"/>
    </row>
    <row r="70" ht="15.75" customHeight="1" s="94">
      <c r="A70" s="57" t="n"/>
      <c r="B70" s="57" t="n"/>
      <c r="C70" s="57" t="n"/>
      <c r="D70" s="57" t="n"/>
      <c r="E70" s="57" t="n"/>
      <c r="F70" s="57" t="n"/>
      <c r="G70" s="57" t="n"/>
      <c r="H70" s="57" t="n"/>
    </row>
    <row r="71" ht="15.75" customHeight="1" s="94">
      <c r="A71" s="57" t="n"/>
      <c r="B71" s="57" t="n"/>
      <c r="C71" s="57" t="n"/>
      <c r="D71" s="57" t="n"/>
      <c r="E71" s="57" t="n"/>
      <c r="F71" s="57" t="n"/>
      <c r="G71" s="57" t="n"/>
      <c r="H71" s="57" t="n"/>
    </row>
    <row r="72" ht="15.75" customHeight="1" s="94">
      <c r="A72" s="57" t="n"/>
      <c r="B72" s="57" t="n"/>
      <c r="C72" s="57" t="n"/>
      <c r="D72" s="57" t="n"/>
      <c r="E72" s="57" t="n"/>
      <c r="F72" s="57" t="n"/>
      <c r="G72" s="57" t="n"/>
      <c r="H72" s="57" t="n"/>
    </row>
    <row r="73" ht="15.75" customHeight="1" s="94">
      <c r="A73" s="57" t="n"/>
      <c r="B73" s="57" t="n"/>
      <c r="C73" s="57" t="n"/>
      <c r="D73" s="57" t="n"/>
      <c r="E73" s="57" t="n"/>
      <c r="F73" s="57" t="n"/>
      <c r="G73" s="57" t="n"/>
      <c r="H73" s="57" t="n"/>
    </row>
    <row r="74" ht="15.75" customHeight="1" s="94">
      <c r="A74" s="57" t="n"/>
      <c r="B74" s="57" t="n"/>
      <c r="C74" s="57" t="n"/>
      <c r="D74" s="57" t="n"/>
      <c r="E74" s="57" t="n"/>
      <c r="F74" s="57" t="n"/>
      <c r="G74" s="57" t="n"/>
      <c r="H74" s="57" t="n"/>
    </row>
    <row r="75" ht="15.75" customHeight="1" s="94">
      <c r="A75" s="57" t="n"/>
      <c r="B75" s="57" t="n"/>
      <c r="C75" s="57" t="n"/>
      <c r="D75" s="57" t="n"/>
      <c r="E75" s="57" t="n"/>
      <c r="F75" s="57" t="n"/>
      <c r="G75" s="57" t="n"/>
      <c r="H75" s="57" t="n"/>
    </row>
    <row r="76" ht="15.75" customHeight="1" s="94">
      <c r="A76" s="57" t="n"/>
      <c r="B76" s="57" t="n"/>
      <c r="C76" s="57" t="n"/>
      <c r="D76" s="57" t="n"/>
      <c r="E76" s="57" t="n"/>
      <c r="F76" s="57" t="n"/>
      <c r="G76" s="57" t="n"/>
      <c r="H76" s="57" t="n"/>
    </row>
    <row r="77" ht="15.75" customHeight="1" s="94">
      <c r="A77" s="57" t="n"/>
      <c r="B77" s="57" t="n"/>
      <c r="C77" s="57" t="n"/>
      <c r="D77" s="57" t="n"/>
      <c r="E77" s="57" t="n"/>
      <c r="F77" s="57" t="n"/>
      <c r="G77" s="57" t="n"/>
      <c r="H77" s="57" t="n"/>
    </row>
    <row r="78" ht="15.75" customHeight="1" s="94">
      <c r="A78" s="57" t="n"/>
      <c r="B78" s="57" t="n"/>
      <c r="C78" s="57" t="n"/>
      <c r="D78" s="57" t="n"/>
      <c r="E78" s="57" t="n"/>
      <c r="F78" s="57" t="n"/>
      <c r="G78" s="57" t="n"/>
      <c r="H78" s="57" t="n"/>
    </row>
    <row r="79" ht="15.75" customHeight="1" s="94">
      <c r="A79" s="57" t="n"/>
      <c r="B79" s="57" t="n"/>
      <c r="C79" s="57" t="n"/>
      <c r="D79" s="57" t="n"/>
      <c r="E79" s="57" t="n"/>
      <c r="F79" s="57" t="n"/>
      <c r="G79" s="57" t="n"/>
      <c r="H79" s="57" t="n"/>
    </row>
    <row r="80" ht="15.75" customHeight="1" s="94">
      <c r="A80" s="57" t="n"/>
      <c r="B80" s="57" t="n"/>
      <c r="C80" s="57" t="n"/>
      <c r="D80" s="57" t="n"/>
      <c r="E80" s="57" t="n"/>
      <c r="F80" s="57" t="n"/>
      <c r="G80" s="57" t="n"/>
      <c r="H80" s="57" t="n"/>
    </row>
    <row r="81" ht="15.75" customHeight="1" s="94">
      <c r="A81" s="57" t="n"/>
      <c r="B81" s="57" t="n"/>
      <c r="C81" s="57" t="n"/>
      <c r="D81" s="57" t="n"/>
      <c r="E81" s="57" t="n"/>
      <c r="F81" s="57" t="n"/>
      <c r="G81" s="57" t="n"/>
      <c r="H81" s="57" t="n"/>
    </row>
    <row r="82" ht="15.75" customHeight="1" s="94">
      <c r="A82" s="57" t="n"/>
      <c r="B82" s="57" t="n"/>
      <c r="C82" s="57" t="n"/>
      <c r="D82" s="57" t="n"/>
      <c r="E82" s="57" t="n"/>
      <c r="F82" s="57" t="n"/>
      <c r="G82" s="57" t="n"/>
      <c r="H82" s="57" t="n"/>
    </row>
    <row r="83" ht="15.75" customHeight="1" s="94">
      <c r="A83" s="57" t="n"/>
      <c r="B83" s="57" t="n"/>
      <c r="C83" s="57" t="n"/>
      <c r="D83" s="57" t="n"/>
      <c r="E83" s="57" t="n"/>
      <c r="F83" s="57" t="n"/>
      <c r="G83" s="57" t="n"/>
      <c r="H83" s="57" t="n"/>
    </row>
    <row r="84" ht="15.75" customHeight="1" s="94">
      <c r="A84" s="57" t="n"/>
      <c r="B84" s="57" t="n"/>
      <c r="C84" s="57" t="n"/>
      <c r="D84" s="57" t="n"/>
      <c r="E84" s="57" t="n"/>
      <c r="F84" s="57" t="n"/>
      <c r="G84" s="57" t="n"/>
      <c r="H84" s="57" t="n"/>
    </row>
    <row r="85" ht="15.75" customHeight="1" s="94">
      <c r="A85" s="57" t="n"/>
      <c r="B85" s="57" t="n"/>
      <c r="C85" s="57" t="n"/>
      <c r="D85" s="57" t="n"/>
      <c r="E85" s="57" t="n"/>
      <c r="F85" s="57" t="n"/>
      <c r="G85" s="57" t="n"/>
      <c r="H85" s="57" t="n"/>
    </row>
    <row r="86" ht="15.75" customHeight="1" s="94">
      <c r="A86" s="57" t="n"/>
      <c r="B86" s="57" t="n"/>
      <c r="C86" s="57" t="n"/>
      <c r="D86" s="57" t="n"/>
      <c r="E86" s="57" t="n"/>
      <c r="F86" s="57" t="n"/>
      <c r="G86" s="57" t="n"/>
      <c r="H86" s="57" t="n"/>
    </row>
    <row r="87" ht="15.75" customHeight="1" s="94">
      <c r="A87" s="57" t="n"/>
      <c r="B87" s="57" t="n"/>
      <c r="C87" s="57" t="n"/>
      <c r="D87" s="57" t="n"/>
      <c r="E87" s="57" t="n"/>
      <c r="F87" s="57" t="n"/>
      <c r="G87" s="57" t="n"/>
      <c r="H87" s="57" t="n"/>
    </row>
    <row r="88" ht="15.75" customHeight="1" s="94">
      <c r="A88" s="57" t="n"/>
      <c r="B88" s="57" t="n"/>
      <c r="C88" s="57" t="n"/>
      <c r="D88" s="57" t="n"/>
      <c r="E88" s="57" t="n"/>
      <c r="F88" s="57" t="n"/>
      <c r="G88" s="57" t="n"/>
      <c r="H88" s="57" t="n"/>
    </row>
    <row r="89" ht="15.75" customHeight="1" s="94">
      <c r="A89" s="57" t="n"/>
      <c r="B89" s="57" t="n"/>
      <c r="C89" s="57" t="n"/>
      <c r="D89" s="57" t="n"/>
      <c r="E89" s="57" t="n"/>
      <c r="F89" s="57" t="n"/>
      <c r="G89" s="57" t="n"/>
      <c r="H89" s="57" t="n"/>
    </row>
    <row r="90" ht="15.75" customHeight="1" s="94">
      <c r="A90" s="57" t="n"/>
      <c r="B90" s="57" t="n"/>
      <c r="C90" s="57" t="n"/>
      <c r="D90" s="57" t="n"/>
      <c r="E90" s="57" t="n"/>
      <c r="F90" s="57" t="n"/>
      <c r="G90" s="57" t="n"/>
      <c r="H90" s="57" t="n"/>
    </row>
    <row r="91" ht="15.75" customHeight="1" s="94">
      <c r="A91" s="57" t="n"/>
      <c r="B91" s="57" t="n"/>
      <c r="C91" s="57" t="n"/>
      <c r="D91" s="57" t="n"/>
      <c r="E91" s="57" t="n"/>
      <c r="F91" s="57" t="n"/>
      <c r="G91" s="57" t="n"/>
      <c r="H91" s="57" t="n"/>
    </row>
    <row r="92" ht="15.75" customHeight="1" s="94">
      <c r="A92" s="57" t="n"/>
      <c r="B92" s="57" t="n"/>
      <c r="C92" s="57" t="n"/>
      <c r="D92" s="57" t="n"/>
      <c r="E92" s="57" t="n"/>
      <c r="F92" s="57" t="n"/>
      <c r="G92" s="57" t="n"/>
      <c r="H92" s="57" t="n"/>
    </row>
    <row r="93" ht="15.75" customHeight="1" s="94">
      <c r="A93" s="57" t="n"/>
      <c r="B93" s="57" t="n"/>
      <c r="C93" s="57" t="n"/>
      <c r="D93" s="57" t="n"/>
      <c r="E93" s="57" t="n"/>
      <c r="F93" s="57" t="n"/>
      <c r="G93" s="57" t="n"/>
      <c r="H93" s="57" t="n"/>
    </row>
    <row r="94" ht="15.75" customHeight="1" s="94">
      <c r="A94" s="57" t="n"/>
      <c r="B94" s="57" t="n"/>
      <c r="C94" s="57" t="n"/>
      <c r="D94" s="57" t="n"/>
      <c r="E94" s="57" t="n"/>
      <c r="F94" s="57" t="n"/>
      <c r="G94" s="57" t="n"/>
      <c r="H94" s="57" t="n"/>
    </row>
    <row r="95" ht="15.75" customHeight="1" s="94">
      <c r="A95" s="57" t="n"/>
      <c r="B95" s="57" t="n"/>
      <c r="C95" s="57" t="n"/>
      <c r="D95" s="57" t="n"/>
      <c r="E95" s="57" t="n"/>
      <c r="F95" s="57" t="n"/>
      <c r="G95" s="57" t="n"/>
      <c r="H95" s="57" t="n"/>
    </row>
    <row r="96" ht="15.75" customHeight="1" s="94">
      <c r="A96" s="57" t="n"/>
      <c r="B96" s="57" t="n"/>
      <c r="C96" s="57" t="n"/>
      <c r="D96" s="57" t="n"/>
      <c r="E96" s="57" t="n"/>
      <c r="F96" s="57" t="n"/>
      <c r="G96" s="57" t="n"/>
      <c r="H96" s="57" t="n"/>
    </row>
    <row r="97" ht="15.75" customHeight="1" s="94">
      <c r="A97" s="57" t="n"/>
      <c r="B97" s="57" t="n"/>
      <c r="C97" s="57" t="n"/>
      <c r="D97" s="57" t="n"/>
      <c r="E97" s="57" t="n"/>
      <c r="F97" s="57" t="n"/>
      <c r="G97" s="57" t="n"/>
      <c r="H97" s="57" t="n"/>
    </row>
    <row r="98" ht="15.75" customHeight="1" s="94">
      <c r="A98" s="57" t="n"/>
      <c r="B98" s="57" t="n"/>
      <c r="C98" s="57" t="n"/>
      <c r="D98" s="57" t="n"/>
      <c r="E98" s="57" t="n"/>
      <c r="F98" s="57" t="n"/>
      <c r="G98" s="57" t="n"/>
      <c r="H98" s="57" t="n"/>
    </row>
    <row r="99" ht="15.75" customHeight="1" s="94">
      <c r="A99" s="57" t="n"/>
      <c r="B99" s="57" t="n"/>
      <c r="C99" s="57" t="n"/>
      <c r="D99" s="57" t="n"/>
      <c r="E99" s="57" t="n"/>
      <c r="F99" s="57" t="n"/>
      <c r="G99" s="57" t="n"/>
      <c r="H99" s="57" t="n"/>
    </row>
    <row r="100" ht="15.75" customHeight="1" s="94">
      <c r="A100" s="57" t="n"/>
      <c r="B100" s="57" t="n"/>
      <c r="C100" s="57" t="n"/>
      <c r="D100" s="57" t="n"/>
      <c r="E100" s="57" t="n"/>
      <c r="F100" s="57" t="n"/>
      <c r="G100" s="57" t="n"/>
      <c r="H100" s="57" t="n"/>
    </row>
    <row r="101" ht="15.75" customHeight="1" s="94">
      <c r="A101" s="57" t="n"/>
      <c r="B101" s="57" t="n"/>
      <c r="C101" s="57" t="n"/>
      <c r="D101" s="57" t="n"/>
      <c r="E101" s="57" t="n"/>
      <c r="F101" s="57" t="n"/>
      <c r="G101" s="57" t="n"/>
      <c r="H101" s="57" t="n"/>
    </row>
    <row r="102" ht="15.75" customHeight="1" s="94">
      <c r="A102" s="57" t="n"/>
      <c r="B102" s="57" t="n"/>
      <c r="C102" s="57" t="n"/>
      <c r="D102" s="57" t="n"/>
      <c r="E102" s="57" t="n"/>
      <c r="F102" s="57" t="n"/>
      <c r="G102" s="57" t="n"/>
      <c r="H102" s="57" t="n"/>
    </row>
    <row r="103" ht="15.75" customHeight="1" s="94">
      <c r="A103" s="57" t="n"/>
      <c r="B103" s="57" t="n"/>
      <c r="C103" s="57" t="n"/>
      <c r="D103" s="57" t="n"/>
      <c r="E103" s="57" t="n"/>
      <c r="F103" s="57" t="n"/>
      <c r="G103" s="57" t="n"/>
      <c r="H103" s="57" t="n"/>
    </row>
    <row r="104" ht="15.75" customHeight="1" s="94">
      <c r="A104" s="57" t="n"/>
      <c r="B104" s="57" t="n"/>
      <c r="C104" s="57" t="n"/>
      <c r="D104" s="57" t="n"/>
      <c r="E104" s="57" t="n"/>
      <c r="F104" s="57" t="n"/>
      <c r="G104" s="57" t="n"/>
      <c r="H104" s="57" t="n"/>
    </row>
    <row r="105" ht="15.75" customHeight="1" s="94">
      <c r="A105" s="57" t="n"/>
      <c r="B105" s="57" t="n"/>
      <c r="C105" s="57" t="n"/>
      <c r="D105" s="57" t="n"/>
      <c r="E105" s="57" t="n"/>
      <c r="F105" s="57" t="n"/>
      <c r="G105" s="57" t="n"/>
      <c r="H105" s="57" t="n"/>
    </row>
    <row r="106" ht="15.75" customHeight="1" s="94">
      <c r="A106" s="57" t="n"/>
      <c r="B106" s="57" t="n"/>
      <c r="C106" s="57" t="n"/>
      <c r="D106" s="57" t="n"/>
      <c r="E106" s="57" t="n"/>
      <c r="F106" s="57" t="n"/>
      <c r="G106" s="57" t="n"/>
      <c r="H106" s="57" t="n"/>
    </row>
    <row r="107" ht="15.75" customHeight="1" s="94">
      <c r="A107" s="57" t="n"/>
      <c r="B107" s="57" t="n"/>
      <c r="C107" s="57" t="n"/>
      <c r="D107" s="57" t="n"/>
      <c r="E107" s="57" t="n"/>
      <c r="F107" s="57" t="n"/>
      <c r="G107" s="57" t="n"/>
      <c r="H107" s="57" t="n"/>
    </row>
    <row r="108" ht="15.75" customHeight="1" s="94">
      <c r="A108" s="57" t="n"/>
      <c r="B108" s="57" t="n"/>
      <c r="C108" s="57" t="n"/>
      <c r="D108" s="57" t="n"/>
      <c r="E108" s="57" t="n"/>
      <c r="F108" s="57" t="n"/>
      <c r="G108" s="57" t="n"/>
      <c r="H108" s="57" t="n"/>
    </row>
    <row r="109" ht="15.75" customHeight="1" s="94">
      <c r="A109" s="57" t="n"/>
      <c r="B109" s="57" t="n"/>
      <c r="C109" s="57" t="n"/>
      <c r="D109" s="57" t="n"/>
      <c r="E109" s="57" t="n"/>
      <c r="F109" s="57" t="n"/>
      <c r="G109" s="57" t="n"/>
      <c r="H109" s="57" t="n"/>
    </row>
    <row r="110" ht="15.75" customHeight="1" s="94">
      <c r="A110" s="57" t="n"/>
      <c r="B110" s="57" t="n"/>
      <c r="C110" s="57" t="n"/>
      <c r="D110" s="57" t="n"/>
      <c r="E110" s="57" t="n"/>
      <c r="F110" s="57" t="n"/>
      <c r="G110" s="57" t="n"/>
      <c r="H110" s="57" t="n"/>
    </row>
    <row r="111" ht="15.75" customHeight="1" s="94">
      <c r="A111" s="57" t="n"/>
      <c r="B111" s="57" t="n"/>
      <c r="C111" s="57" t="n"/>
      <c r="D111" s="57" t="n"/>
      <c r="E111" s="57" t="n"/>
      <c r="F111" s="57" t="n"/>
      <c r="G111" s="57" t="n"/>
      <c r="H111" s="57" t="n"/>
    </row>
    <row r="112" ht="15.75" customHeight="1" s="94">
      <c r="A112" s="57" t="n"/>
      <c r="B112" s="57" t="n"/>
      <c r="C112" s="57" t="n"/>
      <c r="D112" s="57" t="n"/>
      <c r="E112" s="57" t="n"/>
      <c r="F112" s="57" t="n"/>
      <c r="G112" s="57" t="n"/>
      <c r="H112" s="57" t="n"/>
    </row>
    <row r="113" ht="15.75" customHeight="1" s="94">
      <c r="A113" s="57" t="n"/>
      <c r="B113" s="57" t="n"/>
      <c r="C113" s="57" t="n"/>
      <c r="D113" s="57" t="n"/>
      <c r="E113" s="57" t="n"/>
      <c r="F113" s="57" t="n"/>
      <c r="G113" s="57" t="n"/>
      <c r="H113" s="57" t="n"/>
    </row>
    <row r="114" ht="15.75" customHeight="1" s="94">
      <c r="A114" s="57" t="n"/>
      <c r="B114" s="57" t="n"/>
      <c r="C114" s="57" t="n"/>
      <c r="D114" s="57" t="n"/>
      <c r="E114" s="57" t="n"/>
      <c r="F114" s="57" t="n"/>
      <c r="G114" s="57" t="n"/>
      <c r="H114" s="57" t="n"/>
    </row>
    <row r="115" ht="15.75" customHeight="1" s="94">
      <c r="A115" s="57" t="n"/>
      <c r="B115" s="57" t="n"/>
      <c r="C115" s="57" t="n"/>
      <c r="D115" s="57" t="n"/>
      <c r="E115" s="57" t="n"/>
      <c r="F115" s="57" t="n"/>
      <c r="G115" s="57" t="n"/>
      <c r="H115" s="57" t="n"/>
    </row>
    <row r="116" ht="15.75" customHeight="1" s="94">
      <c r="A116" s="57" t="n"/>
      <c r="B116" s="57" t="n"/>
      <c r="C116" s="57" t="n"/>
      <c r="D116" s="57" t="n"/>
      <c r="E116" s="57" t="n"/>
      <c r="F116" s="57" t="n"/>
      <c r="G116" s="57" t="n"/>
      <c r="H116" s="57" t="n"/>
    </row>
    <row r="117" ht="15.75" customHeight="1" s="94">
      <c r="A117" s="57" t="n"/>
      <c r="B117" s="57" t="n"/>
      <c r="C117" s="57" t="n"/>
      <c r="D117" s="57" t="n"/>
      <c r="E117" s="57" t="n"/>
      <c r="F117" s="57" t="n"/>
      <c r="G117" s="57" t="n"/>
      <c r="H117" s="57" t="n"/>
    </row>
    <row r="118" ht="15.75" customHeight="1" s="94">
      <c r="A118" s="57" t="n"/>
      <c r="B118" s="57" t="n"/>
      <c r="C118" s="57" t="n"/>
      <c r="D118" s="57" t="n"/>
      <c r="E118" s="57" t="n"/>
      <c r="F118" s="57" t="n"/>
      <c r="G118" s="57" t="n"/>
      <c r="H118" s="57" t="n"/>
    </row>
    <row r="119" ht="15.75" customHeight="1" s="94">
      <c r="A119" s="57" t="n"/>
      <c r="B119" s="57" t="n"/>
      <c r="C119" s="57" t="n"/>
      <c r="D119" s="57" t="n"/>
      <c r="E119" s="57" t="n"/>
      <c r="F119" s="57" t="n"/>
      <c r="G119" s="57" t="n"/>
      <c r="H119" s="57" t="n"/>
    </row>
    <row r="120" ht="15.75" customHeight="1" s="94">
      <c r="A120" s="57" t="n"/>
      <c r="B120" s="57" t="n"/>
      <c r="C120" s="57" t="n"/>
      <c r="D120" s="57" t="n"/>
      <c r="E120" s="57" t="n"/>
      <c r="F120" s="57" t="n"/>
      <c r="G120" s="57" t="n"/>
      <c r="H120" s="57" t="n"/>
    </row>
    <row r="121" ht="15.75" customHeight="1" s="94">
      <c r="A121" s="57" t="n"/>
      <c r="B121" s="57" t="n"/>
      <c r="C121" s="57" t="n"/>
      <c r="D121" s="57" t="n"/>
      <c r="E121" s="57" t="n"/>
      <c r="F121" s="57" t="n"/>
      <c r="G121" s="57" t="n"/>
      <c r="H121" s="57" t="n"/>
    </row>
    <row r="122" ht="15.75" customHeight="1" s="94">
      <c r="A122" s="57" t="n"/>
      <c r="B122" s="57" t="n"/>
      <c r="C122" s="57" t="n"/>
      <c r="D122" s="57" t="n"/>
      <c r="E122" s="57" t="n"/>
      <c r="F122" s="57" t="n"/>
      <c r="G122" s="57" t="n"/>
      <c r="H122" s="57" t="n"/>
    </row>
    <row r="123" ht="15.75" customHeight="1" s="94">
      <c r="A123" s="57" t="n"/>
      <c r="B123" s="57" t="n"/>
      <c r="C123" s="57" t="n"/>
      <c r="D123" s="57" t="n"/>
      <c r="E123" s="57" t="n"/>
      <c r="F123" s="57" t="n"/>
      <c r="G123" s="57" t="n"/>
      <c r="H123" s="57" t="n"/>
    </row>
    <row r="124" ht="15.75" customHeight="1" s="94">
      <c r="A124" s="57" t="n"/>
      <c r="B124" s="57" t="n"/>
      <c r="C124" s="57" t="n"/>
      <c r="D124" s="57" t="n"/>
      <c r="E124" s="57" t="n"/>
      <c r="F124" s="57" t="n"/>
      <c r="G124" s="57" t="n"/>
      <c r="H124" s="57" t="n"/>
    </row>
    <row r="125" ht="15.75" customHeight="1" s="94">
      <c r="A125" s="57" t="n"/>
      <c r="B125" s="57" t="n"/>
      <c r="C125" s="57" t="n"/>
      <c r="D125" s="57" t="n"/>
      <c r="E125" s="57" t="n"/>
      <c r="F125" s="57" t="n"/>
      <c r="G125" s="57" t="n"/>
      <c r="H125" s="57" t="n"/>
    </row>
    <row r="126" ht="15.75" customHeight="1" s="94">
      <c r="A126" s="57" t="n"/>
      <c r="B126" s="57" t="n"/>
      <c r="C126" s="57" t="n"/>
      <c r="D126" s="57" t="n"/>
      <c r="E126" s="57" t="n"/>
      <c r="F126" s="57" t="n"/>
      <c r="G126" s="57" t="n"/>
      <c r="H126" s="57" t="n"/>
    </row>
    <row r="127" ht="15.75" customHeight="1" s="94">
      <c r="A127" s="57" t="n"/>
      <c r="B127" s="57" t="n"/>
      <c r="C127" s="57" t="n"/>
      <c r="D127" s="57" t="n"/>
      <c r="E127" s="57" t="n"/>
      <c r="F127" s="57" t="n"/>
      <c r="G127" s="57" t="n"/>
      <c r="H127" s="57" t="n"/>
    </row>
    <row r="128" ht="15.75" customHeight="1" s="94">
      <c r="A128" s="57" t="n"/>
      <c r="B128" s="57" t="n"/>
      <c r="C128" s="57" t="n"/>
      <c r="D128" s="57" t="n"/>
      <c r="E128" s="57" t="n"/>
      <c r="F128" s="57" t="n"/>
      <c r="G128" s="57" t="n"/>
      <c r="H128" s="57" t="n"/>
    </row>
    <row r="129" ht="15.75" customHeight="1" s="94">
      <c r="A129" s="57" t="n"/>
      <c r="B129" s="57" t="n"/>
      <c r="C129" s="57" t="n"/>
      <c r="D129" s="57" t="n"/>
      <c r="E129" s="57" t="n"/>
      <c r="F129" s="57" t="n"/>
      <c r="G129" s="57" t="n"/>
      <c r="H129" s="57" t="n"/>
    </row>
    <row r="130" ht="15.75" customHeight="1" s="94">
      <c r="A130" s="57" t="n"/>
      <c r="B130" s="57" t="n"/>
      <c r="C130" s="57" t="n"/>
      <c r="D130" s="57" t="n"/>
      <c r="E130" s="57" t="n"/>
      <c r="F130" s="57" t="n"/>
      <c r="G130" s="57" t="n"/>
      <c r="H130" s="57" t="n"/>
    </row>
    <row r="131" ht="15.75" customHeight="1" s="94">
      <c r="A131" s="57" t="n"/>
      <c r="B131" s="57" t="n"/>
      <c r="C131" s="57" t="n"/>
      <c r="D131" s="57" t="n"/>
      <c r="E131" s="57" t="n"/>
      <c r="F131" s="57" t="n"/>
      <c r="G131" s="57" t="n"/>
      <c r="H131" s="57" t="n"/>
    </row>
    <row r="132" ht="15.75" customHeight="1" s="94">
      <c r="A132" s="57" t="n"/>
      <c r="B132" s="57" t="n"/>
      <c r="C132" s="57" t="n"/>
      <c r="D132" s="57" t="n"/>
      <c r="E132" s="57" t="n"/>
      <c r="F132" s="57" t="n"/>
      <c r="G132" s="57" t="n"/>
      <c r="H132" s="57" t="n"/>
    </row>
    <row r="133" ht="15.75" customHeight="1" s="94">
      <c r="A133" s="57" t="n"/>
      <c r="B133" s="57" t="n"/>
      <c r="C133" s="57" t="n"/>
      <c r="D133" s="57" t="n"/>
      <c r="E133" s="57" t="n"/>
      <c r="F133" s="57" t="n"/>
      <c r="G133" s="57" t="n"/>
      <c r="H133" s="57" t="n"/>
    </row>
    <row r="134" ht="15.75" customHeight="1" s="94">
      <c r="A134" s="57" t="n"/>
      <c r="B134" s="57" t="n"/>
      <c r="C134" s="57" t="n"/>
      <c r="D134" s="57" t="n"/>
      <c r="E134" s="57" t="n"/>
      <c r="F134" s="57" t="n"/>
      <c r="G134" s="57" t="n"/>
      <c r="H134" s="57" t="n"/>
    </row>
    <row r="135" ht="15.75" customHeight="1" s="94">
      <c r="A135" s="57" t="n"/>
      <c r="B135" s="57" t="n"/>
      <c r="C135" s="57" t="n"/>
      <c r="D135" s="57" t="n"/>
      <c r="E135" s="57" t="n"/>
      <c r="F135" s="57" t="n"/>
      <c r="G135" s="57" t="n"/>
      <c r="H135" s="57" t="n"/>
    </row>
    <row r="136" ht="15.75" customHeight="1" s="94">
      <c r="A136" s="57" t="n"/>
      <c r="B136" s="57" t="n"/>
      <c r="C136" s="57" t="n"/>
      <c r="D136" s="57" t="n"/>
      <c r="E136" s="57" t="n"/>
      <c r="F136" s="57" t="n"/>
      <c r="G136" s="57" t="n"/>
      <c r="H136" s="57" t="n"/>
    </row>
    <row r="137" ht="15.75" customHeight="1" s="94">
      <c r="A137" s="57" t="n"/>
      <c r="B137" s="57" t="n"/>
      <c r="C137" s="57" t="n"/>
      <c r="D137" s="57" t="n"/>
      <c r="E137" s="57" t="n"/>
      <c r="F137" s="57" t="n"/>
      <c r="G137" s="57" t="n"/>
      <c r="H137" s="57" t="n"/>
    </row>
    <row r="138" ht="15.75" customHeight="1" s="94">
      <c r="A138" s="57" t="n"/>
      <c r="B138" s="57" t="n"/>
      <c r="C138" s="57" t="n"/>
      <c r="D138" s="57" t="n"/>
      <c r="E138" s="57" t="n"/>
      <c r="F138" s="57" t="n"/>
      <c r="G138" s="57" t="n"/>
      <c r="H138" s="57" t="n"/>
    </row>
    <row r="139" ht="15.75" customHeight="1" s="94">
      <c r="A139" s="57" t="n"/>
      <c r="B139" s="57" t="n"/>
      <c r="C139" s="57" t="n"/>
      <c r="D139" s="57" t="n"/>
      <c r="E139" s="57" t="n"/>
      <c r="F139" s="57" t="n"/>
      <c r="G139" s="57" t="n"/>
      <c r="H139" s="57" t="n"/>
    </row>
    <row r="140" ht="15.75" customHeight="1" s="94">
      <c r="A140" s="57" t="n"/>
      <c r="B140" s="57" t="n"/>
      <c r="C140" s="57" t="n"/>
      <c r="D140" s="57" t="n"/>
      <c r="E140" s="57" t="n"/>
      <c r="F140" s="57" t="n"/>
      <c r="G140" s="57" t="n"/>
      <c r="H140" s="57" t="n"/>
    </row>
    <row r="141" ht="15.75" customHeight="1" s="94">
      <c r="A141" s="57" t="n"/>
      <c r="B141" s="57" t="n"/>
      <c r="C141" s="57" t="n"/>
      <c r="D141" s="57" t="n"/>
      <c r="E141" s="57" t="n"/>
      <c r="F141" s="57" t="n"/>
      <c r="G141" s="57" t="n"/>
      <c r="H141" s="57" t="n"/>
    </row>
    <row r="142" ht="15.75" customHeight="1" s="94">
      <c r="A142" s="57" t="n"/>
      <c r="B142" s="57" t="n"/>
      <c r="C142" s="57" t="n"/>
      <c r="D142" s="57" t="n"/>
      <c r="E142" s="57" t="n"/>
      <c r="F142" s="57" t="n"/>
      <c r="G142" s="57" t="n"/>
      <c r="H142" s="57" t="n"/>
    </row>
    <row r="143" ht="15.75" customHeight="1" s="94">
      <c r="A143" s="57" t="n"/>
      <c r="B143" s="57" t="n"/>
      <c r="C143" s="57" t="n"/>
      <c r="D143" s="57" t="n"/>
      <c r="E143" s="57" t="n"/>
      <c r="F143" s="57" t="n"/>
      <c r="G143" s="57" t="n"/>
      <c r="H143" s="57" t="n"/>
    </row>
    <row r="144" ht="15.75" customHeight="1" s="94">
      <c r="A144" s="57" t="n"/>
      <c r="B144" s="57" t="n"/>
      <c r="C144" s="57" t="n"/>
      <c r="D144" s="57" t="n"/>
      <c r="E144" s="57" t="n"/>
      <c r="F144" s="57" t="n"/>
      <c r="G144" s="57" t="n"/>
      <c r="H144" s="57" t="n"/>
    </row>
    <row r="145" ht="15.75" customHeight="1" s="94">
      <c r="A145" s="57" t="n"/>
      <c r="B145" s="57" t="n"/>
      <c r="C145" s="57" t="n"/>
      <c r="D145" s="57" t="n"/>
      <c r="E145" s="57" t="n"/>
      <c r="F145" s="57" t="n"/>
      <c r="G145" s="57" t="n"/>
      <c r="H145" s="57" t="n"/>
    </row>
    <row r="146" ht="15.75" customHeight="1" s="94">
      <c r="A146" s="57" t="n"/>
      <c r="B146" s="57" t="n"/>
      <c r="C146" s="57" t="n"/>
      <c r="D146" s="57" t="n"/>
      <c r="E146" s="57" t="n"/>
      <c r="F146" s="57" t="n"/>
      <c r="G146" s="57" t="n"/>
      <c r="H146" s="57" t="n"/>
    </row>
    <row r="147" ht="15.75" customHeight="1" s="94">
      <c r="A147" s="57" t="n"/>
      <c r="B147" s="57" t="n"/>
      <c r="C147" s="57" t="n"/>
      <c r="D147" s="57" t="n"/>
      <c r="E147" s="57" t="n"/>
      <c r="F147" s="57" t="n"/>
      <c r="G147" s="57" t="n"/>
      <c r="H147" s="57" t="n"/>
    </row>
    <row r="148" ht="15.75" customHeight="1" s="94">
      <c r="A148" s="57" t="n"/>
      <c r="B148" s="57" t="n"/>
      <c r="C148" s="57" t="n"/>
      <c r="D148" s="57" t="n"/>
      <c r="E148" s="57" t="n"/>
      <c r="F148" s="57" t="n"/>
      <c r="G148" s="57" t="n"/>
      <c r="H148" s="57" t="n"/>
    </row>
    <row r="149" ht="15.75" customHeight="1" s="94">
      <c r="A149" s="57" t="n"/>
      <c r="B149" s="57" t="n"/>
      <c r="C149" s="57" t="n"/>
      <c r="D149" s="57" t="n"/>
      <c r="E149" s="57" t="n"/>
      <c r="F149" s="57" t="n"/>
      <c r="G149" s="57" t="n"/>
      <c r="H149" s="57" t="n"/>
    </row>
    <row r="150" ht="15.75" customHeight="1" s="94">
      <c r="A150" s="57" t="n"/>
      <c r="B150" s="57" t="n"/>
      <c r="C150" s="57" t="n"/>
      <c r="D150" s="57" t="n"/>
      <c r="E150" s="57" t="n"/>
      <c r="F150" s="57" t="n"/>
      <c r="G150" s="57" t="n"/>
      <c r="H150" s="57" t="n"/>
    </row>
    <row r="151" ht="15.75" customHeight="1" s="94">
      <c r="A151" s="57" t="n"/>
      <c r="B151" s="57" t="n"/>
      <c r="C151" s="57" t="n"/>
      <c r="D151" s="57" t="n"/>
      <c r="E151" s="57" t="n"/>
      <c r="F151" s="57" t="n"/>
      <c r="G151" s="57" t="n"/>
      <c r="H151" s="57" t="n"/>
    </row>
    <row r="152" ht="15.75" customHeight="1" s="94">
      <c r="A152" s="57" t="n"/>
      <c r="B152" s="57" t="n"/>
      <c r="C152" s="57" t="n"/>
      <c r="D152" s="57" t="n"/>
      <c r="E152" s="57" t="n"/>
      <c r="F152" s="57" t="n"/>
      <c r="G152" s="57" t="n"/>
      <c r="H152" s="57" t="n"/>
    </row>
    <row r="153" ht="15.75" customHeight="1" s="94">
      <c r="A153" s="57" t="n"/>
      <c r="B153" s="57" t="n"/>
      <c r="C153" s="57" t="n"/>
      <c r="D153" s="57" t="n"/>
      <c r="E153" s="57" t="n"/>
      <c r="F153" s="57" t="n"/>
      <c r="G153" s="57" t="n"/>
      <c r="H153" s="57" t="n"/>
    </row>
    <row r="154" ht="15.75" customHeight="1" s="94">
      <c r="A154" s="57" t="n"/>
      <c r="B154" s="57" t="n"/>
      <c r="C154" s="57" t="n"/>
      <c r="D154" s="57" t="n"/>
      <c r="E154" s="57" t="n"/>
      <c r="F154" s="57" t="n"/>
      <c r="G154" s="57" t="n"/>
      <c r="H154" s="57" t="n"/>
    </row>
    <row r="155" ht="15.75" customHeight="1" s="94">
      <c r="A155" s="57" t="n"/>
      <c r="B155" s="57" t="n"/>
      <c r="C155" s="57" t="n"/>
      <c r="D155" s="57" t="n"/>
      <c r="E155" s="57" t="n"/>
      <c r="F155" s="57" t="n"/>
      <c r="G155" s="57" t="n"/>
      <c r="H155" s="57" t="n"/>
    </row>
    <row r="156" ht="15.75" customHeight="1" s="94">
      <c r="A156" s="57" t="n"/>
      <c r="B156" s="57" t="n"/>
      <c r="C156" s="57" t="n"/>
      <c r="D156" s="57" t="n"/>
      <c r="E156" s="57" t="n"/>
      <c r="F156" s="57" t="n"/>
      <c r="G156" s="57" t="n"/>
      <c r="H156" s="57" t="n"/>
    </row>
    <row r="157" ht="15.75" customHeight="1" s="94">
      <c r="A157" s="57" t="n"/>
      <c r="B157" s="57" t="n"/>
      <c r="C157" s="57" t="n"/>
      <c r="D157" s="57" t="n"/>
      <c r="E157" s="57" t="n"/>
      <c r="F157" s="57" t="n"/>
      <c r="G157" s="57" t="n"/>
      <c r="H157" s="57" t="n"/>
    </row>
    <row r="158" ht="15.75" customHeight="1" s="94">
      <c r="A158" s="57" t="n"/>
      <c r="B158" s="57" t="n"/>
      <c r="C158" s="57" t="n"/>
      <c r="D158" s="57" t="n"/>
      <c r="E158" s="57" t="n"/>
      <c r="F158" s="57" t="n"/>
      <c r="G158" s="57" t="n"/>
      <c r="H158" s="57" t="n"/>
    </row>
    <row r="159" ht="15.75" customHeight="1" s="94">
      <c r="A159" s="57" t="n"/>
      <c r="B159" s="57" t="n"/>
      <c r="C159" s="57" t="n"/>
      <c r="D159" s="57" t="n"/>
      <c r="E159" s="57" t="n"/>
      <c r="F159" s="57" t="n"/>
      <c r="G159" s="57" t="n"/>
      <c r="H159" s="57" t="n"/>
    </row>
    <row r="160" ht="15.75" customHeight="1" s="94">
      <c r="A160" s="57" t="n"/>
      <c r="B160" s="57" t="n"/>
      <c r="C160" s="57" t="n"/>
      <c r="D160" s="57" t="n"/>
      <c r="E160" s="57" t="n"/>
      <c r="F160" s="57" t="n"/>
      <c r="G160" s="57" t="n"/>
      <c r="H160" s="57" t="n"/>
    </row>
    <row r="161" ht="15.75" customHeight="1" s="94">
      <c r="A161" s="57" t="n"/>
      <c r="B161" s="57" t="n"/>
      <c r="C161" s="57" t="n"/>
      <c r="D161" s="57" t="n"/>
      <c r="E161" s="57" t="n"/>
      <c r="F161" s="57" t="n"/>
      <c r="G161" s="57" t="n"/>
      <c r="H161" s="57" t="n"/>
    </row>
    <row r="162" ht="15.75" customHeight="1" s="94">
      <c r="A162" s="57" t="n"/>
      <c r="B162" s="57" t="n"/>
      <c r="C162" s="57" t="n"/>
      <c r="D162" s="57" t="n"/>
      <c r="E162" s="57" t="n"/>
      <c r="F162" s="57" t="n"/>
      <c r="G162" s="57" t="n"/>
      <c r="H162" s="57" t="n"/>
    </row>
    <row r="163" ht="15.75" customHeight="1" s="94">
      <c r="A163" s="57" t="n"/>
      <c r="B163" s="57" t="n"/>
      <c r="C163" s="57" t="n"/>
      <c r="D163" s="57" t="n"/>
      <c r="E163" s="57" t="n"/>
      <c r="F163" s="57" t="n"/>
      <c r="G163" s="57" t="n"/>
      <c r="H163" s="57" t="n"/>
    </row>
    <row r="164" ht="15.75" customHeight="1" s="94">
      <c r="A164" s="57" t="n"/>
      <c r="B164" s="57" t="n"/>
      <c r="C164" s="57" t="n"/>
      <c r="D164" s="57" t="n"/>
      <c r="E164" s="57" t="n"/>
      <c r="F164" s="57" t="n"/>
      <c r="G164" s="57" t="n"/>
      <c r="H164" s="57" t="n"/>
    </row>
    <row r="165" ht="15.75" customHeight="1" s="94">
      <c r="A165" s="57" t="n"/>
      <c r="B165" s="57" t="n"/>
      <c r="C165" s="57" t="n"/>
      <c r="D165" s="57" t="n"/>
      <c r="E165" s="57" t="n"/>
      <c r="F165" s="57" t="n"/>
      <c r="G165" s="57" t="n"/>
      <c r="H165" s="57" t="n"/>
    </row>
    <row r="166" ht="15.75" customHeight="1" s="94">
      <c r="A166" s="57" t="n"/>
      <c r="B166" s="57" t="n"/>
      <c r="C166" s="57" t="n"/>
      <c r="D166" s="57" t="n"/>
      <c r="E166" s="57" t="n"/>
      <c r="F166" s="57" t="n"/>
      <c r="G166" s="57" t="n"/>
      <c r="H166" s="57" t="n"/>
    </row>
    <row r="167" ht="15.75" customHeight="1" s="94">
      <c r="A167" s="57" t="n"/>
      <c r="B167" s="57" t="n"/>
      <c r="C167" s="57" t="n"/>
      <c r="D167" s="57" t="n"/>
      <c r="E167" s="57" t="n"/>
      <c r="F167" s="57" t="n"/>
      <c r="G167" s="57" t="n"/>
      <c r="H167" s="57" t="n"/>
    </row>
    <row r="168" ht="15.75" customHeight="1" s="94">
      <c r="A168" s="57" t="n"/>
      <c r="B168" s="57" t="n"/>
      <c r="C168" s="57" t="n"/>
      <c r="D168" s="57" t="n"/>
      <c r="E168" s="57" t="n"/>
      <c r="F168" s="57" t="n"/>
      <c r="G168" s="57" t="n"/>
      <c r="H168" s="57" t="n"/>
    </row>
    <row r="169" ht="15.75" customHeight="1" s="94">
      <c r="A169" s="57" t="n"/>
      <c r="B169" s="57" t="n"/>
      <c r="C169" s="57" t="n"/>
      <c r="D169" s="57" t="n"/>
      <c r="E169" s="57" t="n"/>
      <c r="F169" s="57" t="n"/>
      <c r="G169" s="57" t="n"/>
      <c r="H169" s="57" t="n"/>
    </row>
    <row r="170" ht="15.75" customHeight="1" s="94">
      <c r="A170" s="57" t="n"/>
      <c r="B170" s="57" t="n"/>
      <c r="C170" s="57" t="n"/>
      <c r="D170" s="57" t="n"/>
      <c r="E170" s="57" t="n"/>
      <c r="F170" s="57" t="n"/>
      <c r="G170" s="57" t="n"/>
      <c r="H170" s="57" t="n"/>
    </row>
    <row r="171" ht="15.75" customHeight="1" s="94">
      <c r="A171" s="57" t="n"/>
      <c r="B171" s="57" t="n"/>
      <c r="C171" s="57" t="n"/>
      <c r="D171" s="57" t="n"/>
      <c r="E171" s="57" t="n"/>
      <c r="F171" s="57" t="n"/>
      <c r="G171" s="57" t="n"/>
      <c r="H171" s="57" t="n"/>
    </row>
    <row r="172" ht="15.75" customHeight="1" s="94">
      <c r="A172" s="57" t="n"/>
      <c r="B172" s="57" t="n"/>
      <c r="C172" s="57" t="n"/>
      <c r="D172" s="57" t="n"/>
      <c r="E172" s="57" t="n"/>
      <c r="F172" s="57" t="n"/>
      <c r="G172" s="57" t="n"/>
      <c r="H172" s="57" t="n"/>
    </row>
    <row r="173" ht="15.75" customHeight="1" s="94">
      <c r="A173" s="57" t="n"/>
      <c r="B173" s="57" t="n"/>
      <c r="C173" s="57" t="n"/>
      <c r="D173" s="57" t="n"/>
      <c r="E173" s="57" t="n"/>
      <c r="F173" s="57" t="n"/>
      <c r="G173" s="57" t="n"/>
      <c r="H173" s="57" t="n"/>
    </row>
    <row r="174" ht="15.75" customHeight="1" s="94">
      <c r="A174" s="57" t="n"/>
      <c r="B174" s="57" t="n"/>
      <c r="C174" s="57" t="n"/>
      <c r="D174" s="57" t="n"/>
      <c r="E174" s="57" t="n"/>
      <c r="F174" s="57" t="n"/>
      <c r="G174" s="57" t="n"/>
      <c r="H174" s="57" t="n"/>
    </row>
    <row r="175" ht="15.75" customHeight="1" s="94">
      <c r="A175" s="57" t="n"/>
      <c r="B175" s="57" t="n"/>
      <c r="C175" s="57" t="n"/>
      <c r="D175" s="57" t="n"/>
      <c r="E175" s="57" t="n"/>
      <c r="F175" s="57" t="n"/>
      <c r="G175" s="57" t="n"/>
      <c r="H175" s="57" t="n"/>
    </row>
    <row r="176" ht="15.75" customHeight="1" s="94">
      <c r="A176" s="57" t="n"/>
      <c r="B176" s="57" t="n"/>
      <c r="C176" s="57" t="n"/>
      <c r="D176" s="57" t="n"/>
      <c r="E176" s="57" t="n"/>
      <c r="F176" s="57" t="n"/>
      <c r="G176" s="57" t="n"/>
      <c r="H176" s="57" t="n"/>
    </row>
    <row r="177" ht="15.75" customHeight="1" s="94">
      <c r="A177" s="57" t="n"/>
      <c r="B177" s="57" t="n"/>
      <c r="C177" s="57" t="n"/>
      <c r="D177" s="57" t="n"/>
      <c r="E177" s="57" t="n"/>
      <c r="F177" s="57" t="n"/>
      <c r="G177" s="57" t="n"/>
      <c r="H177" s="57" t="n"/>
    </row>
    <row r="178" ht="15.75" customHeight="1" s="94">
      <c r="A178" s="57" t="n"/>
      <c r="B178" s="57" t="n"/>
      <c r="C178" s="57" t="n"/>
      <c r="D178" s="57" t="n"/>
      <c r="E178" s="57" t="n"/>
      <c r="F178" s="57" t="n"/>
      <c r="G178" s="57" t="n"/>
      <c r="H178" s="57" t="n"/>
    </row>
    <row r="179" ht="15.75" customHeight="1" s="94">
      <c r="A179" s="57" t="n"/>
      <c r="B179" s="57" t="n"/>
      <c r="C179" s="57" t="n"/>
      <c r="D179" s="57" t="n"/>
      <c r="E179" s="57" t="n"/>
      <c r="F179" s="57" t="n"/>
      <c r="G179" s="57" t="n"/>
      <c r="H179" s="57" t="n"/>
    </row>
    <row r="180" ht="15.75" customHeight="1" s="94">
      <c r="A180" s="57" t="n"/>
      <c r="B180" s="57" t="n"/>
      <c r="C180" s="57" t="n"/>
      <c r="D180" s="57" t="n"/>
      <c r="E180" s="57" t="n"/>
      <c r="F180" s="57" t="n"/>
      <c r="G180" s="57" t="n"/>
      <c r="H180" s="57" t="n"/>
    </row>
    <row r="181" ht="15.75" customHeight="1" s="94">
      <c r="A181" s="57" t="n"/>
      <c r="B181" s="57" t="n"/>
      <c r="C181" s="57" t="n"/>
      <c r="D181" s="57" t="n"/>
      <c r="E181" s="57" t="n"/>
      <c r="F181" s="57" t="n"/>
      <c r="G181" s="57" t="n"/>
      <c r="H181" s="57" t="n"/>
    </row>
    <row r="182" ht="15.75" customHeight="1" s="94">
      <c r="A182" s="57" t="n"/>
      <c r="B182" s="57" t="n"/>
      <c r="C182" s="57" t="n"/>
      <c r="D182" s="57" t="n"/>
      <c r="E182" s="57" t="n"/>
      <c r="F182" s="57" t="n"/>
      <c r="G182" s="57" t="n"/>
      <c r="H182" s="57" t="n"/>
    </row>
    <row r="183" ht="15.75" customHeight="1" s="94">
      <c r="A183" s="57" t="n"/>
      <c r="B183" s="57" t="n"/>
      <c r="C183" s="57" t="n"/>
      <c r="D183" s="57" t="n"/>
      <c r="E183" s="57" t="n"/>
      <c r="F183" s="57" t="n"/>
      <c r="G183" s="57" t="n"/>
      <c r="H183" s="57" t="n"/>
    </row>
    <row r="184" ht="15.75" customHeight="1" s="94">
      <c r="A184" s="57" t="n"/>
      <c r="B184" s="57" t="n"/>
      <c r="C184" s="57" t="n"/>
      <c r="D184" s="57" t="n"/>
      <c r="E184" s="57" t="n"/>
      <c r="F184" s="57" t="n"/>
      <c r="G184" s="57" t="n"/>
      <c r="H184" s="57" t="n"/>
    </row>
    <row r="185" ht="15.75" customHeight="1" s="94">
      <c r="A185" s="57" t="n"/>
      <c r="B185" s="57" t="n"/>
      <c r="C185" s="57" t="n"/>
      <c r="D185" s="57" t="n"/>
      <c r="E185" s="57" t="n"/>
      <c r="F185" s="57" t="n"/>
      <c r="G185" s="57" t="n"/>
      <c r="H185" s="57" t="n"/>
    </row>
    <row r="186" ht="15.75" customHeight="1" s="94">
      <c r="A186" s="57" t="n"/>
      <c r="B186" s="57" t="n"/>
      <c r="C186" s="57" t="n"/>
      <c r="D186" s="57" t="n"/>
      <c r="E186" s="57" t="n"/>
      <c r="F186" s="57" t="n"/>
      <c r="G186" s="57" t="n"/>
      <c r="H186" s="57" t="n"/>
    </row>
    <row r="187" ht="15.75" customHeight="1" s="94">
      <c r="A187" s="57" t="n"/>
      <c r="B187" s="57" t="n"/>
      <c r="C187" s="57" t="n"/>
      <c r="D187" s="57" t="n"/>
      <c r="E187" s="57" t="n"/>
      <c r="F187" s="57" t="n"/>
      <c r="G187" s="57" t="n"/>
      <c r="H187" s="57" t="n"/>
    </row>
    <row r="188" ht="15.75" customHeight="1" s="94">
      <c r="A188" s="57" t="n"/>
      <c r="B188" s="57" t="n"/>
      <c r="C188" s="57" t="n"/>
      <c r="D188" s="57" t="n"/>
      <c r="E188" s="57" t="n"/>
      <c r="F188" s="57" t="n"/>
      <c r="G188" s="57" t="n"/>
      <c r="H188" s="57" t="n"/>
    </row>
    <row r="189" ht="15.75" customHeight="1" s="94">
      <c r="A189" s="57" t="n"/>
      <c r="B189" s="57" t="n"/>
      <c r="C189" s="57" t="n"/>
      <c r="D189" s="57" t="n"/>
      <c r="E189" s="57" t="n"/>
      <c r="F189" s="57" t="n"/>
      <c r="G189" s="57" t="n"/>
      <c r="H189" s="57" t="n"/>
    </row>
    <row r="190" ht="15.75" customHeight="1" s="94">
      <c r="A190" s="57" t="n"/>
      <c r="B190" s="57" t="n"/>
      <c r="C190" s="57" t="n"/>
      <c r="D190" s="57" t="n"/>
      <c r="E190" s="57" t="n"/>
      <c r="F190" s="57" t="n"/>
      <c r="G190" s="57" t="n"/>
      <c r="H190" s="57" t="n"/>
    </row>
    <row r="191" ht="15.75" customHeight="1" s="94">
      <c r="A191" s="57" t="n"/>
      <c r="B191" s="57" t="n"/>
      <c r="C191" s="57" t="n"/>
      <c r="D191" s="57" t="n"/>
      <c r="E191" s="57" t="n"/>
      <c r="F191" s="57" t="n"/>
      <c r="G191" s="57" t="n"/>
      <c r="H191" s="57" t="n"/>
    </row>
    <row r="192" ht="15.75" customHeight="1" s="94">
      <c r="A192" s="57" t="n"/>
      <c r="B192" s="57" t="n"/>
      <c r="C192" s="57" t="n"/>
      <c r="D192" s="57" t="n"/>
      <c r="E192" s="57" t="n"/>
      <c r="F192" s="57" t="n"/>
      <c r="G192" s="57" t="n"/>
      <c r="H192" s="57" t="n"/>
    </row>
    <row r="193" ht="15.75" customHeight="1" s="94">
      <c r="A193" s="57" t="n"/>
      <c r="B193" s="57" t="n"/>
      <c r="C193" s="57" t="n"/>
      <c r="D193" s="57" t="n"/>
      <c r="E193" s="57" t="n"/>
      <c r="F193" s="57" t="n"/>
      <c r="G193" s="57" t="n"/>
      <c r="H193" s="57" t="n"/>
    </row>
    <row r="194" ht="15.75" customHeight="1" s="94">
      <c r="A194" s="57" t="n"/>
      <c r="B194" s="57" t="n"/>
      <c r="C194" s="57" t="n"/>
      <c r="D194" s="57" t="n"/>
      <c r="E194" s="57" t="n"/>
      <c r="F194" s="57" t="n"/>
      <c r="G194" s="57" t="n"/>
      <c r="H194" s="57" t="n"/>
    </row>
    <row r="195" ht="15.75" customHeight="1" s="94">
      <c r="A195" s="57" t="n"/>
      <c r="B195" s="57" t="n"/>
      <c r="C195" s="57" t="n"/>
      <c r="D195" s="57" t="n"/>
      <c r="E195" s="57" t="n"/>
      <c r="F195" s="57" t="n"/>
      <c r="G195" s="57" t="n"/>
      <c r="H195" s="57" t="n"/>
    </row>
    <row r="196" ht="15.75" customHeight="1" s="94">
      <c r="A196" s="57" t="n"/>
      <c r="B196" s="57" t="n"/>
      <c r="C196" s="57" t="n"/>
      <c r="D196" s="57" t="n"/>
      <c r="E196" s="57" t="n"/>
      <c r="F196" s="57" t="n"/>
      <c r="G196" s="57" t="n"/>
      <c r="H196" s="57" t="n"/>
    </row>
    <row r="197" ht="15.75" customHeight="1" s="94">
      <c r="A197" s="57" t="n"/>
      <c r="B197" s="57" t="n"/>
      <c r="C197" s="57" t="n"/>
      <c r="D197" s="57" t="n"/>
      <c r="E197" s="57" t="n"/>
      <c r="F197" s="57" t="n"/>
      <c r="G197" s="57" t="n"/>
      <c r="H197" s="57" t="n"/>
    </row>
    <row r="198" ht="15.75" customHeight="1" s="94">
      <c r="A198" s="57" t="n"/>
      <c r="B198" s="57" t="n"/>
      <c r="C198" s="57" t="n"/>
      <c r="D198" s="57" t="n"/>
      <c r="E198" s="57" t="n"/>
      <c r="F198" s="57" t="n"/>
      <c r="G198" s="57" t="n"/>
      <c r="H198" s="57" t="n"/>
    </row>
    <row r="199" ht="15.75" customHeight="1" s="94">
      <c r="A199" s="57" t="n"/>
      <c r="B199" s="57" t="n"/>
      <c r="C199" s="57" t="n"/>
      <c r="D199" s="57" t="n"/>
      <c r="E199" s="57" t="n"/>
      <c r="F199" s="57" t="n"/>
      <c r="G199" s="57" t="n"/>
      <c r="H199" s="57" t="n"/>
    </row>
    <row r="200" ht="15.75" customHeight="1" s="94">
      <c r="A200" s="57" t="n"/>
      <c r="B200" s="57" t="n"/>
      <c r="C200" s="57" t="n"/>
      <c r="D200" s="57" t="n"/>
      <c r="E200" s="57" t="n"/>
      <c r="F200" s="57" t="n"/>
      <c r="G200" s="57" t="n"/>
      <c r="H200" s="57" t="n"/>
    </row>
    <row r="201" ht="15.75" customHeight="1" s="94">
      <c r="A201" s="57" t="n"/>
      <c r="B201" s="57" t="n"/>
      <c r="C201" s="57" t="n"/>
      <c r="D201" s="57" t="n"/>
      <c r="E201" s="57" t="n"/>
      <c r="F201" s="57" t="n"/>
      <c r="G201" s="57" t="n"/>
      <c r="H201" s="57" t="n"/>
    </row>
    <row r="202" ht="15.75" customHeight="1" s="94">
      <c r="A202" s="57" t="n"/>
      <c r="B202" s="57" t="n"/>
      <c r="C202" s="57" t="n"/>
      <c r="D202" s="57" t="n"/>
      <c r="E202" s="57" t="n"/>
      <c r="F202" s="57" t="n"/>
      <c r="G202" s="57" t="n"/>
      <c r="H202" s="57" t="n"/>
    </row>
    <row r="203" ht="15.75" customHeight="1" s="94">
      <c r="A203" s="57" t="n"/>
      <c r="B203" s="57" t="n"/>
      <c r="C203" s="57" t="n"/>
      <c r="D203" s="57" t="n"/>
      <c r="E203" s="57" t="n"/>
      <c r="F203" s="57" t="n"/>
      <c r="G203" s="57" t="n"/>
      <c r="H203" s="57" t="n"/>
    </row>
    <row r="204" ht="15.75" customHeight="1" s="94">
      <c r="A204" s="57" t="n"/>
      <c r="B204" s="57" t="n"/>
      <c r="C204" s="57" t="n"/>
      <c r="D204" s="57" t="n"/>
      <c r="E204" s="57" t="n"/>
      <c r="F204" s="57" t="n"/>
      <c r="G204" s="57" t="n"/>
      <c r="H204" s="57" t="n"/>
    </row>
    <row r="205" ht="15.75" customHeight="1" s="94">
      <c r="A205" s="57" t="n"/>
      <c r="B205" s="57" t="n"/>
      <c r="C205" s="57" t="n"/>
      <c r="D205" s="57" t="n"/>
      <c r="E205" s="57" t="n"/>
      <c r="F205" s="57" t="n"/>
      <c r="G205" s="57" t="n"/>
      <c r="H205" s="57" t="n"/>
    </row>
    <row r="206" ht="15.75" customHeight="1" s="94">
      <c r="A206" s="57" t="n"/>
      <c r="B206" s="57" t="n"/>
      <c r="C206" s="57" t="n"/>
      <c r="D206" s="57" t="n"/>
      <c r="E206" s="57" t="n"/>
      <c r="F206" s="57" t="n"/>
      <c r="G206" s="57" t="n"/>
      <c r="H206" s="57" t="n"/>
    </row>
    <row r="207" ht="15.75" customHeight="1" s="94">
      <c r="A207" s="57" t="n"/>
      <c r="B207" s="57" t="n"/>
      <c r="C207" s="57" t="n"/>
      <c r="D207" s="57" t="n"/>
      <c r="E207" s="57" t="n"/>
      <c r="F207" s="57" t="n"/>
      <c r="G207" s="57" t="n"/>
      <c r="H207" s="57" t="n"/>
    </row>
    <row r="208" ht="15.75" customHeight="1" s="94">
      <c r="A208" s="57" t="n"/>
      <c r="B208" s="57" t="n"/>
      <c r="C208" s="57" t="n"/>
      <c r="D208" s="57" t="n"/>
      <c r="E208" s="57" t="n"/>
      <c r="F208" s="57" t="n"/>
      <c r="G208" s="57" t="n"/>
      <c r="H208" s="57" t="n"/>
    </row>
    <row r="209" ht="15.75" customHeight="1" s="94">
      <c r="A209" s="57" t="n"/>
      <c r="B209" s="57" t="n"/>
      <c r="C209" s="57" t="n"/>
      <c r="D209" s="57" t="n"/>
      <c r="E209" s="57" t="n"/>
      <c r="F209" s="57" t="n"/>
      <c r="G209" s="57" t="n"/>
      <c r="H209" s="57" t="n"/>
    </row>
    <row r="210" ht="15.75" customHeight="1" s="94">
      <c r="A210" s="57" t="n"/>
      <c r="B210" s="57" t="n"/>
      <c r="C210" s="57" t="n"/>
      <c r="D210" s="57" t="n"/>
      <c r="E210" s="57" t="n"/>
      <c r="F210" s="57" t="n"/>
      <c r="G210" s="57" t="n"/>
      <c r="H210" s="57" t="n"/>
    </row>
    <row r="211" ht="15.75" customHeight="1" s="94">
      <c r="A211" s="57" t="n"/>
      <c r="B211" s="57" t="n"/>
      <c r="C211" s="57" t="n"/>
      <c r="D211" s="57" t="n"/>
      <c r="E211" s="57" t="n"/>
      <c r="F211" s="57" t="n"/>
      <c r="G211" s="57" t="n"/>
      <c r="H211" s="57" t="n"/>
    </row>
    <row r="212" ht="15.75" customHeight="1" s="94">
      <c r="A212" s="57" t="n"/>
      <c r="B212" s="57" t="n"/>
      <c r="C212" s="57" t="n"/>
      <c r="D212" s="57" t="n"/>
      <c r="E212" s="57" t="n"/>
      <c r="F212" s="57" t="n"/>
      <c r="G212" s="57" t="n"/>
      <c r="H212" s="57" t="n"/>
    </row>
    <row r="213" ht="15.75" customHeight="1" s="94">
      <c r="A213" s="57" t="n"/>
      <c r="B213" s="57" t="n"/>
      <c r="C213" s="57" t="n"/>
      <c r="D213" s="57" t="n"/>
      <c r="E213" s="57" t="n"/>
      <c r="F213" s="57" t="n"/>
      <c r="G213" s="57" t="n"/>
      <c r="H213" s="57" t="n"/>
    </row>
    <row r="214" ht="15.75" customHeight="1" s="94">
      <c r="A214" s="57" t="n"/>
      <c r="B214" s="57" t="n"/>
      <c r="C214" s="57" t="n"/>
      <c r="D214" s="57" t="n"/>
      <c r="E214" s="57" t="n"/>
      <c r="F214" s="57" t="n"/>
      <c r="G214" s="57" t="n"/>
      <c r="H214" s="57" t="n"/>
    </row>
    <row r="215" ht="15.75" customHeight="1" s="94">
      <c r="A215" s="57" t="n"/>
      <c r="B215" s="57" t="n"/>
      <c r="C215" s="57" t="n"/>
      <c r="D215" s="57" t="n"/>
      <c r="E215" s="57" t="n"/>
      <c r="F215" s="57" t="n"/>
      <c r="G215" s="57" t="n"/>
      <c r="H215" s="57" t="n"/>
    </row>
    <row r="216" ht="15.75" customHeight="1" s="94">
      <c r="A216" s="57" t="n"/>
      <c r="B216" s="57" t="n"/>
      <c r="C216" s="57" t="n"/>
      <c r="D216" s="57" t="n"/>
      <c r="E216" s="57" t="n"/>
      <c r="F216" s="57" t="n"/>
      <c r="G216" s="57" t="n"/>
      <c r="H216" s="57" t="n"/>
    </row>
    <row r="217" ht="15.75" customHeight="1" s="94">
      <c r="A217" s="57" t="n"/>
      <c r="B217" s="57" t="n"/>
      <c r="C217" s="57" t="n"/>
      <c r="D217" s="57" t="n"/>
      <c r="E217" s="57" t="n"/>
      <c r="F217" s="57" t="n"/>
      <c r="G217" s="57" t="n"/>
      <c r="H217" s="57" t="n"/>
    </row>
    <row r="218" ht="15.75" customHeight="1" s="94">
      <c r="A218" s="57" t="n"/>
      <c r="B218" s="57" t="n"/>
      <c r="C218" s="57" t="n"/>
      <c r="D218" s="57" t="n"/>
      <c r="E218" s="57" t="n"/>
      <c r="F218" s="57" t="n"/>
      <c r="G218" s="57" t="n"/>
      <c r="H218" s="57" t="n"/>
    </row>
    <row r="219" ht="15.75" customHeight="1" s="94">
      <c r="A219" s="57" t="n"/>
      <c r="B219" s="57" t="n"/>
      <c r="C219" s="57" t="n"/>
      <c r="D219" s="57" t="n"/>
      <c r="E219" s="57" t="n"/>
      <c r="F219" s="57" t="n"/>
      <c r="G219" s="57" t="n"/>
      <c r="H219" s="57" t="n"/>
    </row>
    <row r="220" ht="15.75" customHeight="1" s="94">
      <c r="A220" s="57" t="n"/>
      <c r="B220" s="57" t="n"/>
      <c r="C220" s="57" t="n"/>
      <c r="D220" s="57" t="n"/>
      <c r="E220" s="57" t="n"/>
      <c r="F220" s="57" t="n"/>
      <c r="G220" s="57" t="n"/>
      <c r="H220" s="57" t="n"/>
    </row>
    <row r="221" ht="15.75" customHeight="1" s="94">
      <c r="A221" s="57" t="n"/>
      <c r="B221" s="57" t="n"/>
      <c r="C221" s="57" t="n"/>
      <c r="D221" s="57" t="n"/>
      <c r="E221" s="57" t="n"/>
      <c r="F221" s="57" t="n"/>
      <c r="G221" s="57" t="n"/>
      <c r="H221" s="57" t="n"/>
    </row>
    <row r="222" ht="15.75" customHeight="1" s="94">
      <c r="A222" s="57" t="n"/>
      <c r="B222" s="57" t="n"/>
      <c r="C222" s="57" t="n"/>
      <c r="D222" s="57" t="n"/>
      <c r="E222" s="57" t="n"/>
      <c r="F222" s="57" t="n"/>
      <c r="G222" s="57" t="n"/>
      <c r="H222" s="57" t="n"/>
    </row>
    <row r="223" ht="15.75" customHeight="1" s="94">
      <c r="A223" s="57" t="n"/>
      <c r="B223" s="57" t="n"/>
      <c r="C223" s="57" t="n"/>
      <c r="D223" s="57" t="n"/>
      <c r="E223" s="57" t="n"/>
      <c r="F223" s="57" t="n"/>
      <c r="G223" s="57" t="n"/>
      <c r="H223" s="57" t="n"/>
    </row>
    <row r="224" ht="15.75" customHeight="1" s="94">
      <c r="A224" s="57" t="n"/>
      <c r="B224" s="57" t="n"/>
      <c r="C224" s="57" t="n"/>
      <c r="D224" s="57" t="n"/>
      <c r="E224" s="57" t="n"/>
      <c r="F224" s="57" t="n"/>
      <c r="G224" s="57" t="n"/>
      <c r="H224" s="57" t="n"/>
    </row>
    <row r="225" ht="15.75" customHeight="1" s="94">
      <c r="A225" s="57" t="n"/>
      <c r="B225" s="57" t="n"/>
      <c r="C225" s="57" t="n"/>
      <c r="D225" s="57" t="n"/>
      <c r="E225" s="57" t="n"/>
      <c r="F225" s="57" t="n"/>
      <c r="G225" s="57" t="n"/>
      <c r="H225" s="57" t="n"/>
    </row>
    <row r="226" ht="15.75" customHeight="1" s="94">
      <c r="A226" s="57" t="n"/>
      <c r="B226" s="57" t="n"/>
      <c r="C226" s="57" t="n"/>
      <c r="D226" s="57" t="n"/>
      <c r="E226" s="57" t="n"/>
      <c r="F226" s="57" t="n"/>
      <c r="G226" s="57" t="n"/>
      <c r="H226" s="57" t="n"/>
    </row>
    <row r="227" ht="15.75" customHeight="1" s="94">
      <c r="A227" s="57" t="n"/>
      <c r="B227" s="57" t="n"/>
      <c r="C227" s="57" t="n"/>
      <c r="D227" s="57" t="n"/>
      <c r="E227" s="57" t="n"/>
      <c r="F227" s="57" t="n"/>
      <c r="G227" s="57" t="n"/>
      <c r="H227" s="57" t="n"/>
    </row>
    <row r="228" ht="15.75" customHeight="1" s="94">
      <c r="A228" s="57" t="n"/>
      <c r="B228" s="57" t="n"/>
      <c r="C228" s="57" t="n"/>
      <c r="D228" s="57" t="n"/>
      <c r="E228" s="57" t="n"/>
      <c r="F228" s="57" t="n"/>
      <c r="G228" s="57" t="n"/>
      <c r="H228" s="57" t="n"/>
    </row>
    <row r="229" ht="15.75" customHeight="1" s="94">
      <c r="A229" s="57" t="n"/>
      <c r="B229" s="57" t="n"/>
      <c r="C229" s="57" t="n"/>
      <c r="D229" s="57" t="n"/>
      <c r="E229" s="57" t="n"/>
      <c r="F229" s="57" t="n"/>
      <c r="G229" s="57" t="n"/>
      <c r="H229" s="57" t="n"/>
    </row>
    <row r="230" ht="15.75" customHeight="1" s="94">
      <c r="A230" s="57" t="n"/>
      <c r="B230" s="57" t="n"/>
      <c r="C230" s="57" t="n"/>
      <c r="D230" s="57" t="n"/>
      <c r="E230" s="57" t="n"/>
      <c r="F230" s="57" t="n"/>
      <c r="G230" s="57" t="n"/>
      <c r="H230" s="57" t="n"/>
    </row>
    <row r="231" ht="15.75" customHeight="1" s="94">
      <c r="A231" s="57" t="n"/>
      <c r="B231" s="57" t="n"/>
      <c r="C231" s="57" t="n"/>
      <c r="D231" s="57" t="n"/>
      <c r="E231" s="57" t="n"/>
      <c r="F231" s="57" t="n"/>
      <c r="G231" s="57" t="n"/>
      <c r="H231" s="57" t="n"/>
    </row>
    <row r="232" ht="15.75" customHeight="1" s="94">
      <c r="A232" s="57" t="n"/>
      <c r="B232" s="57" t="n"/>
      <c r="C232" s="57" t="n"/>
      <c r="D232" s="57" t="n"/>
      <c r="E232" s="57" t="n"/>
      <c r="F232" s="57" t="n"/>
      <c r="G232" s="57" t="n"/>
      <c r="H232" s="57" t="n"/>
    </row>
    <row r="233" ht="15.75" customHeight="1" s="94">
      <c r="A233" s="57" t="n"/>
      <c r="B233" s="57" t="n"/>
      <c r="C233" s="57" t="n"/>
      <c r="D233" s="57" t="n"/>
      <c r="E233" s="57" t="n"/>
      <c r="F233" s="57" t="n"/>
      <c r="G233" s="57" t="n"/>
      <c r="H233" s="57" t="n"/>
    </row>
    <row r="234" ht="15.75" customHeight="1" s="94">
      <c r="A234" s="57" t="n"/>
      <c r="B234" s="57" t="n"/>
      <c r="C234" s="57" t="n"/>
      <c r="D234" s="57" t="n"/>
      <c r="E234" s="57" t="n"/>
      <c r="F234" s="57" t="n"/>
      <c r="G234" s="57" t="n"/>
      <c r="H234" s="57" t="n"/>
    </row>
    <row r="235" ht="15.75" customHeight="1" s="94">
      <c r="A235" s="57" t="n"/>
      <c r="B235" s="57" t="n"/>
      <c r="C235" s="57" t="n"/>
      <c r="D235" s="57" t="n"/>
      <c r="E235" s="57" t="n"/>
      <c r="F235" s="57" t="n"/>
      <c r="G235" s="57" t="n"/>
      <c r="H235" s="57" t="n"/>
    </row>
    <row r="236" ht="15.75" customHeight="1" s="94">
      <c r="A236" s="57" t="n"/>
      <c r="B236" s="57" t="n"/>
      <c r="C236" s="57" t="n"/>
      <c r="D236" s="57" t="n"/>
      <c r="E236" s="57" t="n"/>
      <c r="F236" s="57" t="n"/>
      <c r="G236" s="57" t="n"/>
      <c r="H236" s="57" t="n"/>
    </row>
    <row r="237" ht="15.75" customHeight="1" s="94">
      <c r="A237" s="57" t="n"/>
      <c r="B237" s="57" t="n"/>
      <c r="C237" s="57" t="n"/>
      <c r="D237" s="57" t="n"/>
      <c r="E237" s="57" t="n"/>
      <c r="F237" s="57" t="n"/>
      <c r="G237" s="57" t="n"/>
      <c r="H237" s="57" t="n"/>
    </row>
    <row r="238" ht="15.75" customHeight="1" s="94">
      <c r="A238" s="57" t="n"/>
      <c r="B238" s="57" t="n"/>
      <c r="C238" s="57" t="n"/>
      <c r="D238" s="57" t="n"/>
      <c r="E238" s="57" t="n"/>
      <c r="F238" s="57" t="n"/>
      <c r="G238" s="57" t="n"/>
      <c r="H238" s="57" t="n"/>
    </row>
    <row r="239" ht="15.75" customHeight="1" s="94">
      <c r="A239" s="57" t="n"/>
      <c r="B239" s="57" t="n"/>
      <c r="C239" s="57" t="n"/>
      <c r="D239" s="57" t="n"/>
      <c r="E239" s="57" t="n"/>
      <c r="F239" s="57" t="n"/>
      <c r="G239" s="57" t="n"/>
      <c r="H239" s="57" t="n"/>
    </row>
    <row r="240" ht="15.75" customHeight="1" s="94">
      <c r="A240" s="57" t="n"/>
      <c r="B240" s="57" t="n"/>
      <c r="C240" s="57" t="n"/>
      <c r="D240" s="57" t="n"/>
      <c r="E240" s="57" t="n"/>
      <c r="F240" s="57" t="n"/>
      <c r="G240" s="57" t="n"/>
      <c r="H240" s="57" t="n"/>
    </row>
    <row r="241" ht="15.75" customHeight="1" s="94">
      <c r="A241" s="57" t="n"/>
      <c r="B241" s="57" t="n"/>
      <c r="C241" s="57" t="n"/>
      <c r="D241" s="57" t="n"/>
      <c r="E241" s="57" t="n"/>
      <c r="F241" s="57" t="n"/>
      <c r="G241" s="57" t="n"/>
      <c r="H241" s="57" t="n"/>
    </row>
    <row r="242" ht="15.75" customHeight="1" s="94">
      <c r="A242" s="57" t="n"/>
      <c r="B242" s="57" t="n"/>
      <c r="C242" s="57" t="n"/>
      <c r="D242" s="57" t="n"/>
      <c r="E242" s="57" t="n"/>
      <c r="F242" s="57" t="n"/>
      <c r="G242" s="57" t="n"/>
      <c r="H242" s="57" t="n"/>
    </row>
    <row r="243" ht="15.75" customHeight="1" s="94">
      <c r="A243" s="57" t="n"/>
      <c r="B243" s="57" t="n"/>
      <c r="C243" s="57" t="n"/>
      <c r="D243" s="57" t="n"/>
      <c r="E243" s="57" t="n"/>
      <c r="F243" s="57" t="n"/>
      <c r="G243" s="57" t="n"/>
      <c r="H243" s="57" t="n"/>
    </row>
    <row r="244" ht="15.75" customHeight="1" s="94">
      <c r="A244" s="57" t="n"/>
      <c r="B244" s="57" t="n"/>
      <c r="C244" s="57" t="n"/>
      <c r="D244" s="57" t="n"/>
      <c r="E244" s="57" t="n"/>
      <c r="F244" s="57" t="n"/>
      <c r="G244" s="57" t="n"/>
      <c r="H244" s="57" t="n"/>
    </row>
    <row r="245" ht="15.75" customHeight="1" s="94">
      <c r="A245" s="57" t="n"/>
      <c r="B245" s="57" t="n"/>
      <c r="C245" s="57" t="n"/>
      <c r="D245" s="57" t="n"/>
      <c r="E245" s="57" t="n"/>
      <c r="F245" s="57" t="n"/>
      <c r="G245" s="57" t="n"/>
      <c r="H245" s="57" t="n"/>
    </row>
    <row r="246" ht="15.75" customHeight="1" s="94">
      <c r="A246" s="57" t="n"/>
      <c r="B246" s="57" t="n"/>
      <c r="C246" s="57" t="n"/>
      <c r="D246" s="57" t="n"/>
      <c r="E246" s="57" t="n"/>
      <c r="F246" s="57" t="n"/>
      <c r="G246" s="57" t="n"/>
      <c r="H246" s="57" t="n"/>
    </row>
    <row r="247" ht="15.75" customHeight="1" s="94">
      <c r="A247" s="57" t="n"/>
      <c r="B247" s="57" t="n"/>
      <c r="C247" s="57" t="n"/>
      <c r="D247" s="57" t="n"/>
      <c r="E247" s="57" t="n"/>
      <c r="F247" s="57" t="n"/>
      <c r="G247" s="57" t="n"/>
      <c r="H247" s="57" t="n"/>
    </row>
    <row r="248" ht="15.75" customHeight="1" s="94">
      <c r="A248" s="57" t="n"/>
      <c r="B248" s="57" t="n"/>
      <c r="C248" s="57" t="n"/>
      <c r="D248" s="57" t="n"/>
      <c r="E248" s="57" t="n"/>
      <c r="F248" s="57" t="n"/>
      <c r="G248" s="57" t="n"/>
      <c r="H248" s="57" t="n"/>
    </row>
    <row r="249" ht="15.75" customHeight="1" s="94">
      <c r="A249" s="57" t="n"/>
      <c r="B249" s="57" t="n"/>
      <c r="C249" s="57" t="n"/>
      <c r="D249" s="57" t="n"/>
      <c r="E249" s="57" t="n"/>
      <c r="F249" s="57" t="n"/>
      <c r="G249" s="57" t="n"/>
      <c r="H249" s="57" t="n"/>
    </row>
    <row r="250" ht="15.75" customHeight="1" s="94">
      <c r="A250" s="57" t="n"/>
      <c r="B250" s="57" t="n"/>
      <c r="C250" s="57" t="n"/>
      <c r="D250" s="57" t="n"/>
      <c r="E250" s="57" t="n"/>
      <c r="F250" s="57" t="n"/>
      <c r="G250" s="57" t="n"/>
      <c r="H250" s="57" t="n"/>
    </row>
    <row r="251" ht="15.75" customHeight="1" s="94">
      <c r="A251" s="57" t="n"/>
      <c r="B251" s="57" t="n"/>
      <c r="C251" s="57" t="n"/>
      <c r="D251" s="57" t="n"/>
      <c r="E251" s="57" t="n"/>
      <c r="F251" s="57" t="n"/>
      <c r="G251" s="57" t="n"/>
      <c r="H251" s="57" t="n"/>
    </row>
    <row r="252" ht="15.75" customHeight="1" s="94">
      <c r="A252" s="57" t="n"/>
      <c r="B252" s="57" t="n"/>
      <c r="C252" s="57" t="n"/>
      <c r="D252" s="57" t="n"/>
      <c r="E252" s="57" t="n"/>
      <c r="F252" s="57" t="n"/>
      <c r="G252" s="57" t="n"/>
      <c r="H252" s="57" t="n"/>
    </row>
    <row r="253" ht="15.75" customHeight="1" s="94">
      <c r="A253" s="57" t="n"/>
      <c r="B253" s="57" t="n"/>
      <c r="C253" s="57" t="n"/>
      <c r="D253" s="57" t="n"/>
      <c r="E253" s="57" t="n"/>
      <c r="F253" s="57" t="n"/>
      <c r="G253" s="57" t="n"/>
      <c r="H253" s="57" t="n"/>
    </row>
    <row r="254" ht="15.75" customHeight="1" s="94">
      <c r="A254" s="57" t="n"/>
      <c r="B254" s="57" t="n"/>
      <c r="C254" s="57" t="n"/>
      <c r="D254" s="57" t="n"/>
      <c r="E254" s="57" t="n"/>
      <c r="F254" s="57" t="n"/>
      <c r="G254" s="57" t="n"/>
      <c r="H254" s="57" t="n"/>
    </row>
    <row r="255" ht="15.75" customHeight="1" s="94">
      <c r="A255" s="57" t="n"/>
      <c r="B255" s="57" t="n"/>
      <c r="C255" s="57" t="n"/>
      <c r="D255" s="57" t="n"/>
      <c r="E255" s="57" t="n"/>
      <c r="F255" s="57" t="n"/>
      <c r="G255" s="57" t="n"/>
      <c r="H255" s="57" t="n"/>
    </row>
    <row r="256" ht="15.75" customHeight="1" s="94">
      <c r="A256" s="57" t="n"/>
      <c r="B256" s="57" t="n"/>
      <c r="C256" s="57" t="n"/>
      <c r="D256" s="57" t="n"/>
      <c r="E256" s="57" t="n"/>
      <c r="F256" s="57" t="n"/>
      <c r="G256" s="57" t="n"/>
      <c r="H256" s="57" t="n"/>
    </row>
    <row r="257" ht="15.75" customHeight="1" s="94">
      <c r="A257" s="57" t="n"/>
      <c r="B257" s="57" t="n"/>
      <c r="C257" s="57" t="n"/>
      <c r="D257" s="57" t="n"/>
      <c r="E257" s="57" t="n"/>
      <c r="F257" s="57" t="n"/>
      <c r="G257" s="57" t="n"/>
      <c r="H257" s="57" t="n"/>
    </row>
    <row r="258" ht="15.75" customHeight="1" s="94">
      <c r="A258" s="57" t="n"/>
      <c r="B258" s="57" t="n"/>
      <c r="C258" s="57" t="n"/>
      <c r="D258" s="57" t="n"/>
      <c r="E258" s="57" t="n"/>
      <c r="F258" s="57" t="n"/>
      <c r="G258" s="57" t="n"/>
      <c r="H258" s="57" t="n"/>
    </row>
    <row r="259" ht="15.75" customHeight="1" s="94">
      <c r="A259" s="57" t="n"/>
      <c r="B259" s="57" t="n"/>
      <c r="C259" s="57" t="n"/>
      <c r="D259" s="57" t="n"/>
      <c r="E259" s="57" t="n"/>
      <c r="F259" s="57" t="n"/>
      <c r="G259" s="57" t="n"/>
      <c r="H259" s="57" t="n"/>
    </row>
    <row r="260" ht="15.75" customHeight="1" s="94">
      <c r="A260" s="57" t="n"/>
      <c r="B260" s="57" t="n"/>
      <c r="C260" s="57" t="n"/>
      <c r="D260" s="57" t="n"/>
      <c r="E260" s="57" t="n"/>
      <c r="F260" s="57" t="n"/>
      <c r="G260" s="57" t="n"/>
      <c r="H260" s="57" t="n"/>
    </row>
    <row r="261" ht="15.75" customHeight="1" s="94">
      <c r="A261" s="57" t="n"/>
      <c r="B261" s="57" t="n"/>
      <c r="C261" s="57" t="n"/>
      <c r="D261" s="57" t="n"/>
      <c r="E261" s="57" t="n"/>
      <c r="F261" s="57" t="n"/>
      <c r="G261" s="57" t="n"/>
      <c r="H261" s="57" t="n"/>
    </row>
    <row r="262" ht="15.75" customHeight="1" s="94">
      <c r="A262" s="57" t="n"/>
      <c r="B262" s="57" t="n"/>
      <c r="C262" s="57" t="n"/>
      <c r="D262" s="57" t="n"/>
      <c r="E262" s="57" t="n"/>
      <c r="F262" s="57" t="n"/>
      <c r="G262" s="57" t="n"/>
      <c r="H262" s="57" t="n"/>
    </row>
    <row r="263" ht="15.75" customHeight="1" s="94">
      <c r="A263" s="57" t="n"/>
      <c r="B263" s="57" t="n"/>
      <c r="C263" s="57" t="n"/>
      <c r="D263" s="57" t="n"/>
      <c r="E263" s="57" t="n"/>
      <c r="F263" s="57" t="n"/>
      <c r="G263" s="57" t="n"/>
      <c r="H263" s="57" t="n"/>
    </row>
    <row r="264" ht="15.75" customHeight="1" s="94">
      <c r="A264" s="57" t="n"/>
      <c r="B264" s="57" t="n"/>
      <c r="C264" s="57" t="n"/>
      <c r="D264" s="57" t="n"/>
      <c r="E264" s="57" t="n"/>
      <c r="F264" s="57" t="n"/>
      <c r="G264" s="57" t="n"/>
      <c r="H264" s="57" t="n"/>
    </row>
    <row r="265" ht="15.75" customHeight="1" s="94">
      <c r="A265" s="57" t="n"/>
      <c r="B265" s="57" t="n"/>
      <c r="C265" s="57" t="n"/>
      <c r="D265" s="57" t="n"/>
      <c r="E265" s="57" t="n"/>
      <c r="F265" s="57" t="n"/>
      <c r="G265" s="57" t="n"/>
      <c r="H265" s="57" t="n"/>
    </row>
    <row r="266" ht="15.75" customHeight="1" s="94">
      <c r="A266" s="57" t="n"/>
      <c r="B266" s="57" t="n"/>
      <c r="C266" s="57" t="n"/>
      <c r="D266" s="57" t="n"/>
      <c r="E266" s="57" t="n"/>
      <c r="F266" s="57" t="n"/>
      <c r="G266" s="57" t="n"/>
      <c r="H266" s="57" t="n"/>
    </row>
    <row r="267" ht="15.75" customHeight="1" s="94">
      <c r="A267" s="57" t="n"/>
      <c r="B267" s="57" t="n"/>
      <c r="C267" s="57" t="n"/>
      <c r="D267" s="57" t="n"/>
      <c r="E267" s="57" t="n"/>
      <c r="F267" s="57" t="n"/>
      <c r="G267" s="57" t="n"/>
      <c r="H267" s="57" t="n"/>
    </row>
    <row r="268" ht="15.75" customHeight="1" s="94">
      <c r="A268" s="57" t="n"/>
      <c r="B268" s="57" t="n"/>
      <c r="C268" s="57" t="n"/>
      <c r="D268" s="57" t="n"/>
      <c r="E268" s="57" t="n"/>
      <c r="F268" s="57" t="n"/>
      <c r="G268" s="57" t="n"/>
      <c r="H268" s="57" t="n"/>
    </row>
    <row r="269" ht="15.75" customHeight="1" s="94">
      <c r="A269" s="57" t="n"/>
      <c r="B269" s="57" t="n"/>
      <c r="C269" s="57" t="n"/>
      <c r="D269" s="57" t="n"/>
      <c r="E269" s="57" t="n"/>
      <c r="F269" s="57" t="n"/>
      <c r="G269" s="57" t="n"/>
      <c r="H269" s="57" t="n"/>
    </row>
    <row r="270" ht="15.75" customHeight="1" s="94">
      <c r="A270" s="57" t="n"/>
      <c r="B270" s="57" t="n"/>
      <c r="C270" s="57" t="n"/>
      <c r="D270" s="57" t="n"/>
      <c r="E270" s="57" t="n"/>
      <c r="F270" s="57" t="n"/>
      <c r="G270" s="57" t="n"/>
      <c r="H270" s="57" t="n"/>
    </row>
    <row r="271" ht="15.75" customHeight="1" s="94">
      <c r="A271" s="57" t="n"/>
      <c r="B271" s="57" t="n"/>
      <c r="C271" s="57" t="n"/>
      <c r="D271" s="57" t="n"/>
      <c r="E271" s="57" t="n"/>
      <c r="F271" s="57" t="n"/>
      <c r="G271" s="57" t="n"/>
      <c r="H271" s="57" t="n"/>
    </row>
    <row r="272" ht="15.75" customHeight="1" s="94">
      <c r="A272" s="57" t="n"/>
      <c r="B272" s="57" t="n"/>
      <c r="C272" s="57" t="n"/>
      <c r="D272" s="57" t="n"/>
      <c r="E272" s="57" t="n"/>
      <c r="F272" s="57" t="n"/>
      <c r="G272" s="57" t="n"/>
      <c r="H272" s="57" t="n"/>
    </row>
    <row r="273" ht="15.75" customHeight="1" s="94">
      <c r="A273" s="57" t="n"/>
      <c r="B273" s="57" t="n"/>
      <c r="C273" s="57" t="n"/>
      <c r="D273" s="57" t="n"/>
      <c r="E273" s="57" t="n"/>
      <c r="F273" s="57" t="n"/>
      <c r="G273" s="57" t="n"/>
      <c r="H273" s="57" t="n"/>
    </row>
    <row r="274" ht="15.75" customHeight="1" s="94">
      <c r="A274" s="57" t="n"/>
      <c r="B274" s="57" t="n"/>
      <c r="C274" s="57" t="n"/>
      <c r="D274" s="57" t="n"/>
      <c r="E274" s="57" t="n"/>
      <c r="F274" s="57" t="n"/>
      <c r="G274" s="57" t="n"/>
      <c r="H274" s="57" t="n"/>
    </row>
    <row r="275" ht="15.75" customHeight="1" s="94">
      <c r="A275" s="57" t="n"/>
      <c r="B275" s="57" t="n"/>
      <c r="C275" s="57" t="n"/>
      <c r="D275" s="57" t="n"/>
      <c r="E275" s="57" t="n"/>
      <c r="F275" s="57" t="n"/>
      <c r="G275" s="57" t="n"/>
      <c r="H275" s="57" t="n"/>
    </row>
    <row r="276" ht="15.75" customHeight="1" s="94">
      <c r="A276" s="57" t="n"/>
      <c r="B276" s="57" t="n"/>
      <c r="C276" s="57" t="n"/>
      <c r="D276" s="57" t="n"/>
      <c r="E276" s="57" t="n"/>
      <c r="F276" s="57" t="n"/>
      <c r="G276" s="57" t="n"/>
      <c r="H276" s="57" t="n"/>
    </row>
    <row r="277" ht="15.75" customHeight="1" s="94">
      <c r="A277" s="57" t="n"/>
      <c r="B277" s="57" t="n"/>
      <c r="C277" s="57" t="n"/>
      <c r="D277" s="57" t="n"/>
      <c r="E277" s="57" t="n"/>
      <c r="F277" s="57" t="n"/>
      <c r="G277" s="57" t="n"/>
      <c r="H277" s="57" t="n"/>
    </row>
    <row r="278" ht="15.75" customHeight="1" s="94">
      <c r="A278" s="57" t="n"/>
      <c r="B278" s="57" t="n"/>
      <c r="C278" s="57" t="n"/>
      <c r="D278" s="57" t="n"/>
      <c r="E278" s="57" t="n"/>
      <c r="F278" s="57" t="n"/>
      <c r="G278" s="57" t="n"/>
      <c r="H278" s="57" t="n"/>
    </row>
    <row r="279" ht="15.75" customHeight="1" s="94">
      <c r="A279" s="57" t="n"/>
      <c r="B279" s="57" t="n"/>
      <c r="C279" s="57" t="n"/>
      <c r="D279" s="57" t="n"/>
      <c r="E279" s="57" t="n"/>
      <c r="F279" s="57" t="n"/>
      <c r="G279" s="57" t="n"/>
      <c r="H279" s="57" t="n"/>
    </row>
    <row r="280" ht="15.75" customHeight="1" s="94">
      <c r="A280" s="57" t="n"/>
      <c r="B280" s="57" t="n"/>
      <c r="C280" s="57" t="n"/>
      <c r="D280" s="57" t="n"/>
      <c r="E280" s="57" t="n"/>
      <c r="F280" s="57" t="n"/>
      <c r="G280" s="57" t="n"/>
      <c r="H280" s="57" t="n"/>
    </row>
    <row r="281" ht="15.75" customHeight="1" s="94">
      <c r="A281" s="57" t="n"/>
      <c r="B281" s="57" t="n"/>
      <c r="C281" s="57" t="n"/>
      <c r="D281" s="57" t="n"/>
      <c r="E281" s="57" t="n"/>
      <c r="F281" s="57" t="n"/>
      <c r="G281" s="57" t="n"/>
      <c r="H281" s="57" t="n"/>
    </row>
    <row r="282" ht="15.75" customHeight="1" s="94">
      <c r="A282" s="57" t="n"/>
      <c r="B282" s="57" t="n"/>
      <c r="C282" s="57" t="n"/>
      <c r="D282" s="57" t="n"/>
      <c r="E282" s="57" t="n"/>
      <c r="F282" s="57" t="n"/>
      <c r="G282" s="57" t="n"/>
      <c r="H282" s="57" t="n"/>
    </row>
    <row r="283" ht="15.75" customHeight="1" s="94">
      <c r="A283" s="57" t="n"/>
      <c r="B283" s="57" t="n"/>
      <c r="C283" s="57" t="n"/>
      <c r="D283" s="57" t="n"/>
      <c r="E283" s="57" t="n"/>
      <c r="F283" s="57" t="n"/>
      <c r="G283" s="57" t="n"/>
      <c r="H283" s="57" t="n"/>
    </row>
    <row r="284" ht="15.75" customHeight="1" s="94">
      <c r="A284" s="57" t="n"/>
      <c r="B284" s="57" t="n"/>
      <c r="C284" s="57" t="n"/>
      <c r="D284" s="57" t="n"/>
      <c r="E284" s="57" t="n"/>
      <c r="F284" s="57" t="n"/>
      <c r="G284" s="57" t="n"/>
      <c r="H284" s="57" t="n"/>
    </row>
    <row r="285" ht="15.75" customHeight="1" s="94">
      <c r="A285" s="57" t="n"/>
      <c r="B285" s="57" t="n"/>
      <c r="C285" s="57" t="n"/>
      <c r="D285" s="57" t="n"/>
      <c r="E285" s="57" t="n"/>
      <c r="F285" s="57" t="n"/>
      <c r="G285" s="57" t="n"/>
      <c r="H285" s="57" t="n"/>
    </row>
    <row r="286" ht="15.75" customHeight="1" s="94">
      <c r="A286" s="57" t="n"/>
      <c r="B286" s="57" t="n"/>
      <c r="C286" s="57" t="n"/>
      <c r="D286" s="57" t="n"/>
      <c r="E286" s="57" t="n"/>
      <c r="F286" s="57" t="n"/>
      <c r="G286" s="57" t="n"/>
      <c r="H286" s="57" t="n"/>
    </row>
    <row r="287" ht="15.75" customHeight="1" s="94">
      <c r="A287" s="57" t="n"/>
      <c r="B287" s="57" t="n"/>
      <c r="C287" s="57" t="n"/>
      <c r="D287" s="57" t="n"/>
      <c r="E287" s="57" t="n"/>
      <c r="F287" s="57" t="n"/>
      <c r="G287" s="57" t="n"/>
      <c r="H287" s="57" t="n"/>
    </row>
    <row r="288" ht="15.75" customHeight="1" s="94">
      <c r="A288" s="57" t="n"/>
      <c r="B288" s="57" t="n"/>
      <c r="C288" s="57" t="n"/>
      <c r="D288" s="57" t="n"/>
      <c r="E288" s="57" t="n"/>
      <c r="F288" s="57" t="n"/>
      <c r="G288" s="57" t="n"/>
      <c r="H288" s="57" t="n"/>
    </row>
    <row r="289" ht="15.75" customHeight="1" s="94">
      <c r="A289" s="57" t="n"/>
      <c r="B289" s="57" t="n"/>
      <c r="C289" s="57" t="n"/>
      <c r="D289" s="57" t="n"/>
      <c r="E289" s="57" t="n"/>
      <c r="F289" s="57" t="n"/>
      <c r="G289" s="57" t="n"/>
      <c r="H289" s="57" t="n"/>
    </row>
    <row r="290" ht="15.75" customHeight="1" s="94">
      <c r="A290" s="57" t="n"/>
      <c r="B290" s="57" t="n"/>
      <c r="C290" s="57" t="n"/>
      <c r="D290" s="57" t="n"/>
      <c r="E290" s="57" t="n"/>
      <c r="F290" s="57" t="n"/>
      <c r="G290" s="57" t="n"/>
      <c r="H290" s="57" t="n"/>
    </row>
    <row r="291" ht="15.75" customHeight="1" s="94">
      <c r="A291" s="57" t="n"/>
      <c r="B291" s="57" t="n"/>
      <c r="C291" s="57" t="n"/>
      <c r="D291" s="57" t="n"/>
      <c r="E291" s="57" t="n"/>
      <c r="F291" s="57" t="n"/>
      <c r="G291" s="57" t="n"/>
      <c r="H291" s="57" t="n"/>
    </row>
    <row r="292" ht="15.75" customHeight="1" s="94">
      <c r="A292" s="57" t="n"/>
      <c r="B292" s="57" t="n"/>
      <c r="C292" s="57" t="n"/>
      <c r="D292" s="57" t="n"/>
      <c r="E292" s="57" t="n"/>
      <c r="F292" s="57" t="n"/>
      <c r="G292" s="57" t="n"/>
      <c r="H292" s="57" t="n"/>
    </row>
    <row r="293" ht="15.75" customHeight="1" s="94">
      <c r="A293" s="57" t="n"/>
      <c r="B293" s="57" t="n"/>
      <c r="C293" s="57" t="n"/>
      <c r="D293" s="57" t="n"/>
      <c r="E293" s="57" t="n"/>
      <c r="F293" s="57" t="n"/>
      <c r="G293" s="57" t="n"/>
      <c r="H293" s="57" t="n"/>
    </row>
    <row r="294" ht="15.75" customHeight="1" s="94">
      <c r="A294" s="57" t="n"/>
      <c r="B294" s="57" t="n"/>
      <c r="C294" s="57" t="n"/>
      <c r="D294" s="57" t="n"/>
      <c r="E294" s="57" t="n"/>
      <c r="F294" s="57" t="n"/>
      <c r="G294" s="57" t="n"/>
      <c r="H294" s="57" t="n"/>
    </row>
    <row r="295" ht="15.75" customHeight="1" s="94">
      <c r="A295" s="57" t="n"/>
      <c r="B295" s="57" t="n"/>
      <c r="C295" s="57" t="n"/>
      <c r="D295" s="57" t="n"/>
      <c r="E295" s="57" t="n"/>
      <c r="F295" s="57" t="n"/>
      <c r="G295" s="57" t="n"/>
      <c r="H295" s="57" t="n"/>
    </row>
    <row r="296" ht="15.75" customHeight="1" s="94">
      <c r="A296" s="57" t="n"/>
      <c r="B296" s="57" t="n"/>
      <c r="C296" s="57" t="n"/>
      <c r="D296" s="57" t="n"/>
      <c r="E296" s="57" t="n"/>
      <c r="F296" s="57" t="n"/>
      <c r="G296" s="57" t="n"/>
      <c r="H296" s="57" t="n"/>
    </row>
    <row r="297" ht="15.75" customHeight="1" s="94">
      <c r="A297" s="57" t="n"/>
      <c r="B297" s="57" t="n"/>
      <c r="C297" s="57" t="n"/>
      <c r="D297" s="57" t="n"/>
      <c r="E297" s="57" t="n"/>
      <c r="F297" s="57" t="n"/>
      <c r="G297" s="57" t="n"/>
      <c r="H297" s="57" t="n"/>
    </row>
    <row r="298" ht="15.75" customHeight="1" s="94">
      <c r="A298" s="57" t="n"/>
      <c r="B298" s="57" t="n"/>
      <c r="C298" s="57" t="n"/>
      <c r="D298" s="57" t="n"/>
      <c r="E298" s="57" t="n"/>
      <c r="F298" s="57" t="n"/>
      <c r="G298" s="57" t="n"/>
      <c r="H298" s="57" t="n"/>
    </row>
    <row r="299" ht="15.75" customHeight="1" s="94">
      <c r="A299" s="57" t="n"/>
      <c r="B299" s="57" t="n"/>
      <c r="C299" s="57" t="n"/>
      <c r="D299" s="57" t="n"/>
      <c r="E299" s="57" t="n"/>
      <c r="F299" s="57" t="n"/>
      <c r="G299" s="57" t="n"/>
      <c r="H299" s="57" t="n"/>
    </row>
    <row r="300" ht="15.75" customHeight="1" s="94">
      <c r="A300" s="57" t="n"/>
      <c r="B300" s="57" t="n"/>
      <c r="C300" s="57" t="n"/>
      <c r="D300" s="57" t="n"/>
      <c r="E300" s="57" t="n"/>
      <c r="F300" s="57" t="n"/>
      <c r="G300" s="57" t="n"/>
      <c r="H300" s="57" t="n"/>
    </row>
    <row r="301" ht="15.75" customHeight="1" s="94">
      <c r="A301" s="57" t="n"/>
      <c r="B301" s="57" t="n"/>
      <c r="C301" s="57" t="n"/>
      <c r="D301" s="57" t="n"/>
      <c r="E301" s="57" t="n"/>
      <c r="F301" s="57" t="n"/>
      <c r="G301" s="57" t="n"/>
      <c r="H301" s="57" t="n"/>
    </row>
    <row r="302" ht="15.75" customHeight="1" s="94">
      <c r="A302" s="57" t="n"/>
      <c r="B302" s="57" t="n"/>
      <c r="C302" s="57" t="n"/>
      <c r="D302" s="57" t="n"/>
      <c r="E302" s="57" t="n"/>
      <c r="F302" s="57" t="n"/>
      <c r="G302" s="57" t="n"/>
      <c r="H302" s="57" t="n"/>
    </row>
    <row r="303" ht="15.75" customHeight="1" s="94">
      <c r="A303" s="57" t="n"/>
      <c r="B303" s="57" t="n"/>
      <c r="C303" s="57" t="n"/>
      <c r="D303" s="57" t="n"/>
      <c r="E303" s="57" t="n"/>
      <c r="F303" s="57" t="n"/>
      <c r="G303" s="57" t="n"/>
      <c r="H303" s="57" t="n"/>
    </row>
    <row r="304" ht="15.75" customHeight="1" s="94">
      <c r="A304" s="57" t="n"/>
      <c r="B304" s="57" t="n"/>
      <c r="C304" s="57" t="n"/>
      <c r="D304" s="57" t="n"/>
      <c r="E304" s="57" t="n"/>
      <c r="F304" s="57" t="n"/>
      <c r="G304" s="57" t="n"/>
      <c r="H304" s="57" t="n"/>
    </row>
    <row r="305" ht="15.75" customHeight="1" s="94">
      <c r="A305" s="57" t="n"/>
      <c r="B305" s="57" t="n"/>
      <c r="C305" s="57" t="n"/>
      <c r="D305" s="57" t="n"/>
      <c r="E305" s="57" t="n"/>
      <c r="F305" s="57" t="n"/>
      <c r="G305" s="57" t="n"/>
      <c r="H305" s="57" t="n"/>
    </row>
    <row r="306" ht="15.75" customHeight="1" s="94">
      <c r="A306" s="57" t="n"/>
      <c r="B306" s="57" t="n"/>
      <c r="C306" s="57" t="n"/>
      <c r="D306" s="57" t="n"/>
      <c r="E306" s="57" t="n"/>
      <c r="F306" s="57" t="n"/>
      <c r="G306" s="57" t="n"/>
      <c r="H306" s="57" t="n"/>
    </row>
    <row r="307" ht="15.75" customHeight="1" s="94">
      <c r="A307" s="57" t="n"/>
      <c r="B307" s="57" t="n"/>
      <c r="C307" s="57" t="n"/>
      <c r="D307" s="57" t="n"/>
      <c r="E307" s="57" t="n"/>
      <c r="F307" s="57" t="n"/>
      <c r="G307" s="57" t="n"/>
      <c r="H307" s="57" t="n"/>
    </row>
    <row r="308" ht="15.75" customHeight="1" s="94">
      <c r="A308" s="57" t="n"/>
      <c r="B308" s="57" t="n"/>
      <c r="C308" s="57" t="n"/>
      <c r="D308" s="57" t="n"/>
      <c r="E308" s="57" t="n"/>
      <c r="F308" s="57" t="n"/>
      <c r="G308" s="57" t="n"/>
      <c r="H308" s="57" t="n"/>
    </row>
    <row r="309" ht="15.75" customHeight="1" s="94">
      <c r="A309" s="57" t="n"/>
      <c r="B309" s="57" t="n"/>
      <c r="C309" s="57" t="n"/>
      <c r="D309" s="57" t="n"/>
      <c r="E309" s="57" t="n"/>
      <c r="F309" s="57" t="n"/>
      <c r="G309" s="57" t="n"/>
      <c r="H309" s="57" t="n"/>
    </row>
    <row r="310" ht="15.75" customHeight="1" s="94">
      <c r="A310" s="57" t="n"/>
      <c r="B310" s="57" t="n"/>
      <c r="C310" s="57" t="n"/>
      <c r="D310" s="57" t="n"/>
      <c r="E310" s="57" t="n"/>
      <c r="F310" s="57" t="n"/>
      <c r="G310" s="57" t="n"/>
      <c r="H310" s="57" t="n"/>
    </row>
    <row r="311" ht="15.75" customHeight="1" s="94">
      <c r="A311" s="57" t="n"/>
      <c r="B311" s="57" t="n"/>
      <c r="C311" s="57" t="n"/>
      <c r="D311" s="57" t="n"/>
      <c r="E311" s="57" t="n"/>
      <c r="F311" s="57" t="n"/>
      <c r="G311" s="57" t="n"/>
      <c r="H311" s="57" t="n"/>
    </row>
    <row r="312" ht="15.75" customHeight="1" s="94">
      <c r="A312" s="57" t="n"/>
      <c r="B312" s="57" t="n"/>
      <c r="C312" s="57" t="n"/>
      <c r="D312" s="57" t="n"/>
      <c r="E312" s="57" t="n"/>
      <c r="F312" s="57" t="n"/>
      <c r="G312" s="57" t="n"/>
      <c r="H312" s="57" t="n"/>
    </row>
    <row r="313" ht="15.75" customHeight="1" s="94">
      <c r="A313" s="57" t="n"/>
      <c r="B313" s="57" t="n"/>
      <c r="C313" s="57" t="n"/>
      <c r="D313" s="57" t="n"/>
      <c r="E313" s="57" t="n"/>
      <c r="F313" s="57" t="n"/>
      <c r="G313" s="57" t="n"/>
      <c r="H313" s="57" t="n"/>
    </row>
    <row r="314" ht="15.75" customHeight="1" s="94">
      <c r="A314" s="57" t="n"/>
      <c r="B314" s="57" t="n"/>
      <c r="C314" s="57" t="n"/>
      <c r="D314" s="57" t="n"/>
      <c r="E314" s="57" t="n"/>
      <c r="F314" s="57" t="n"/>
      <c r="G314" s="57" t="n"/>
      <c r="H314" s="57" t="n"/>
    </row>
    <row r="315" ht="15.75" customHeight="1" s="94">
      <c r="A315" s="57" t="n"/>
      <c r="B315" s="57" t="n"/>
      <c r="C315" s="57" t="n"/>
      <c r="D315" s="57" t="n"/>
      <c r="E315" s="57" t="n"/>
      <c r="F315" s="57" t="n"/>
      <c r="G315" s="57" t="n"/>
      <c r="H315" s="57" t="n"/>
    </row>
    <row r="316" ht="15.75" customHeight="1" s="94">
      <c r="A316" s="57" t="n"/>
      <c r="B316" s="57" t="n"/>
      <c r="C316" s="57" t="n"/>
      <c r="D316" s="57" t="n"/>
      <c r="E316" s="57" t="n"/>
      <c r="F316" s="57" t="n"/>
      <c r="G316" s="57" t="n"/>
      <c r="H316" s="57" t="n"/>
    </row>
    <row r="317" ht="15.75" customHeight="1" s="94">
      <c r="A317" s="57" t="n"/>
      <c r="B317" s="57" t="n"/>
      <c r="C317" s="57" t="n"/>
      <c r="D317" s="57" t="n"/>
      <c r="E317" s="57" t="n"/>
      <c r="F317" s="57" t="n"/>
      <c r="G317" s="57" t="n"/>
      <c r="H317" s="57" t="n"/>
    </row>
    <row r="318" ht="15.75" customHeight="1" s="94">
      <c r="A318" s="57" t="n"/>
      <c r="B318" s="57" t="n"/>
      <c r="C318" s="57" t="n"/>
      <c r="D318" s="57" t="n"/>
      <c r="E318" s="57" t="n"/>
      <c r="F318" s="57" t="n"/>
      <c r="G318" s="57" t="n"/>
      <c r="H318" s="57" t="n"/>
    </row>
    <row r="319" ht="15.75" customHeight="1" s="94">
      <c r="A319" s="57" t="n"/>
      <c r="B319" s="57" t="n"/>
      <c r="C319" s="57" t="n"/>
      <c r="D319" s="57" t="n"/>
      <c r="E319" s="57" t="n"/>
      <c r="F319" s="57" t="n"/>
      <c r="G319" s="57" t="n"/>
      <c r="H319" s="57" t="n"/>
    </row>
    <row r="320" ht="15.75" customHeight="1" s="94">
      <c r="A320" s="57" t="n"/>
      <c r="B320" s="57" t="n"/>
      <c r="C320" s="57" t="n"/>
      <c r="D320" s="57" t="n"/>
      <c r="E320" s="57" t="n"/>
      <c r="F320" s="57" t="n"/>
      <c r="G320" s="57" t="n"/>
      <c r="H320" s="57" t="n"/>
    </row>
    <row r="321" ht="15.75" customHeight="1" s="94">
      <c r="A321" s="57" t="n"/>
      <c r="B321" s="57" t="n"/>
      <c r="C321" s="57" t="n"/>
      <c r="D321" s="57" t="n"/>
      <c r="E321" s="57" t="n"/>
      <c r="F321" s="57" t="n"/>
      <c r="G321" s="57" t="n"/>
      <c r="H321" s="57" t="n"/>
    </row>
    <row r="322" ht="15.75" customHeight="1" s="94">
      <c r="A322" s="57" t="n"/>
      <c r="B322" s="57" t="n"/>
      <c r="C322" s="57" t="n"/>
      <c r="D322" s="57" t="n"/>
      <c r="E322" s="57" t="n"/>
      <c r="F322" s="57" t="n"/>
      <c r="G322" s="57" t="n"/>
      <c r="H322" s="57" t="n"/>
    </row>
    <row r="323" ht="15.75" customHeight="1" s="94">
      <c r="A323" s="57" t="n"/>
      <c r="B323" s="57" t="n"/>
      <c r="C323" s="57" t="n"/>
      <c r="D323" s="57" t="n"/>
      <c r="E323" s="57" t="n"/>
      <c r="F323" s="57" t="n"/>
      <c r="G323" s="57" t="n"/>
      <c r="H323" s="57" t="n"/>
    </row>
    <row r="324" ht="15.75" customHeight="1" s="94">
      <c r="A324" s="57" t="n"/>
      <c r="B324" s="57" t="n"/>
      <c r="C324" s="57" t="n"/>
      <c r="D324" s="57" t="n"/>
      <c r="E324" s="57" t="n"/>
      <c r="F324" s="57" t="n"/>
      <c r="G324" s="57" t="n"/>
      <c r="H324" s="57" t="n"/>
    </row>
    <row r="325" ht="15.75" customHeight="1" s="94">
      <c r="A325" s="57" t="n"/>
      <c r="B325" s="57" t="n"/>
      <c r="C325" s="57" t="n"/>
      <c r="D325" s="57" t="n"/>
      <c r="E325" s="57" t="n"/>
      <c r="F325" s="57" t="n"/>
      <c r="G325" s="57" t="n"/>
      <c r="H325" s="57" t="n"/>
    </row>
    <row r="326" ht="15.75" customHeight="1" s="94">
      <c r="A326" s="57" t="n"/>
      <c r="B326" s="57" t="n"/>
      <c r="C326" s="57" t="n"/>
      <c r="D326" s="57" t="n"/>
      <c r="E326" s="57" t="n"/>
      <c r="F326" s="57" t="n"/>
      <c r="G326" s="57" t="n"/>
      <c r="H326" s="57" t="n"/>
    </row>
    <row r="327" ht="15.75" customHeight="1" s="94">
      <c r="A327" s="57" t="n"/>
      <c r="B327" s="57" t="n"/>
      <c r="C327" s="57" t="n"/>
      <c r="D327" s="57" t="n"/>
      <c r="E327" s="57" t="n"/>
      <c r="F327" s="57" t="n"/>
      <c r="G327" s="57" t="n"/>
      <c r="H327" s="57" t="n"/>
    </row>
    <row r="328" ht="15.75" customHeight="1" s="94">
      <c r="A328" s="57" t="n"/>
      <c r="B328" s="57" t="n"/>
      <c r="C328" s="57" t="n"/>
      <c r="D328" s="57" t="n"/>
      <c r="E328" s="57" t="n"/>
      <c r="F328" s="57" t="n"/>
      <c r="G328" s="57" t="n"/>
      <c r="H328" s="57" t="n"/>
    </row>
    <row r="329" ht="15.75" customHeight="1" s="94">
      <c r="A329" s="57" t="n"/>
      <c r="B329" s="57" t="n"/>
      <c r="C329" s="57" t="n"/>
      <c r="D329" s="57" t="n"/>
      <c r="E329" s="57" t="n"/>
      <c r="F329" s="57" t="n"/>
      <c r="G329" s="57" t="n"/>
      <c r="H329" s="57" t="n"/>
    </row>
    <row r="330" ht="15.75" customHeight="1" s="94">
      <c r="A330" s="57" t="n"/>
      <c r="B330" s="57" t="n"/>
      <c r="C330" s="57" t="n"/>
      <c r="D330" s="57" t="n"/>
      <c r="E330" s="57" t="n"/>
      <c r="F330" s="57" t="n"/>
      <c r="G330" s="57" t="n"/>
      <c r="H330" s="57" t="n"/>
    </row>
    <row r="331" ht="15.75" customHeight="1" s="94">
      <c r="A331" s="57" t="n"/>
      <c r="B331" s="57" t="n"/>
      <c r="C331" s="57" t="n"/>
      <c r="D331" s="57" t="n"/>
      <c r="E331" s="57" t="n"/>
      <c r="F331" s="57" t="n"/>
      <c r="G331" s="57" t="n"/>
      <c r="H331" s="57" t="n"/>
    </row>
    <row r="332" ht="15.75" customHeight="1" s="94">
      <c r="A332" s="57" t="n"/>
      <c r="B332" s="57" t="n"/>
      <c r="C332" s="57" t="n"/>
      <c r="D332" s="57" t="n"/>
      <c r="E332" s="57" t="n"/>
      <c r="F332" s="57" t="n"/>
      <c r="G332" s="57" t="n"/>
      <c r="H332" s="57" t="n"/>
    </row>
    <row r="333" ht="15.75" customHeight="1" s="94">
      <c r="A333" s="57" t="n"/>
      <c r="B333" s="57" t="n"/>
      <c r="C333" s="57" t="n"/>
      <c r="D333" s="57" t="n"/>
      <c r="E333" s="57" t="n"/>
      <c r="F333" s="57" t="n"/>
      <c r="G333" s="57" t="n"/>
      <c r="H333" s="57" t="n"/>
    </row>
    <row r="334" ht="15.75" customHeight="1" s="94">
      <c r="A334" s="57" t="n"/>
      <c r="B334" s="57" t="n"/>
      <c r="C334" s="57" t="n"/>
      <c r="D334" s="57" t="n"/>
      <c r="E334" s="57" t="n"/>
      <c r="F334" s="57" t="n"/>
      <c r="G334" s="57" t="n"/>
      <c r="H334" s="57" t="n"/>
    </row>
    <row r="335" ht="15.75" customHeight="1" s="94">
      <c r="A335" s="57" t="n"/>
      <c r="B335" s="57" t="n"/>
      <c r="C335" s="57" t="n"/>
      <c r="D335" s="57" t="n"/>
      <c r="E335" s="57" t="n"/>
      <c r="F335" s="57" t="n"/>
      <c r="G335" s="57" t="n"/>
      <c r="H335" s="57" t="n"/>
    </row>
    <row r="336" ht="15.75" customHeight="1" s="94">
      <c r="A336" s="57" t="n"/>
      <c r="B336" s="57" t="n"/>
      <c r="C336" s="57" t="n"/>
      <c r="D336" s="57" t="n"/>
      <c r="E336" s="57" t="n"/>
      <c r="F336" s="57" t="n"/>
      <c r="G336" s="57" t="n"/>
      <c r="H336" s="57" t="n"/>
    </row>
    <row r="337" ht="15.75" customHeight="1" s="94">
      <c r="A337" s="57" t="n"/>
      <c r="B337" s="57" t="n"/>
      <c r="C337" s="57" t="n"/>
      <c r="D337" s="57" t="n"/>
      <c r="E337" s="57" t="n"/>
      <c r="F337" s="57" t="n"/>
      <c r="G337" s="57" t="n"/>
      <c r="H337" s="57" t="n"/>
    </row>
    <row r="338" ht="15.75" customHeight="1" s="94">
      <c r="A338" s="57" t="n"/>
      <c r="B338" s="57" t="n"/>
      <c r="C338" s="57" t="n"/>
      <c r="D338" s="57" t="n"/>
      <c r="E338" s="57" t="n"/>
      <c r="F338" s="57" t="n"/>
      <c r="G338" s="57" t="n"/>
      <c r="H338" s="57" t="n"/>
    </row>
    <row r="339" ht="15.75" customHeight="1" s="94">
      <c r="A339" s="57" t="n"/>
      <c r="B339" s="57" t="n"/>
      <c r="C339" s="57" t="n"/>
      <c r="D339" s="57" t="n"/>
      <c r="E339" s="57" t="n"/>
      <c r="F339" s="57" t="n"/>
      <c r="G339" s="57" t="n"/>
      <c r="H339" s="57" t="n"/>
    </row>
    <row r="340" ht="15.75" customHeight="1" s="94">
      <c r="A340" s="57" t="n"/>
      <c r="B340" s="57" t="n"/>
      <c r="C340" s="57" t="n"/>
      <c r="D340" s="57" t="n"/>
      <c r="E340" s="57" t="n"/>
      <c r="F340" s="57" t="n"/>
      <c r="G340" s="57" t="n"/>
      <c r="H340" s="57" t="n"/>
    </row>
    <row r="341" ht="15.75" customHeight="1" s="94">
      <c r="A341" s="57" t="n"/>
      <c r="B341" s="57" t="n"/>
      <c r="C341" s="57" t="n"/>
      <c r="D341" s="57" t="n"/>
      <c r="E341" s="57" t="n"/>
      <c r="F341" s="57" t="n"/>
      <c r="G341" s="57" t="n"/>
      <c r="H341" s="57" t="n"/>
    </row>
    <row r="342" ht="15.75" customHeight="1" s="94">
      <c r="A342" s="57" t="n"/>
      <c r="B342" s="57" t="n"/>
      <c r="C342" s="57" t="n"/>
      <c r="D342" s="57" t="n"/>
      <c r="E342" s="57" t="n"/>
      <c r="F342" s="57" t="n"/>
      <c r="G342" s="57" t="n"/>
      <c r="H342" s="57" t="n"/>
    </row>
    <row r="343" ht="15.75" customHeight="1" s="94">
      <c r="A343" s="57" t="n"/>
      <c r="B343" s="57" t="n"/>
      <c r="C343" s="57" t="n"/>
      <c r="D343" s="57" t="n"/>
      <c r="E343" s="57" t="n"/>
      <c r="F343" s="57" t="n"/>
      <c r="G343" s="57" t="n"/>
      <c r="H343" s="57" t="n"/>
    </row>
    <row r="344" ht="15.75" customHeight="1" s="94">
      <c r="A344" s="57" t="n"/>
      <c r="B344" s="57" t="n"/>
      <c r="C344" s="57" t="n"/>
      <c r="D344" s="57" t="n"/>
      <c r="E344" s="57" t="n"/>
      <c r="F344" s="57" t="n"/>
      <c r="G344" s="57" t="n"/>
      <c r="H344" s="57" t="n"/>
    </row>
    <row r="345" ht="15.75" customHeight="1" s="94">
      <c r="A345" s="57" t="n"/>
      <c r="B345" s="57" t="n"/>
      <c r="C345" s="57" t="n"/>
      <c r="D345" s="57" t="n"/>
      <c r="E345" s="57" t="n"/>
      <c r="F345" s="57" t="n"/>
      <c r="G345" s="57" t="n"/>
      <c r="H345" s="57" t="n"/>
    </row>
    <row r="346" ht="15.75" customHeight="1" s="94">
      <c r="A346" s="57" t="n"/>
      <c r="B346" s="57" t="n"/>
      <c r="C346" s="57" t="n"/>
      <c r="D346" s="57" t="n"/>
      <c r="E346" s="57" t="n"/>
      <c r="F346" s="57" t="n"/>
      <c r="G346" s="57" t="n"/>
      <c r="H346" s="57" t="n"/>
    </row>
    <row r="347" ht="15.75" customHeight="1" s="94">
      <c r="A347" s="57" t="n"/>
      <c r="B347" s="57" t="n"/>
      <c r="C347" s="57" t="n"/>
      <c r="D347" s="57" t="n"/>
      <c r="E347" s="57" t="n"/>
      <c r="F347" s="57" t="n"/>
      <c r="G347" s="57" t="n"/>
      <c r="H347" s="57" t="n"/>
    </row>
    <row r="348" ht="15.75" customHeight="1" s="94">
      <c r="A348" s="57" t="n"/>
      <c r="B348" s="57" t="n"/>
      <c r="C348" s="57" t="n"/>
      <c r="D348" s="57" t="n"/>
      <c r="E348" s="57" t="n"/>
      <c r="F348" s="57" t="n"/>
      <c r="G348" s="57" t="n"/>
      <c r="H348" s="57" t="n"/>
    </row>
    <row r="349" ht="15.75" customHeight="1" s="94">
      <c r="A349" s="57" t="n"/>
      <c r="B349" s="57" t="n"/>
      <c r="C349" s="57" t="n"/>
      <c r="D349" s="57" t="n"/>
      <c r="E349" s="57" t="n"/>
      <c r="F349" s="57" t="n"/>
      <c r="G349" s="57" t="n"/>
      <c r="H349" s="57" t="n"/>
    </row>
    <row r="350" ht="15.75" customHeight="1" s="94">
      <c r="A350" s="57" t="n"/>
      <c r="B350" s="57" t="n"/>
      <c r="C350" s="57" t="n"/>
      <c r="D350" s="57" t="n"/>
      <c r="E350" s="57" t="n"/>
      <c r="F350" s="57" t="n"/>
      <c r="G350" s="57" t="n"/>
      <c r="H350" s="57" t="n"/>
    </row>
    <row r="351" ht="15.75" customHeight="1" s="94">
      <c r="A351" s="57" t="n"/>
      <c r="B351" s="57" t="n"/>
      <c r="C351" s="57" t="n"/>
      <c r="D351" s="57" t="n"/>
      <c r="E351" s="57" t="n"/>
      <c r="F351" s="57" t="n"/>
      <c r="G351" s="57" t="n"/>
      <c r="H351" s="57" t="n"/>
    </row>
    <row r="352" ht="15.75" customHeight="1" s="94">
      <c r="A352" s="57" t="n"/>
      <c r="B352" s="57" t="n"/>
      <c r="C352" s="57" t="n"/>
      <c r="D352" s="57" t="n"/>
      <c r="E352" s="57" t="n"/>
      <c r="F352" s="57" t="n"/>
      <c r="G352" s="57" t="n"/>
      <c r="H352" s="57" t="n"/>
    </row>
    <row r="353" ht="15.75" customHeight="1" s="94">
      <c r="A353" s="57" t="n"/>
      <c r="B353" s="57" t="n"/>
      <c r="C353" s="57" t="n"/>
      <c r="D353" s="57" t="n"/>
      <c r="E353" s="57" t="n"/>
      <c r="F353" s="57" t="n"/>
      <c r="G353" s="57" t="n"/>
      <c r="H353" s="57" t="n"/>
    </row>
    <row r="354" ht="15.75" customHeight="1" s="94">
      <c r="A354" s="57" t="n"/>
      <c r="B354" s="57" t="n"/>
      <c r="C354" s="57" t="n"/>
      <c r="D354" s="57" t="n"/>
      <c r="E354" s="57" t="n"/>
      <c r="F354" s="57" t="n"/>
      <c r="G354" s="57" t="n"/>
      <c r="H354" s="57" t="n"/>
    </row>
    <row r="355" ht="15.75" customHeight="1" s="94">
      <c r="A355" s="57" t="n"/>
      <c r="B355" s="57" t="n"/>
      <c r="C355" s="57" t="n"/>
      <c r="D355" s="57" t="n"/>
      <c r="E355" s="57" t="n"/>
      <c r="F355" s="57" t="n"/>
      <c r="G355" s="57" t="n"/>
      <c r="H355" s="57" t="n"/>
    </row>
    <row r="356" ht="15.75" customHeight="1" s="94">
      <c r="A356" s="57" t="n"/>
      <c r="B356" s="57" t="n"/>
      <c r="C356" s="57" t="n"/>
      <c r="D356" s="57" t="n"/>
      <c r="E356" s="57" t="n"/>
      <c r="F356" s="57" t="n"/>
      <c r="G356" s="57" t="n"/>
      <c r="H356" s="57" t="n"/>
    </row>
    <row r="357" ht="15.75" customHeight="1" s="94">
      <c r="A357" s="57" t="n"/>
      <c r="B357" s="57" t="n"/>
      <c r="C357" s="57" t="n"/>
      <c r="D357" s="57" t="n"/>
      <c r="E357" s="57" t="n"/>
      <c r="F357" s="57" t="n"/>
      <c r="G357" s="57" t="n"/>
      <c r="H357" s="57" t="n"/>
    </row>
    <row r="358" ht="15.75" customHeight="1" s="94">
      <c r="A358" s="57" t="n"/>
      <c r="B358" s="57" t="n"/>
      <c r="C358" s="57" t="n"/>
      <c r="D358" s="57" t="n"/>
      <c r="E358" s="57" t="n"/>
      <c r="F358" s="57" t="n"/>
      <c r="G358" s="57" t="n"/>
      <c r="H358" s="57" t="n"/>
    </row>
    <row r="359" ht="15.75" customHeight="1" s="94">
      <c r="A359" s="57" t="n"/>
      <c r="B359" s="57" t="n"/>
      <c r="C359" s="57" t="n"/>
      <c r="D359" s="57" t="n"/>
      <c r="E359" s="57" t="n"/>
      <c r="F359" s="57" t="n"/>
      <c r="G359" s="57" t="n"/>
      <c r="H359" s="57" t="n"/>
    </row>
    <row r="360" ht="15.75" customHeight="1" s="94">
      <c r="A360" s="57" t="n"/>
      <c r="B360" s="57" t="n"/>
      <c r="C360" s="57" t="n"/>
      <c r="D360" s="57" t="n"/>
      <c r="E360" s="57" t="n"/>
      <c r="F360" s="57" t="n"/>
      <c r="G360" s="57" t="n"/>
      <c r="H360" s="57" t="n"/>
    </row>
    <row r="361" ht="15.75" customHeight="1" s="94">
      <c r="A361" s="57" t="n"/>
      <c r="B361" s="57" t="n"/>
      <c r="C361" s="57" t="n"/>
      <c r="D361" s="57" t="n"/>
      <c r="E361" s="57" t="n"/>
      <c r="F361" s="57" t="n"/>
      <c r="G361" s="57" t="n"/>
      <c r="H361" s="57" t="n"/>
    </row>
    <row r="362" ht="15.75" customHeight="1" s="94">
      <c r="A362" s="57" t="n"/>
      <c r="B362" s="57" t="n"/>
      <c r="C362" s="57" t="n"/>
      <c r="D362" s="57" t="n"/>
      <c r="E362" s="57" t="n"/>
      <c r="F362" s="57" t="n"/>
      <c r="G362" s="57" t="n"/>
      <c r="H362" s="57" t="n"/>
    </row>
    <row r="363" ht="15.75" customHeight="1" s="94">
      <c r="A363" s="57" t="n"/>
      <c r="B363" s="57" t="n"/>
      <c r="C363" s="57" t="n"/>
      <c r="D363" s="57" t="n"/>
      <c r="E363" s="57" t="n"/>
      <c r="F363" s="57" t="n"/>
      <c r="G363" s="57" t="n"/>
      <c r="H363" s="57" t="n"/>
    </row>
    <row r="364" ht="15.75" customHeight="1" s="94">
      <c r="A364" s="57" t="n"/>
      <c r="B364" s="57" t="n"/>
      <c r="C364" s="57" t="n"/>
      <c r="D364" s="57" t="n"/>
      <c r="E364" s="57" t="n"/>
      <c r="F364" s="57" t="n"/>
      <c r="G364" s="57" t="n"/>
      <c r="H364" s="57" t="n"/>
    </row>
    <row r="365" ht="15.75" customHeight="1" s="94">
      <c r="A365" s="57" t="n"/>
      <c r="B365" s="57" t="n"/>
      <c r="C365" s="57" t="n"/>
      <c r="D365" s="57" t="n"/>
      <c r="E365" s="57" t="n"/>
      <c r="F365" s="57" t="n"/>
      <c r="G365" s="57" t="n"/>
      <c r="H365" s="57" t="n"/>
    </row>
    <row r="366" ht="15.75" customHeight="1" s="94">
      <c r="A366" s="57" t="n"/>
      <c r="B366" s="57" t="n"/>
      <c r="C366" s="57" t="n"/>
      <c r="D366" s="57" t="n"/>
      <c r="E366" s="57" t="n"/>
      <c r="F366" s="57" t="n"/>
      <c r="G366" s="57" t="n"/>
      <c r="H366" s="57" t="n"/>
    </row>
    <row r="367" ht="15.75" customHeight="1" s="94">
      <c r="A367" s="57" t="n"/>
      <c r="B367" s="57" t="n"/>
      <c r="C367" s="57" t="n"/>
      <c r="D367" s="57" t="n"/>
      <c r="E367" s="57" t="n"/>
      <c r="F367" s="57" t="n"/>
      <c r="G367" s="57" t="n"/>
      <c r="H367" s="57" t="n"/>
    </row>
    <row r="368" ht="15.75" customHeight="1" s="94">
      <c r="A368" s="57" t="n"/>
      <c r="B368" s="57" t="n"/>
      <c r="C368" s="57" t="n"/>
      <c r="D368" s="57" t="n"/>
      <c r="E368" s="57" t="n"/>
      <c r="F368" s="57" t="n"/>
      <c r="G368" s="57" t="n"/>
      <c r="H368" s="57" t="n"/>
    </row>
    <row r="369" ht="15.75" customHeight="1" s="94">
      <c r="A369" s="57" t="n"/>
      <c r="B369" s="57" t="n"/>
      <c r="C369" s="57" t="n"/>
      <c r="D369" s="57" t="n"/>
      <c r="E369" s="57" t="n"/>
      <c r="F369" s="57" t="n"/>
      <c r="G369" s="57" t="n"/>
      <c r="H369" s="57" t="n"/>
    </row>
    <row r="370" ht="15.75" customHeight="1" s="94">
      <c r="A370" s="57" t="n"/>
      <c r="B370" s="57" t="n"/>
      <c r="C370" s="57" t="n"/>
      <c r="D370" s="57" t="n"/>
      <c r="E370" s="57" t="n"/>
      <c r="F370" s="57" t="n"/>
      <c r="G370" s="57" t="n"/>
      <c r="H370" s="57" t="n"/>
    </row>
    <row r="371" ht="15.75" customHeight="1" s="94">
      <c r="A371" s="57" t="n"/>
      <c r="B371" s="57" t="n"/>
      <c r="C371" s="57" t="n"/>
      <c r="D371" s="57" t="n"/>
      <c r="E371" s="57" t="n"/>
      <c r="F371" s="57" t="n"/>
      <c r="G371" s="57" t="n"/>
      <c r="H371" s="57" t="n"/>
    </row>
    <row r="372" ht="15.75" customHeight="1" s="94">
      <c r="A372" s="57" t="n"/>
      <c r="B372" s="57" t="n"/>
      <c r="C372" s="57" t="n"/>
      <c r="D372" s="57" t="n"/>
      <c r="E372" s="57" t="n"/>
      <c r="F372" s="57" t="n"/>
      <c r="G372" s="57" t="n"/>
      <c r="H372" s="57" t="n"/>
    </row>
    <row r="373" ht="15.75" customHeight="1" s="94">
      <c r="A373" s="57" t="n"/>
      <c r="B373" s="57" t="n"/>
      <c r="C373" s="57" t="n"/>
      <c r="D373" s="57" t="n"/>
      <c r="E373" s="57" t="n"/>
      <c r="F373" s="57" t="n"/>
      <c r="G373" s="57" t="n"/>
      <c r="H373" s="57" t="n"/>
    </row>
    <row r="374" ht="15.75" customHeight="1" s="94">
      <c r="A374" s="57" t="n"/>
      <c r="B374" s="57" t="n"/>
      <c r="C374" s="57" t="n"/>
      <c r="D374" s="57" t="n"/>
      <c r="E374" s="57" t="n"/>
      <c r="F374" s="57" t="n"/>
      <c r="G374" s="57" t="n"/>
      <c r="H374" s="57" t="n"/>
    </row>
    <row r="375" ht="15.75" customHeight="1" s="94">
      <c r="A375" s="57" t="n"/>
      <c r="B375" s="57" t="n"/>
      <c r="C375" s="57" t="n"/>
      <c r="D375" s="57" t="n"/>
      <c r="E375" s="57" t="n"/>
      <c r="F375" s="57" t="n"/>
      <c r="G375" s="57" t="n"/>
      <c r="H375" s="57" t="n"/>
    </row>
    <row r="376" ht="15.75" customHeight="1" s="94">
      <c r="A376" s="57" t="n"/>
      <c r="B376" s="57" t="n"/>
      <c r="C376" s="57" t="n"/>
      <c r="D376" s="57" t="n"/>
      <c r="E376" s="57" t="n"/>
      <c r="F376" s="57" t="n"/>
      <c r="G376" s="57" t="n"/>
      <c r="H376" s="57" t="n"/>
    </row>
    <row r="377" ht="15.75" customHeight="1" s="94">
      <c r="A377" s="57" t="n"/>
      <c r="B377" s="57" t="n"/>
      <c r="C377" s="57" t="n"/>
      <c r="D377" s="57" t="n"/>
      <c r="E377" s="57" t="n"/>
      <c r="F377" s="57" t="n"/>
      <c r="G377" s="57" t="n"/>
      <c r="H377" s="57" t="n"/>
    </row>
    <row r="378" ht="15.75" customHeight="1" s="94">
      <c r="A378" s="57" t="n"/>
      <c r="B378" s="57" t="n"/>
      <c r="C378" s="57" t="n"/>
      <c r="D378" s="57" t="n"/>
      <c r="E378" s="57" t="n"/>
      <c r="F378" s="57" t="n"/>
      <c r="G378" s="57" t="n"/>
      <c r="H378" s="57" t="n"/>
    </row>
    <row r="379" ht="15.75" customHeight="1" s="94">
      <c r="A379" s="57" t="n"/>
      <c r="B379" s="57" t="n"/>
      <c r="C379" s="57" t="n"/>
      <c r="D379" s="57" t="n"/>
      <c r="E379" s="57" t="n"/>
      <c r="F379" s="57" t="n"/>
      <c r="G379" s="57" t="n"/>
      <c r="H379" s="57" t="n"/>
    </row>
    <row r="380" ht="15.75" customHeight="1" s="94">
      <c r="A380" s="57" t="n"/>
      <c r="B380" s="57" t="n"/>
      <c r="C380" s="57" t="n"/>
      <c r="D380" s="57" t="n"/>
      <c r="E380" s="57" t="n"/>
      <c r="F380" s="57" t="n"/>
      <c r="G380" s="57" t="n"/>
      <c r="H380" s="57" t="n"/>
    </row>
    <row r="381" ht="15.75" customHeight="1" s="94">
      <c r="A381" s="57" t="n"/>
      <c r="B381" s="57" t="n"/>
      <c r="C381" s="57" t="n"/>
      <c r="D381" s="57" t="n"/>
      <c r="E381" s="57" t="n"/>
      <c r="F381" s="57" t="n"/>
      <c r="G381" s="57" t="n"/>
      <c r="H381" s="57" t="n"/>
    </row>
    <row r="382" ht="15.75" customHeight="1" s="94">
      <c r="A382" s="57" t="n"/>
      <c r="B382" s="57" t="n"/>
      <c r="C382" s="57" t="n"/>
      <c r="D382" s="57" t="n"/>
      <c r="E382" s="57" t="n"/>
      <c r="F382" s="57" t="n"/>
      <c r="G382" s="57" t="n"/>
      <c r="H382" s="57" t="n"/>
    </row>
    <row r="383" ht="15.75" customHeight="1" s="94">
      <c r="A383" s="57" t="n"/>
      <c r="B383" s="57" t="n"/>
      <c r="C383" s="57" t="n"/>
      <c r="D383" s="57" t="n"/>
      <c r="E383" s="57" t="n"/>
      <c r="F383" s="57" t="n"/>
      <c r="G383" s="57" t="n"/>
      <c r="H383" s="57" t="n"/>
    </row>
    <row r="384" ht="15.75" customHeight="1" s="94">
      <c r="A384" s="57" t="n"/>
      <c r="B384" s="57" t="n"/>
      <c r="C384" s="57" t="n"/>
      <c r="D384" s="57" t="n"/>
      <c r="E384" s="57" t="n"/>
      <c r="F384" s="57" t="n"/>
      <c r="G384" s="57" t="n"/>
      <c r="H384" s="57" t="n"/>
    </row>
    <row r="385" ht="15.75" customHeight="1" s="94">
      <c r="A385" s="57" t="n"/>
      <c r="B385" s="57" t="n"/>
      <c r="C385" s="57" t="n"/>
      <c r="D385" s="57" t="n"/>
      <c r="E385" s="57" t="n"/>
      <c r="F385" s="57" t="n"/>
      <c r="G385" s="57" t="n"/>
      <c r="H385" s="57" t="n"/>
    </row>
    <row r="386" ht="15.75" customHeight="1" s="94">
      <c r="A386" s="57" t="n"/>
      <c r="B386" s="57" t="n"/>
      <c r="C386" s="57" t="n"/>
      <c r="D386" s="57" t="n"/>
      <c r="E386" s="57" t="n"/>
      <c r="F386" s="57" t="n"/>
      <c r="G386" s="57" t="n"/>
      <c r="H386" s="57" t="n"/>
    </row>
    <row r="387" ht="15.75" customHeight="1" s="94">
      <c r="A387" s="57" t="n"/>
      <c r="B387" s="57" t="n"/>
      <c r="C387" s="57" t="n"/>
      <c r="D387" s="57" t="n"/>
      <c r="E387" s="57" t="n"/>
      <c r="F387" s="57" t="n"/>
      <c r="G387" s="57" t="n"/>
      <c r="H387" s="57" t="n"/>
    </row>
    <row r="388" ht="15.75" customHeight="1" s="94">
      <c r="A388" s="57" t="n"/>
      <c r="B388" s="57" t="n"/>
      <c r="C388" s="57" t="n"/>
      <c r="D388" s="57" t="n"/>
      <c r="E388" s="57" t="n"/>
      <c r="F388" s="57" t="n"/>
      <c r="G388" s="57" t="n"/>
      <c r="H388" s="57" t="n"/>
    </row>
    <row r="389" ht="15.75" customHeight="1" s="94">
      <c r="A389" s="57" t="n"/>
      <c r="B389" s="57" t="n"/>
      <c r="C389" s="57" t="n"/>
      <c r="D389" s="57" t="n"/>
      <c r="E389" s="57" t="n"/>
      <c r="F389" s="57" t="n"/>
      <c r="G389" s="57" t="n"/>
      <c r="H389" s="57" t="n"/>
    </row>
    <row r="390" ht="15.75" customHeight="1" s="94">
      <c r="A390" s="57" t="n"/>
      <c r="B390" s="57" t="n"/>
      <c r="C390" s="57" t="n"/>
      <c r="D390" s="57" t="n"/>
      <c r="E390" s="57" t="n"/>
      <c r="F390" s="57" t="n"/>
      <c r="G390" s="57" t="n"/>
      <c r="H390" s="57" t="n"/>
    </row>
    <row r="391" ht="15.75" customHeight="1" s="94">
      <c r="A391" s="57" t="n"/>
      <c r="B391" s="57" t="n"/>
      <c r="C391" s="57" t="n"/>
      <c r="D391" s="57" t="n"/>
      <c r="E391" s="57" t="n"/>
      <c r="F391" s="57" t="n"/>
      <c r="G391" s="57" t="n"/>
      <c r="H391" s="57" t="n"/>
    </row>
    <row r="392" ht="15.75" customHeight="1" s="94">
      <c r="A392" s="57" t="n"/>
      <c r="B392" s="57" t="n"/>
      <c r="C392" s="57" t="n"/>
      <c r="D392" s="57" t="n"/>
      <c r="E392" s="57" t="n"/>
      <c r="F392" s="57" t="n"/>
      <c r="G392" s="57" t="n"/>
      <c r="H392" s="57" t="n"/>
    </row>
    <row r="393" ht="15.75" customHeight="1" s="94">
      <c r="A393" s="57" t="n"/>
      <c r="B393" s="57" t="n"/>
      <c r="C393" s="57" t="n"/>
      <c r="D393" s="57" t="n"/>
      <c r="E393" s="57" t="n"/>
      <c r="F393" s="57" t="n"/>
      <c r="G393" s="57" t="n"/>
      <c r="H393" s="57" t="n"/>
    </row>
    <row r="394" ht="15.75" customHeight="1" s="94">
      <c r="A394" s="57" t="n"/>
      <c r="B394" s="57" t="n"/>
      <c r="C394" s="57" t="n"/>
      <c r="D394" s="57" t="n"/>
      <c r="E394" s="57" t="n"/>
      <c r="F394" s="57" t="n"/>
      <c r="G394" s="57" t="n"/>
      <c r="H394" s="57" t="n"/>
    </row>
    <row r="395" ht="15.75" customHeight="1" s="94">
      <c r="A395" s="57" t="n"/>
      <c r="B395" s="57" t="n"/>
      <c r="C395" s="57" t="n"/>
      <c r="D395" s="57" t="n"/>
      <c r="E395" s="57" t="n"/>
      <c r="F395" s="57" t="n"/>
      <c r="G395" s="57" t="n"/>
      <c r="H395" s="57" t="n"/>
    </row>
    <row r="396" ht="15.75" customHeight="1" s="94">
      <c r="A396" s="57" t="n"/>
      <c r="B396" s="57" t="n"/>
      <c r="C396" s="57" t="n"/>
      <c r="D396" s="57" t="n"/>
      <c r="E396" s="57" t="n"/>
      <c r="F396" s="57" t="n"/>
      <c r="G396" s="57" t="n"/>
      <c r="H396" s="57" t="n"/>
    </row>
    <row r="397" ht="15.75" customHeight="1" s="94">
      <c r="A397" s="57" t="n"/>
      <c r="B397" s="57" t="n"/>
      <c r="C397" s="57" t="n"/>
      <c r="D397" s="57" t="n"/>
      <c r="E397" s="57" t="n"/>
      <c r="F397" s="57" t="n"/>
      <c r="G397" s="57" t="n"/>
      <c r="H397" s="57" t="n"/>
    </row>
    <row r="398" ht="15.75" customHeight="1" s="94">
      <c r="A398" s="57" t="n"/>
      <c r="B398" s="57" t="n"/>
      <c r="C398" s="57" t="n"/>
      <c r="D398" s="57" t="n"/>
      <c r="E398" s="57" t="n"/>
      <c r="F398" s="57" t="n"/>
      <c r="G398" s="57" t="n"/>
      <c r="H398" s="57" t="n"/>
    </row>
    <row r="399" ht="15.75" customHeight="1" s="94">
      <c r="A399" s="57" t="n"/>
      <c r="B399" s="57" t="n"/>
      <c r="C399" s="57" t="n"/>
      <c r="D399" s="57" t="n"/>
      <c r="E399" s="57" t="n"/>
      <c r="F399" s="57" t="n"/>
      <c r="G399" s="57" t="n"/>
      <c r="H399" s="57" t="n"/>
    </row>
    <row r="400" ht="15.75" customHeight="1" s="94">
      <c r="A400" s="57" t="n"/>
      <c r="B400" s="57" t="n"/>
      <c r="C400" s="57" t="n"/>
      <c r="D400" s="57" t="n"/>
      <c r="E400" s="57" t="n"/>
      <c r="F400" s="57" t="n"/>
      <c r="G400" s="57" t="n"/>
      <c r="H400" s="57" t="n"/>
    </row>
    <row r="401" ht="15.75" customHeight="1" s="94">
      <c r="A401" s="57" t="n"/>
      <c r="B401" s="57" t="n"/>
      <c r="C401" s="57" t="n"/>
      <c r="D401" s="57" t="n"/>
      <c r="E401" s="57" t="n"/>
      <c r="F401" s="57" t="n"/>
      <c r="G401" s="57" t="n"/>
      <c r="H401" s="57" t="n"/>
    </row>
    <row r="402" ht="15.75" customHeight="1" s="94">
      <c r="A402" s="57" t="n"/>
      <c r="B402" s="57" t="n"/>
      <c r="C402" s="57" t="n"/>
      <c r="D402" s="57" t="n"/>
      <c r="E402" s="57" t="n"/>
      <c r="F402" s="57" t="n"/>
      <c r="G402" s="57" t="n"/>
      <c r="H402" s="57" t="n"/>
    </row>
    <row r="403" ht="15.75" customHeight="1" s="94">
      <c r="A403" s="57" t="n"/>
      <c r="B403" s="57" t="n"/>
      <c r="C403" s="57" t="n"/>
      <c r="D403" s="57" t="n"/>
      <c r="E403" s="57" t="n"/>
      <c r="F403" s="57" t="n"/>
      <c r="G403" s="57" t="n"/>
      <c r="H403" s="57" t="n"/>
    </row>
    <row r="404" ht="15.75" customHeight="1" s="94">
      <c r="A404" s="57" t="n"/>
      <c r="B404" s="57" t="n"/>
      <c r="C404" s="57" t="n"/>
      <c r="D404" s="57" t="n"/>
      <c r="E404" s="57" t="n"/>
      <c r="F404" s="57" t="n"/>
      <c r="G404" s="57" t="n"/>
      <c r="H404" s="57" t="n"/>
    </row>
    <row r="405" ht="15.75" customHeight="1" s="94">
      <c r="A405" s="57" t="n"/>
      <c r="B405" s="57" t="n"/>
      <c r="C405" s="57" t="n"/>
      <c r="D405" s="57" t="n"/>
      <c r="E405" s="57" t="n"/>
      <c r="F405" s="57" t="n"/>
      <c r="G405" s="57" t="n"/>
      <c r="H405" s="57" t="n"/>
    </row>
    <row r="406" ht="15.75" customHeight="1" s="94">
      <c r="A406" s="57" t="n"/>
      <c r="B406" s="57" t="n"/>
      <c r="C406" s="57" t="n"/>
      <c r="D406" s="57" t="n"/>
      <c r="E406" s="57" t="n"/>
      <c r="F406" s="57" t="n"/>
      <c r="G406" s="57" t="n"/>
      <c r="H406" s="57" t="n"/>
    </row>
    <row r="407" ht="15.75" customHeight="1" s="94">
      <c r="A407" s="57" t="n"/>
      <c r="B407" s="57" t="n"/>
      <c r="C407" s="57" t="n"/>
      <c r="D407" s="57" t="n"/>
      <c r="E407" s="57" t="n"/>
      <c r="F407" s="57" t="n"/>
      <c r="G407" s="57" t="n"/>
      <c r="H407" s="57" t="n"/>
    </row>
    <row r="408" ht="15.75" customHeight="1" s="94">
      <c r="A408" s="57" t="n"/>
      <c r="B408" s="57" t="n"/>
      <c r="C408" s="57" t="n"/>
      <c r="D408" s="57" t="n"/>
      <c r="E408" s="57" t="n"/>
      <c r="F408" s="57" t="n"/>
      <c r="G408" s="57" t="n"/>
      <c r="H408" s="57" t="n"/>
    </row>
    <row r="409" ht="15.75" customHeight="1" s="94">
      <c r="A409" s="57" t="n"/>
      <c r="B409" s="57" t="n"/>
      <c r="C409" s="57" t="n"/>
      <c r="D409" s="57" t="n"/>
      <c r="E409" s="57" t="n"/>
      <c r="F409" s="57" t="n"/>
      <c r="G409" s="57" t="n"/>
      <c r="H409" s="57" t="n"/>
    </row>
    <row r="410" ht="15.75" customHeight="1" s="94">
      <c r="A410" s="57" t="n"/>
      <c r="B410" s="57" t="n"/>
      <c r="C410" s="57" t="n"/>
      <c r="D410" s="57" t="n"/>
      <c r="E410" s="57" t="n"/>
      <c r="F410" s="57" t="n"/>
      <c r="G410" s="57" t="n"/>
      <c r="H410" s="57" t="n"/>
    </row>
    <row r="411" ht="15.75" customHeight="1" s="94">
      <c r="A411" s="57" t="n"/>
      <c r="B411" s="57" t="n"/>
      <c r="C411" s="57" t="n"/>
      <c r="D411" s="57" t="n"/>
      <c r="E411" s="57" t="n"/>
      <c r="F411" s="57" t="n"/>
      <c r="G411" s="57" t="n"/>
      <c r="H411" s="57" t="n"/>
    </row>
    <row r="412" ht="15.75" customHeight="1" s="94">
      <c r="A412" s="57" t="n"/>
      <c r="B412" s="57" t="n"/>
      <c r="C412" s="57" t="n"/>
      <c r="D412" s="57" t="n"/>
      <c r="E412" s="57" t="n"/>
      <c r="F412" s="57" t="n"/>
      <c r="G412" s="57" t="n"/>
      <c r="H412" s="57" t="n"/>
    </row>
    <row r="413" ht="15.75" customHeight="1" s="94">
      <c r="A413" s="57" t="n"/>
      <c r="B413" s="57" t="n"/>
      <c r="C413" s="57" t="n"/>
      <c r="D413" s="57" t="n"/>
      <c r="E413" s="57" t="n"/>
      <c r="F413" s="57" t="n"/>
      <c r="G413" s="57" t="n"/>
      <c r="H413" s="57" t="n"/>
    </row>
    <row r="414" ht="15.75" customHeight="1" s="94">
      <c r="A414" s="57" t="n"/>
      <c r="B414" s="57" t="n"/>
      <c r="C414" s="57" t="n"/>
      <c r="D414" s="57" t="n"/>
      <c r="E414" s="57" t="n"/>
      <c r="F414" s="57" t="n"/>
      <c r="G414" s="57" t="n"/>
      <c r="H414" s="57" t="n"/>
    </row>
    <row r="415" ht="15.75" customHeight="1" s="94">
      <c r="A415" s="57" t="n"/>
      <c r="B415" s="57" t="n"/>
      <c r="C415" s="57" t="n"/>
      <c r="D415" s="57" t="n"/>
      <c r="E415" s="57" t="n"/>
      <c r="F415" s="57" t="n"/>
      <c r="G415" s="57" t="n"/>
      <c r="H415" s="57" t="n"/>
    </row>
    <row r="416" ht="15.75" customHeight="1" s="94">
      <c r="A416" s="57" t="n"/>
      <c r="B416" s="57" t="n"/>
      <c r="C416" s="57" t="n"/>
      <c r="D416" s="57" t="n"/>
      <c r="E416" s="57" t="n"/>
      <c r="F416" s="57" t="n"/>
      <c r="G416" s="57" t="n"/>
      <c r="H416" s="57" t="n"/>
    </row>
    <row r="417" ht="15.75" customHeight="1" s="94">
      <c r="A417" s="57" t="n"/>
      <c r="B417" s="57" t="n"/>
      <c r="C417" s="57" t="n"/>
      <c r="D417" s="57" t="n"/>
      <c r="E417" s="57" t="n"/>
      <c r="F417" s="57" t="n"/>
      <c r="G417" s="57" t="n"/>
      <c r="H417" s="57" t="n"/>
    </row>
    <row r="418" ht="15.75" customHeight="1" s="94">
      <c r="A418" s="57" t="n"/>
      <c r="B418" s="57" t="n"/>
      <c r="C418" s="57" t="n"/>
      <c r="D418" s="57" t="n"/>
      <c r="E418" s="57" t="n"/>
      <c r="F418" s="57" t="n"/>
      <c r="G418" s="57" t="n"/>
      <c r="H418" s="57" t="n"/>
    </row>
    <row r="419" ht="15.75" customHeight="1" s="94">
      <c r="A419" s="57" t="n"/>
      <c r="B419" s="57" t="n"/>
      <c r="C419" s="57" t="n"/>
      <c r="D419" s="57" t="n"/>
      <c r="E419" s="57" t="n"/>
      <c r="F419" s="57" t="n"/>
      <c r="G419" s="57" t="n"/>
      <c r="H419" s="57" t="n"/>
    </row>
    <row r="420" ht="15.75" customHeight="1" s="94">
      <c r="A420" s="57" t="n"/>
      <c r="B420" s="57" t="n"/>
      <c r="C420" s="57" t="n"/>
      <c r="D420" s="57" t="n"/>
      <c r="E420" s="57" t="n"/>
      <c r="F420" s="57" t="n"/>
      <c r="G420" s="57" t="n"/>
      <c r="H420" s="57" t="n"/>
    </row>
    <row r="421" ht="15.75" customHeight="1" s="94">
      <c r="A421" s="57" t="n"/>
      <c r="B421" s="57" t="n"/>
      <c r="C421" s="57" t="n"/>
      <c r="D421" s="57" t="n"/>
      <c r="E421" s="57" t="n"/>
      <c r="F421" s="57" t="n"/>
      <c r="G421" s="57" t="n"/>
      <c r="H421" s="57" t="n"/>
    </row>
    <row r="422" ht="15.75" customHeight="1" s="94">
      <c r="A422" s="57" t="n"/>
      <c r="B422" s="57" t="n"/>
      <c r="C422" s="57" t="n"/>
      <c r="D422" s="57" t="n"/>
      <c r="E422" s="57" t="n"/>
      <c r="F422" s="57" t="n"/>
      <c r="G422" s="57" t="n"/>
      <c r="H422" s="57" t="n"/>
    </row>
    <row r="423" ht="15.75" customHeight="1" s="94">
      <c r="A423" s="57" t="n"/>
      <c r="B423" s="57" t="n"/>
      <c r="C423" s="57" t="n"/>
      <c r="D423" s="57" t="n"/>
      <c r="E423" s="57" t="n"/>
      <c r="F423" s="57" t="n"/>
      <c r="G423" s="57" t="n"/>
      <c r="H423" s="57" t="n"/>
    </row>
    <row r="424" ht="15.75" customHeight="1" s="94">
      <c r="A424" s="57" t="n"/>
      <c r="B424" s="57" t="n"/>
      <c r="C424" s="57" t="n"/>
      <c r="D424" s="57" t="n"/>
      <c r="E424" s="57" t="n"/>
      <c r="F424" s="57" t="n"/>
      <c r="G424" s="57" t="n"/>
      <c r="H424" s="57" t="n"/>
    </row>
    <row r="425" ht="15.75" customHeight="1" s="94">
      <c r="A425" s="57" t="n"/>
      <c r="B425" s="57" t="n"/>
      <c r="C425" s="57" t="n"/>
      <c r="D425" s="57" t="n"/>
      <c r="E425" s="57" t="n"/>
      <c r="F425" s="57" t="n"/>
      <c r="G425" s="57" t="n"/>
      <c r="H425" s="57" t="n"/>
    </row>
    <row r="426" ht="15.75" customHeight="1" s="94">
      <c r="A426" s="57" t="n"/>
      <c r="B426" s="57" t="n"/>
      <c r="C426" s="57" t="n"/>
      <c r="D426" s="57" t="n"/>
      <c r="E426" s="57" t="n"/>
      <c r="F426" s="57" t="n"/>
      <c r="G426" s="57" t="n"/>
      <c r="H426" s="57" t="n"/>
    </row>
    <row r="427" ht="15.75" customHeight="1" s="94">
      <c r="A427" s="57" t="n"/>
      <c r="B427" s="57" t="n"/>
      <c r="C427" s="57" t="n"/>
      <c r="D427" s="57" t="n"/>
      <c r="E427" s="57" t="n"/>
      <c r="F427" s="57" t="n"/>
      <c r="G427" s="57" t="n"/>
      <c r="H427" s="57" t="n"/>
    </row>
    <row r="428" ht="15.75" customHeight="1" s="94">
      <c r="A428" s="57" t="n"/>
      <c r="B428" s="57" t="n"/>
      <c r="C428" s="57" t="n"/>
      <c r="D428" s="57" t="n"/>
      <c r="E428" s="57" t="n"/>
      <c r="F428" s="57" t="n"/>
      <c r="G428" s="57" t="n"/>
      <c r="H428" s="57" t="n"/>
    </row>
    <row r="429" ht="15.75" customHeight="1" s="94">
      <c r="A429" s="57" t="n"/>
      <c r="B429" s="57" t="n"/>
      <c r="C429" s="57" t="n"/>
      <c r="D429" s="57" t="n"/>
      <c r="E429" s="57" t="n"/>
      <c r="F429" s="57" t="n"/>
      <c r="G429" s="57" t="n"/>
      <c r="H429" s="57" t="n"/>
    </row>
    <row r="430" ht="15.75" customHeight="1" s="94">
      <c r="A430" s="57" t="n"/>
      <c r="B430" s="57" t="n"/>
      <c r="C430" s="57" t="n"/>
      <c r="D430" s="57" t="n"/>
      <c r="E430" s="57" t="n"/>
      <c r="F430" s="57" t="n"/>
      <c r="G430" s="57" t="n"/>
      <c r="H430" s="57" t="n"/>
    </row>
    <row r="431" ht="15.75" customHeight="1" s="94">
      <c r="A431" s="57" t="n"/>
      <c r="B431" s="57" t="n"/>
      <c r="C431" s="57" t="n"/>
      <c r="D431" s="57" t="n"/>
      <c r="E431" s="57" t="n"/>
      <c r="F431" s="57" t="n"/>
      <c r="G431" s="57" t="n"/>
      <c r="H431" s="57" t="n"/>
    </row>
    <row r="432" ht="15.75" customHeight="1" s="94">
      <c r="A432" s="57" t="n"/>
      <c r="B432" s="57" t="n"/>
      <c r="C432" s="57" t="n"/>
      <c r="D432" s="57" t="n"/>
      <c r="E432" s="57" t="n"/>
      <c r="F432" s="57" t="n"/>
      <c r="G432" s="57" t="n"/>
      <c r="H432" s="57" t="n"/>
    </row>
    <row r="433" ht="15.75" customHeight="1" s="94">
      <c r="A433" s="57" t="n"/>
      <c r="B433" s="57" t="n"/>
      <c r="C433" s="57" t="n"/>
      <c r="D433" s="57" t="n"/>
      <c r="E433" s="57" t="n"/>
      <c r="F433" s="57" t="n"/>
      <c r="G433" s="57" t="n"/>
      <c r="H433" s="57" t="n"/>
    </row>
    <row r="434" ht="15.75" customHeight="1" s="94">
      <c r="A434" s="57" t="n"/>
      <c r="B434" s="57" t="n"/>
      <c r="C434" s="57" t="n"/>
      <c r="D434" s="57" t="n"/>
      <c r="E434" s="57" t="n"/>
      <c r="F434" s="57" t="n"/>
      <c r="G434" s="57" t="n"/>
      <c r="H434" s="57" t="n"/>
    </row>
    <row r="435" ht="15.75" customHeight="1" s="94">
      <c r="A435" s="57" t="n"/>
      <c r="B435" s="57" t="n"/>
      <c r="C435" s="57" t="n"/>
      <c r="D435" s="57" t="n"/>
      <c r="E435" s="57" t="n"/>
      <c r="F435" s="57" t="n"/>
      <c r="G435" s="57" t="n"/>
      <c r="H435" s="57" t="n"/>
    </row>
    <row r="436" ht="15.75" customHeight="1" s="94">
      <c r="A436" s="57" t="n"/>
      <c r="B436" s="57" t="n"/>
      <c r="C436" s="57" t="n"/>
      <c r="D436" s="57" t="n"/>
      <c r="E436" s="57" t="n"/>
      <c r="F436" s="57" t="n"/>
      <c r="G436" s="57" t="n"/>
      <c r="H436" s="57" t="n"/>
    </row>
    <row r="437" ht="15.75" customHeight="1" s="94">
      <c r="A437" s="57" t="n"/>
      <c r="B437" s="57" t="n"/>
      <c r="C437" s="57" t="n"/>
      <c r="D437" s="57" t="n"/>
      <c r="E437" s="57" t="n"/>
      <c r="F437" s="57" t="n"/>
      <c r="G437" s="57" t="n"/>
      <c r="H437" s="57" t="n"/>
    </row>
    <row r="438" ht="15.75" customHeight="1" s="94">
      <c r="A438" s="57" t="n"/>
      <c r="B438" s="57" t="n"/>
      <c r="C438" s="57" t="n"/>
      <c r="D438" s="57" t="n"/>
      <c r="E438" s="57" t="n"/>
      <c r="F438" s="57" t="n"/>
      <c r="G438" s="57" t="n"/>
      <c r="H438" s="57" t="n"/>
    </row>
    <row r="439" ht="15.75" customHeight="1" s="94">
      <c r="A439" s="57" t="n"/>
      <c r="B439" s="57" t="n"/>
      <c r="C439" s="57" t="n"/>
      <c r="D439" s="57" t="n"/>
      <c r="E439" s="57" t="n"/>
      <c r="F439" s="57" t="n"/>
      <c r="G439" s="57" t="n"/>
      <c r="H439" s="57" t="n"/>
    </row>
    <row r="440" ht="15.75" customHeight="1" s="94">
      <c r="A440" s="57" t="n"/>
      <c r="B440" s="57" t="n"/>
      <c r="C440" s="57" t="n"/>
      <c r="D440" s="57" t="n"/>
      <c r="E440" s="57" t="n"/>
      <c r="F440" s="57" t="n"/>
      <c r="G440" s="57" t="n"/>
      <c r="H440" s="57" t="n"/>
    </row>
    <row r="441" ht="15.75" customHeight="1" s="94">
      <c r="A441" s="57" t="n"/>
      <c r="B441" s="57" t="n"/>
      <c r="C441" s="57" t="n"/>
      <c r="D441" s="57" t="n"/>
      <c r="E441" s="57" t="n"/>
      <c r="F441" s="57" t="n"/>
      <c r="G441" s="57" t="n"/>
      <c r="H441" s="57" t="n"/>
    </row>
    <row r="442" ht="15.75" customHeight="1" s="94">
      <c r="A442" s="57" t="n"/>
      <c r="B442" s="57" t="n"/>
      <c r="C442" s="57" t="n"/>
      <c r="D442" s="57" t="n"/>
      <c r="E442" s="57" t="n"/>
      <c r="F442" s="57" t="n"/>
      <c r="G442" s="57" t="n"/>
      <c r="H442" s="57" t="n"/>
    </row>
    <row r="443" ht="15.75" customHeight="1" s="94">
      <c r="A443" s="57" t="n"/>
      <c r="B443" s="57" t="n"/>
      <c r="C443" s="57" t="n"/>
      <c r="D443" s="57" t="n"/>
      <c r="E443" s="57" t="n"/>
      <c r="F443" s="57" t="n"/>
      <c r="G443" s="57" t="n"/>
      <c r="H443" s="57" t="n"/>
    </row>
    <row r="444" ht="15.75" customHeight="1" s="94">
      <c r="A444" s="57" t="n"/>
      <c r="B444" s="57" t="n"/>
      <c r="C444" s="57" t="n"/>
      <c r="D444" s="57" t="n"/>
      <c r="E444" s="57" t="n"/>
      <c r="F444" s="57" t="n"/>
      <c r="G444" s="57" t="n"/>
      <c r="H444" s="57" t="n"/>
    </row>
    <row r="445" ht="15.75" customHeight="1" s="94">
      <c r="A445" s="57" t="n"/>
      <c r="B445" s="57" t="n"/>
      <c r="C445" s="57" t="n"/>
      <c r="D445" s="57" t="n"/>
      <c r="E445" s="57" t="n"/>
      <c r="F445" s="57" t="n"/>
      <c r="G445" s="57" t="n"/>
      <c r="H445" s="57" t="n"/>
    </row>
    <row r="446" ht="15.75" customHeight="1" s="94">
      <c r="A446" s="57" t="n"/>
      <c r="B446" s="57" t="n"/>
      <c r="C446" s="57" t="n"/>
      <c r="D446" s="57" t="n"/>
      <c r="E446" s="57" t="n"/>
      <c r="F446" s="57" t="n"/>
      <c r="G446" s="57" t="n"/>
      <c r="H446" s="57" t="n"/>
    </row>
    <row r="447" ht="15.75" customHeight="1" s="94">
      <c r="A447" s="57" t="n"/>
      <c r="B447" s="57" t="n"/>
      <c r="C447" s="57" t="n"/>
      <c r="D447" s="57" t="n"/>
      <c r="E447" s="57" t="n"/>
      <c r="F447" s="57" t="n"/>
      <c r="G447" s="57" t="n"/>
      <c r="H447" s="57" t="n"/>
    </row>
    <row r="448" ht="15.75" customHeight="1" s="94">
      <c r="A448" s="57" t="n"/>
      <c r="B448" s="57" t="n"/>
      <c r="C448" s="57" t="n"/>
      <c r="D448" s="57" t="n"/>
      <c r="E448" s="57" t="n"/>
      <c r="F448" s="57" t="n"/>
      <c r="G448" s="57" t="n"/>
      <c r="H448" s="57" t="n"/>
    </row>
    <row r="449" ht="15.75" customHeight="1" s="94">
      <c r="A449" s="57" t="n"/>
      <c r="B449" s="57" t="n"/>
      <c r="C449" s="57" t="n"/>
      <c r="D449" s="57" t="n"/>
      <c r="E449" s="57" t="n"/>
      <c r="F449" s="57" t="n"/>
      <c r="G449" s="57" t="n"/>
      <c r="H449" s="57" t="n"/>
    </row>
    <row r="450" ht="15.75" customHeight="1" s="94">
      <c r="A450" s="57" t="n"/>
      <c r="B450" s="57" t="n"/>
      <c r="C450" s="57" t="n"/>
      <c r="D450" s="57" t="n"/>
      <c r="E450" s="57" t="n"/>
      <c r="F450" s="57" t="n"/>
      <c r="G450" s="57" t="n"/>
      <c r="H450" s="57" t="n"/>
    </row>
    <row r="451" ht="15.75" customHeight="1" s="94">
      <c r="A451" s="57" t="n"/>
      <c r="B451" s="57" t="n"/>
      <c r="C451" s="57" t="n"/>
      <c r="D451" s="57" t="n"/>
      <c r="E451" s="57" t="n"/>
      <c r="F451" s="57" t="n"/>
      <c r="G451" s="57" t="n"/>
      <c r="H451" s="57" t="n"/>
    </row>
    <row r="452" ht="15.75" customHeight="1" s="94">
      <c r="A452" s="57" t="n"/>
      <c r="B452" s="57" t="n"/>
      <c r="C452" s="57" t="n"/>
      <c r="D452" s="57" t="n"/>
      <c r="E452" s="57" t="n"/>
      <c r="F452" s="57" t="n"/>
      <c r="G452" s="57" t="n"/>
      <c r="H452" s="57" t="n"/>
    </row>
    <row r="453" ht="15.75" customHeight="1" s="94">
      <c r="A453" s="57" t="n"/>
      <c r="B453" s="57" t="n"/>
      <c r="C453" s="57" t="n"/>
      <c r="D453" s="57" t="n"/>
      <c r="E453" s="57" t="n"/>
      <c r="F453" s="57" t="n"/>
      <c r="G453" s="57" t="n"/>
      <c r="H453" s="57" t="n"/>
    </row>
    <row r="454" ht="15.75" customHeight="1" s="94">
      <c r="A454" s="57" t="n"/>
      <c r="B454" s="57" t="n"/>
      <c r="C454" s="57" t="n"/>
      <c r="D454" s="57" t="n"/>
      <c r="E454" s="57" t="n"/>
      <c r="F454" s="57" t="n"/>
      <c r="G454" s="57" t="n"/>
      <c r="H454" s="57" t="n"/>
    </row>
    <row r="455" ht="15.75" customHeight="1" s="94">
      <c r="A455" s="57" t="n"/>
      <c r="B455" s="57" t="n"/>
      <c r="C455" s="57" t="n"/>
      <c r="D455" s="57" t="n"/>
      <c r="E455" s="57" t="n"/>
      <c r="F455" s="57" t="n"/>
      <c r="G455" s="57" t="n"/>
      <c r="H455" s="57" t="n"/>
    </row>
    <row r="456" ht="15.75" customHeight="1" s="94">
      <c r="A456" s="57" t="n"/>
      <c r="B456" s="57" t="n"/>
      <c r="C456" s="57" t="n"/>
      <c r="D456" s="57" t="n"/>
      <c r="E456" s="57" t="n"/>
      <c r="F456" s="57" t="n"/>
      <c r="G456" s="57" t="n"/>
      <c r="H456" s="57" t="n"/>
    </row>
    <row r="457" ht="15.75" customHeight="1" s="94">
      <c r="A457" s="57" t="n"/>
      <c r="B457" s="57" t="n"/>
      <c r="C457" s="57" t="n"/>
      <c r="D457" s="57" t="n"/>
      <c r="E457" s="57" t="n"/>
      <c r="F457" s="57" t="n"/>
      <c r="G457" s="57" t="n"/>
      <c r="H457" s="57" t="n"/>
    </row>
    <row r="458" ht="15.75" customHeight="1" s="94">
      <c r="A458" s="57" t="n"/>
      <c r="B458" s="57" t="n"/>
      <c r="C458" s="57" t="n"/>
      <c r="D458" s="57" t="n"/>
      <c r="E458" s="57" t="n"/>
      <c r="F458" s="57" t="n"/>
      <c r="G458" s="57" t="n"/>
      <c r="H458" s="57" t="n"/>
    </row>
    <row r="459" ht="15.75" customHeight="1" s="94">
      <c r="A459" s="57" t="n"/>
      <c r="B459" s="57" t="n"/>
      <c r="C459" s="57" t="n"/>
      <c r="D459" s="57" t="n"/>
      <c r="E459" s="57" t="n"/>
      <c r="F459" s="57" t="n"/>
      <c r="G459" s="57" t="n"/>
      <c r="H459" s="57" t="n"/>
    </row>
    <row r="460" ht="15.75" customHeight="1" s="94">
      <c r="A460" s="57" t="n"/>
      <c r="B460" s="57" t="n"/>
      <c r="C460" s="57" t="n"/>
      <c r="D460" s="57" t="n"/>
      <c r="E460" s="57" t="n"/>
      <c r="F460" s="57" t="n"/>
      <c r="G460" s="57" t="n"/>
      <c r="H460" s="57" t="n"/>
    </row>
    <row r="461" ht="15.75" customHeight="1" s="94">
      <c r="A461" s="57" t="n"/>
      <c r="B461" s="57" t="n"/>
      <c r="C461" s="57" t="n"/>
      <c r="D461" s="57" t="n"/>
      <c r="E461" s="57" t="n"/>
      <c r="F461" s="57" t="n"/>
      <c r="G461" s="57" t="n"/>
      <c r="H461" s="57" t="n"/>
    </row>
    <row r="462" ht="15.75" customHeight="1" s="94">
      <c r="A462" s="57" t="n"/>
      <c r="B462" s="57" t="n"/>
      <c r="C462" s="57" t="n"/>
      <c r="D462" s="57" t="n"/>
      <c r="E462" s="57" t="n"/>
      <c r="F462" s="57" t="n"/>
      <c r="G462" s="57" t="n"/>
      <c r="H462" s="57" t="n"/>
    </row>
    <row r="463" ht="15.75" customHeight="1" s="94">
      <c r="A463" s="57" t="n"/>
      <c r="B463" s="57" t="n"/>
      <c r="C463" s="57" t="n"/>
      <c r="D463" s="57" t="n"/>
      <c r="E463" s="57" t="n"/>
      <c r="F463" s="57" t="n"/>
      <c r="G463" s="57" t="n"/>
      <c r="H463" s="57" t="n"/>
    </row>
    <row r="464" ht="15.75" customHeight="1" s="94">
      <c r="A464" s="57" t="n"/>
      <c r="B464" s="57" t="n"/>
      <c r="C464" s="57" t="n"/>
      <c r="D464" s="57" t="n"/>
      <c r="E464" s="57" t="n"/>
      <c r="F464" s="57" t="n"/>
      <c r="G464" s="57" t="n"/>
      <c r="H464" s="57" t="n"/>
    </row>
    <row r="465" ht="15.75" customHeight="1" s="94">
      <c r="A465" s="57" t="n"/>
      <c r="B465" s="57" t="n"/>
      <c r="C465" s="57" t="n"/>
      <c r="D465" s="57" t="n"/>
      <c r="E465" s="57" t="n"/>
      <c r="F465" s="57" t="n"/>
      <c r="G465" s="57" t="n"/>
      <c r="H465" s="57" t="n"/>
    </row>
    <row r="466" ht="15.75" customHeight="1" s="94">
      <c r="A466" s="57" t="n"/>
      <c r="B466" s="57" t="n"/>
      <c r="C466" s="57" t="n"/>
      <c r="D466" s="57" t="n"/>
      <c r="E466" s="57" t="n"/>
      <c r="F466" s="57" t="n"/>
      <c r="G466" s="57" t="n"/>
      <c r="H466" s="57" t="n"/>
    </row>
    <row r="467" ht="15.75" customHeight="1" s="94">
      <c r="A467" s="57" t="n"/>
      <c r="B467" s="57" t="n"/>
      <c r="C467" s="57" t="n"/>
      <c r="D467" s="57" t="n"/>
      <c r="E467" s="57" t="n"/>
      <c r="F467" s="57" t="n"/>
      <c r="G467" s="57" t="n"/>
      <c r="H467" s="57" t="n"/>
    </row>
    <row r="468" ht="15.75" customHeight="1" s="94">
      <c r="A468" s="57" t="n"/>
      <c r="B468" s="57" t="n"/>
      <c r="C468" s="57" t="n"/>
      <c r="D468" s="57" t="n"/>
      <c r="E468" s="57" t="n"/>
      <c r="F468" s="57" t="n"/>
      <c r="G468" s="57" t="n"/>
      <c r="H468" s="57" t="n"/>
    </row>
    <row r="469" ht="15.75" customHeight="1" s="94">
      <c r="A469" s="57" t="n"/>
      <c r="B469" s="57" t="n"/>
      <c r="C469" s="57" t="n"/>
      <c r="D469" s="57" t="n"/>
      <c r="E469" s="57" t="n"/>
      <c r="F469" s="57" t="n"/>
      <c r="G469" s="57" t="n"/>
      <c r="H469" s="57" t="n"/>
    </row>
    <row r="470" ht="15.75" customHeight="1" s="94">
      <c r="A470" s="57" t="n"/>
      <c r="B470" s="57" t="n"/>
      <c r="C470" s="57" t="n"/>
      <c r="D470" s="57" t="n"/>
      <c r="E470" s="57" t="n"/>
      <c r="F470" s="57" t="n"/>
      <c r="G470" s="57" t="n"/>
      <c r="H470" s="57" t="n"/>
    </row>
    <row r="471" ht="15.75" customHeight="1" s="94">
      <c r="A471" s="57" t="n"/>
      <c r="B471" s="57" t="n"/>
      <c r="C471" s="57" t="n"/>
      <c r="D471" s="57" t="n"/>
      <c r="E471" s="57" t="n"/>
      <c r="F471" s="57" t="n"/>
      <c r="G471" s="57" t="n"/>
      <c r="H471" s="57" t="n"/>
    </row>
    <row r="472" ht="15.75" customHeight="1" s="94">
      <c r="A472" s="57" t="n"/>
      <c r="B472" s="57" t="n"/>
      <c r="C472" s="57" t="n"/>
      <c r="D472" s="57" t="n"/>
      <c r="E472" s="57" t="n"/>
      <c r="F472" s="57" t="n"/>
      <c r="G472" s="57" t="n"/>
      <c r="H472" s="57" t="n"/>
    </row>
    <row r="473" ht="15.75" customHeight="1" s="94">
      <c r="A473" s="57" t="n"/>
      <c r="B473" s="57" t="n"/>
      <c r="C473" s="57" t="n"/>
      <c r="D473" s="57" t="n"/>
      <c r="E473" s="57" t="n"/>
      <c r="F473" s="57" t="n"/>
      <c r="G473" s="57" t="n"/>
      <c r="H473" s="57" t="n"/>
    </row>
    <row r="474" ht="15.75" customHeight="1" s="94">
      <c r="A474" s="57" t="n"/>
      <c r="B474" s="57" t="n"/>
      <c r="C474" s="57" t="n"/>
      <c r="D474" s="57" t="n"/>
      <c r="E474" s="57" t="n"/>
      <c r="F474" s="57" t="n"/>
      <c r="G474" s="57" t="n"/>
      <c r="H474" s="57" t="n"/>
    </row>
    <row r="475" ht="15.75" customHeight="1" s="94">
      <c r="A475" s="57" t="n"/>
      <c r="B475" s="57" t="n"/>
      <c r="C475" s="57" t="n"/>
      <c r="D475" s="57" t="n"/>
      <c r="E475" s="57" t="n"/>
      <c r="F475" s="57" t="n"/>
      <c r="G475" s="57" t="n"/>
      <c r="H475" s="57" t="n"/>
    </row>
    <row r="476" ht="15.75" customHeight="1" s="94">
      <c r="A476" s="57" t="n"/>
      <c r="B476" s="57" t="n"/>
      <c r="C476" s="57" t="n"/>
      <c r="D476" s="57" t="n"/>
      <c r="E476" s="57" t="n"/>
      <c r="F476" s="57" t="n"/>
      <c r="G476" s="57" t="n"/>
      <c r="H476" s="57" t="n"/>
    </row>
    <row r="477" ht="15.75" customHeight="1" s="94">
      <c r="A477" s="57" t="n"/>
      <c r="B477" s="57" t="n"/>
      <c r="C477" s="57" t="n"/>
      <c r="D477" s="57" t="n"/>
      <c r="E477" s="57" t="n"/>
      <c r="F477" s="57" t="n"/>
      <c r="G477" s="57" t="n"/>
      <c r="H477" s="57" t="n"/>
    </row>
    <row r="478" ht="15.75" customHeight="1" s="94">
      <c r="A478" s="57" t="n"/>
      <c r="B478" s="57" t="n"/>
      <c r="C478" s="57" t="n"/>
      <c r="D478" s="57" t="n"/>
      <c r="E478" s="57" t="n"/>
      <c r="F478" s="57" t="n"/>
      <c r="G478" s="57" t="n"/>
      <c r="H478" s="57" t="n"/>
    </row>
    <row r="479" ht="15.75" customHeight="1" s="94">
      <c r="A479" s="57" t="n"/>
      <c r="B479" s="57" t="n"/>
      <c r="C479" s="57" t="n"/>
      <c r="D479" s="57" t="n"/>
      <c r="E479" s="57" t="n"/>
      <c r="F479" s="57" t="n"/>
      <c r="G479" s="57" t="n"/>
      <c r="H479" s="57" t="n"/>
    </row>
    <row r="480" ht="15.75" customHeight="1" s="94">
      <c r="A480" s="57" t="n"/>
      <c r="B480" s="57" t="n"/>
      <c r="C480" s="57" t="n"/>
      <c r="D480" s="57" t="n"/>
      <c r="E480" s="57" t="n"/>
      <c r="F480" s="57" t="n"/>
      <c r="G480" s="57" t="n"/>
      <c r="H480" s="57" t="n"/>
    </row>
    <row r="481" ht="15.75" customHeight="1" s="94">
      <c r="A481" s="57" t="n"/>
      <c r="B481" s="57" t="n"/>
      <c r="C481" s="57" t="n"/>
      <c r="D481" s="57" t="n"/>
      <c r="E481" s="57" t="n"/>
      <c r="F481" s="57" t="n"/>
      <c r="G481" s="57" t="n"/>
      <c r="H481" s="57" t="n"/>
    </row>
    <row r="482" ht="15.75" customHeight="1" s="94">
      <c r="A482" s="57" t="n"/>
      <c r="B482" s="57" t="n"/>
      <c r="C482" s="57" t="n"/>
      <c r="D482" s="57" t="n"/>
      <c r="E482" s="57" t="n"/>
      <c r="F482" s="57" t="n"/>
      <c r="G482" s="57" t="n"/>
      <c r="H482" s="57" t="n"/>
    </row>
    <row r="483" ht="15.75" customHeight="1" s="94">
      <c r="A483" s="57" t="n"/>
      <c r="B483" s="57" t="n"/>
      <c r="C483" s="57" t="n"/>
      <c r="D483" s="57" t="n"/>
      <c r="E483" s="57" t="n"/>
      <c r="F483" s="57" t="n"/>
      <c r="G483" s="57" t="n"/>
      <c r="H483" s="57" t="n"/>
    </row>
    <row r="484" ht="15.75" customHeight="1" s="94">
      <c r="A484" s="57" t="n"/>
      <c r="B484" s="57" t="n"/>
      <c r="C484" s="57" t="n"/>
      <c r="D484" s="57" t="n"/>
      <c r="E484" s="57" t="n"/>
      <c r="F484" s="57" t="n"/>
      <c r="G484" s="57" t="n"/>
      <c r="H484" s="57" t="n"/>
    </row>
    <row r="485" ht="15.75" customHeight="1" s="94">
      <c r="A485" s="57" t="n"/>
      <c r="B485" s="57" t="n"/>
      <c r="C485" s="57" t="n"/>
      <c r="D485" s="57" t="n"/>
      <c r="E485" s="57" t="n"/>
      <c r="F485" s="57" t="n"/>
      <c r="G485" s="57" t="n"/>
      <c r="H485" s="57" t="n"/>
    </row>
    <row r="486" ht="15.75" customHeight="1" s="94">
      <c r="A486" s="57" t="n"/>
      <c r="B486" s="57" t="n"/>
      <c r="C486" s="57" t="n"/>
      <c r="D486" s="57" t="n"/>
      <c r="E486" s="57" t="n"/>
      <c r="F486" s="57" t="n"/>
      <c r="G486" s="57" t="n"/>
      <c r="H486" s="57" t="n"/>
    </row>
    <row r="487" ht="15.75" customHeight="1" s="94">
      <c r="A487" s="57" t="n"/>
      <c r="B487" s="57" t="n"/>
      <c r="C487" s="57" t="n"/>
      <c r="D487" s="57" t="n"/>
      <c r="E487" s="57" t="n"/>
      <c r="F487" s="57" t="n"/>
      <c r="G487" s="57" t="n"/>
      <c r="H487" s="57" t="n"/>
    </row>
    <row r="488" ht="15.75" customHeight="1" s="94">
      <c r="A488" s="57" t="n"/>
      <c r="B488" s="57" t="n"/>
      <c r="C488" s="57" t="n"/>
      <c r="D488" s="57" t="n"/>
      <c r="E488" s="57" t="n"/>
      <c r="F488" s="57" t="n"/>
      <c r="G488" s="57" t="n"/>
      <c r="H488" s="57" t="n"/>
    </row>
    <row r="489" ht="15.75" customHeight="1" s="94">
      <c r="A489" s="57" t="n"/>
      <c r="B489" s="57" t="n"/>
      <c r="C489" s="57" t="n"/>
      <c r="D489" s="57" t="n"/>
      <c r="E489" s="57" t="n"/>
      <c r="F489" s="57" t="n"/>
      <c r="G489" s="57" t="n"/>
      <c r="H489" s="57" t="n"/>
    </row>
    <row r="490" ht="15.75" customHeight="1" s="94">
      <c r="A490" s="57" t="n"/>
      <c r="B490" s="57" t="n"/>
      <c r="C490" s="57" t="n"/>
      <c r="D490" s="57" t="n"/>
      <c r="E490" s="57" t="n"/>
      <c r="F490" s="57" t="n"/>
      <c r="G490" s="57" t="n"/>
      <c r="H490" s="57" t="n"/>
    </row>
    <row r="491" ht="15.75" customHeight="1" s="94">
      <c r="A491" s="57" t="n"/>
      <c r="B491" s="57" t="n"/>
      <c r="C491" s="57" t="n"/>
      <c r="D491" s="57" t="n"/>
      <c r="E491" s="57" t="n"/>
      <c r="F491" s="57" t="n"/>
      <c r="G491" s="57" t="n"/>
      <c r="H491" s="57" t="n"/>
    </row>
    <row r="492" ht="15.75" customHeight="1" s="94">
      <c r="A492" s="57" t="n"/>
      <c r="B492" s="57" t="n"/>
      <c r="C492" s="57" t="n"/>
      <c r="D492" s="57" t="n"/>
      <c r="E492" s="57" t="n"/>
      <c r="F492" s="57" t="n"/>
      <c r="G492" s="57" t="n"/>
      <c r="H492" s="57" t="n"/>
    </row>
    <row r="493" ht="15.75" customHeight="1" s="94">
      <c r="A493" s="57" t="n"/>
      <c r="B493" s="57" t="n"/>
      <c r="C493" s="57" t="n"/>
      <c r="D493" s="57" t="n"/>
      <c r="E493" s="57" t="n"/>
      <c r="F493" s="57" t="n"/>
      <c r="G493" s="57" t="n"/>
      <c r="H493" s="57" t="n"/>
    </row>
    <row r="494" ht="15.75" customHeight="1" s="94">
      <c r="A494" s="57" t="n"/>
      <c r="B494" s="57" t="n"/>
      <c r="C494" s="57" t="n"/>
      <c r="D494" s="57" t="n"/>
      <c r="E494" s="57" t="n"/>
      <c r="F494" s="57" t="n"/>
      <c r="G494" s="57" t="n"/>
      <c r="H494" s="57" t="n"/>
    </row>
    <row r="495" ht="15.75" customHeight="1" s="94">
      <c r="A495" s="57" t="n"/>
      <c r="B495" s="57" t="n"/>
      <c r="C495" s="57" t="n"/>
      <c r="D495" s="57" t="n"/>
      <c r="E495" s="57" t="n"/>
      <c r="F495" s="57" t="n"/>
      <c r="G495" s="57" t="n"/>
      <c r="H495" s="57" t="n"/>
    </row>
    <row r="496" ht="15.75" customHeight="1" s="94">
      <c r="A496" s="57" t="n"/>
      <c r="B496" s="57" t="n"/>
      <c r="C496" s="57" t="n"/>
      <c r="D496" s="57" t="n"/>
      <c r="E496" s="57" t="n"/>
      <c r="F496" s="57" t="n"/>
      <c r="G496" s="57" t="n"/>
      <c r="H496" s="57" t="n"/>
    </row>
    <row r="497" ht="15.75" customHeight="1" s="94">
      <c r="A497" s="57" t="n"/>
      <c r="B497" s="57" t="n"/>
      <c r="C497" s="57" t="n"/>
      <c r="D497" s="57" t="n"/>
      <c r="E497" s="57" t="n"/>
      <c r="F497" s="57" t="n"/>
      <c r="G497" s="57" t="n"/>
      <c r="H497" s="57" t="n"/>
    </row>
    <row r="498" ht="15.75" customHeight="1" s="94">
      <c r="A498" s="57" t="n"/>
      <c r="B498" s="57" t="n"/>
      <c r="C498" s="57" t="n"/>
      <c r="D498" s="57" t="n"/>
      <c r="E498" s="57" t="n"/>
      <c r="F498" s="57" t="n"/>
      <c r="G498" s="57" t="n"/>
      <c r="H498" s="57" t="n"/>
    </row>
    <row r="499" ht="15.75" customHeight="1" s="94">
      <c r="A499" s="57" t="n"/>
      <c r="B499" s="57" t="n"/>
      <c r="C499" s="57" t="n"/>
      <c r="D499" s="57" t="n"/>
      <c r="E499" s="57" t="n"/>
      <c r="F499" s="57" t="n"/>
      <c r="G499" s="57" t="n"/>
      <c r="H499" s="57" t="n"/>
    </row>
    <row r="500" ht="15.75" customHeight="1" s="94">
      <c r="A500" s="57" t="n"/>
      <c r="B500" s="57" t="n"/>
      <c r="C500" s="57" t="n"/>
      <c r="D500" s="57" t="n"/>
      <c r="E500" s="57" t="n"/>
      <c r="F500" s="57" t="n"/>
      <c r="G500" s="57" t="n"/>
      <c r="H500" s="57" t="n"/>
    </row>
    <row r="501" ht="15.75" customHeight="1" s="94">
      <c r="A501" s="57" t="n"/>
      <c r="B501" s="57" t="n"/>
      <c r="C501" s="57" t="n"/>
      <c r="D501" s="57" t="n"/>
      <c r="E501" s="57" t="n"/>
      <c r="F501" s="57" t="n"/>
      <c r="G501" s="57" t="n"/>
      <c r="H501" s="57" t="n"/>
    </row>
    <row r="502" ht="15.75" customHeight="1" s="94">
      <c r="A502" s="57" t="n"/>
      <c r="B502" s="57" t="n"/>
      <c r="C502" s="57" t="n"/>
      <c r="D502" s="57" t="n"/>
      <c r="E502" s="57" t="n"/>
      <c r="F502" s="57" t="n"/>
      <c r="G502" s="57" t="n"/>
      <c r="H502" s="57" t="n"/>
    </row>
    <row r="503" ht="15.75" customHeight="1" s="94">
      <c r="A503" s="57" t="n"/>
      <c r="B503" s="57" t="n"/>
      <c r="C503" s="57" t="n"/>
      <c r="D503" s="57" t="n"/>
      <c r="E503" s="57" t="n"/>
      <c r="F503" s="57" t="n"/>
      <c r="G503" s="57" t="n"/>
      <c r="H503" s="57" t="n"/>
    </row>
    <row r="504" ht="15.75" customHeight="1" s="94">
      <c r="A504" s="57" t="n"/>
      <c r="B504" s="57" t="n"/>
      <c r="C504" s="57" t="n"/>
      <c r="D504" s="57" t="n"/>
      <c r="E504" s="57" t="n"/>
      <c r="F504" s="57" t="n"/>
      <c r="G504" s="57" t="n"/>
      <c r="H504" s="57" t="n"/>
    </row>
    <row r="505" ht="15.75" customHeight="1" s="94">
      <c r="A505" s="57" t="n"/>
      <c r="B505" s="57" t="n"/>
      <c r="C505" s="57" t="n"/>
      <c r="D505" s="57" t="n"/>
      <c r="E505" s="57" t="n"/>
      <c r="F505" s="57" t="n"/>
      <c r="G505" s="57" t="n"/>
      <c r="H505" s="57" t="n"/>
    </row>
    <row r="506" ht="15.75" customHeight="1" s="94">
      <c r="A506" s="57" t="n"/>
      <c r="B506" s="57" t="n"/>
      <c r="C506" s="57" t="n"/>
      <c r="D506" s="57" t="n"/>
      <c r="E506" s="57" t="n"/>
      <c r="F506" s="57" t="n"/>
      <c r="G506" s="57" t="n"/>
      <c r="H506" s="57" t="n"/>
    </row>
    <row r="507" ht="15.75" customHeight="1" s="94">
      <c r="A507" s="57" t="n"/>
      <c r="B507" s="57" t="n"/>
      <c r="C507" s="57" t="n"/>
      <c r="D507" s="57" t="n"/>
      <c r="E507" s="57" t="n"/>
      <c r="F507" s="57" t="n"/>
      <c r="G507" s="57" t="n"/>
      <c r="H507" s="57" t="n"/>
    </row>
    <row r="508" ht="15.75" customHeight="1" s="94">
      <c r="A508" s="57" t="n"/>
      <c r="B508" s="57" t="n"/>
      <c r="C508" s="57" t="n"/>
      <c r="D508" s="57" t="n"/>
      <c r="E508" s="57" t="n"/>
      <c r="F508" s="57" t="n"/>
      <c r="G508" s="57" t="n"/>
      <c r="H508" s="57" t="n"/>
    </row>
    <row r="509" ht="15.75" customHeight="1" s="94">
      <c r="A509" s="57" t="n"/>
      <c r="B509" s="57" t="n"/>
      <c r="C509" s="57" t="n"/>
      <c r="D509" s="57" t="n"/>
      <c r="E509" s="57" t="n"/>
      <c r="F509" s="57" t="n"/>
      <c r="G509" s="57" t="n"/>
      <c r="H509" s="57" t="n"/>
    </row>
    <row r="510" ht="15.75" customHeight="1" s="94">
      <c r="A510" s="57" t="n"/>
      <c r="B510" s="57" t="n"/>
      <c r="C510" s="57" t="n"/>
      <c r="D510" s="57" t="n"/>
      <c r="E510" s="57" t="n"/>
      <c r="F510" s="57" t="n"/>
      <c r="G510" s="57" t="n"/>
      <c r="H510" s="57" t="n"/>
    </row>
    <row r="511" ht="15.75" customHeight="1" s="94">
      <c r="A511" s="57" t="n"/>
      <c r="B511" s="57" t="n"/>
      <c r="C511" s="57" t="n"/>
      <c r="D511" s="57" t="n"/>
      <c r="E511" s="57" t="n"/>
      <c r="F511" s="57" t="n"/>
      <c r="G511" s="57" t="n"/>
      <c r="H511" s="57" t="n"/>
    </row>
    <row r="512" ht="15.75" customHeight="1" s="94">
      <c r="A512" s="57" t="n"/>
      <c r="B512" s="57" t="n"/>
      <c r="C512" s="57" t="n"/>
      <c r="D512" s="57" t="n"/>
      <c r="E512" s="57" t="n"/>
      <c r="F512" s="57" t="n"/>
      <c r="G512" s="57" t="n"/>
      <c r="H512" s="57" t="n"/>
    </row>
    <row r="513" ht="15.75" customHeight="1" s="94">
      <c r="A513" s="57" t="n"/>
      <c r="B513" s="57" t="n"/>
      <c r="C513" s="57" t="n"/>
      <c r="D513" s="57" t="n"/>
      <c r="E513" s="57" t="n"/>
      <c r="F513" s="57" t="n"/>
      <c r="G513" s="57" t="n"/>
      <c r="H513" s="57" t="n"/>
    </row>
    <row r="514" ht="15.75" customHeight="1" s="94">
      <c r="A514" s="57" t="n"/>
      <c r="B514" s="57" t="n"/>
      <c r="C514" s="57" t="n"/>
      <c r="D514" s="57" t="n"/>
      <c r="E514" s="57" t="n"/>
      <c r="F514" s="57" t="n"/>
      <c r="G514" s="57" t="n"/>
      <c r="H514" s="57" t="n"/>
    </row>
    <row r="515" ht="15.75" customHeight="1" s="94">
      <c r="A515" s="57" t="n"/>
      <c r="B515" s="57" t="n"/>
      <c r="C515" s="57" t="n"/>
      <c r="D515" s="57" t="n"/>
      <c r="E515" s="57" t="n"/>
      <c r="F515" s="57" t="n"/>
      <c r="G515" s="57" t="n"/>
      <c r="H515" s="57" t="n"/>
    </row>
    <row r="516" ht="15.75" customHeight="1" s="94">
      <c r="A516" s="57" t="n"/>
      <c r="B516" s="57" t="n"/>
      <c r="C516" s="57" t="n"/>
      <c r="D516" s="57" t="n"/>
      <c r="E516" s="57" t="n"/>
      <c r="F516" s="57" t="n"/>
      <c r="G516" s="57" t="n"/>
      <c r="H516" s="57" t="n"/>
    </row>
    <row r="517" ht="15.75" customHeight="1" s="94">
      <c r="A517" s="57" t="n"/>
      <c r="B517" s="57" t="n"/>
      <c r="C517" s="57" t="n"/>
      <c r="D517" s="57" t="n"/>
      <c r="E517" s="57" t="n"/>
      <c r="F517" s="57" t="n"/>
      <c r="G517" s="57" t="n"/>
      <c r="H517" s="57" t="n"/>
    </row>
    <row r="518" ht="15.75" customHeight="1" s="94">
      <c r="A518" s="57" t="n"/>
      <c r="B518" s="57" t="n"/>
      <c r="C518" s="57" t="n"/>
      <c r="D518" s="57" t="n"/>
      <c r="E518" s="57" t="n"/>
      <c r="F518" s="57" t="n"/>
      <c r="G518" s="57" t="n"/>
      <c r="H518" s="57" t="n"/>
    </row>
    <row r="519" ht="15.75" customHeight="1" s="94">
      <c r="A519" s="57" t="n"/>
      <c r="B519" s="57" t="n"/>
      <c r="C519" s="57" t="n"/>
      <c r="D519" s="57" t="n"/>
      <c r="E519" s="57" t="n"/>
      <c r="F519" s="57" t="n"/>
      <c r="G519" s="57" t="n"/>
      <c r="H519" s="57" t="n"/>
    </row>
    <row r="520" ht="15.75" customHeight="1" s="94">
      <c r="A520" s="57" t="n"/>
      <c r="B520" s="57" t="n"/>
      <c r="C520" s="57" t="n"/>
      <c r="D520" s="57" t="n"/>
      <c r="E520" s="57" t="n"/>
      <c r="F520" s="57" t="n"/>
      <c r="G520" s="57" t="n"/>
      <c r="H520" s="57" t="n"/>
    </row>
    <row r="521" ht="15.75" customHeight="1" s="94">
      <c r="A521" s="57" t="n"/>
      <c r="B521" s="57" t="n"/>
      <c r="C521" s="57" t="n"/>
      <c r="D521" s="57" t="n"/>
      <c r="E521" s="57" t="n"/>
      <c r="F521" s="57" t="n"/>
      <c r="G521" s="57" t="n"/>
      <c r="H521" s="57" t="n"/>
    </row>
    <row r="522" ht="15.75" customHeight="1" s="94">
      <c r="A522" s="57" t="n"/>
      <c r="B522" s="57" t="n"/>
      <c r="C522" s="57" t="n"/>
      <c r="D522" s="57" t="n"/>
      <c r="E522" s="57" t="n"/>
      <c r="F522" s="57" t="n"/>
      <c r="G522" s="57" t="n"/>
      <c r="H522" s="57" t="n"/>
    </row>
    <row r="523" ht="15.75" customHeight="1" s="94">
      <c r="A523" s="57" t="n"/>
      <c r="B523" s="57" t="n"/>
      <c r="C523" s="57" t="n"/>
      <c r="D523" s="57" t="n"/>
      <c r="E523" s="57" t="n"/>
      <c r="F523" s="57" t="n"/>
      <c r="G523" s="57" t="n"/>
      <c r="H523" s="57" t="n"/>
    </row>
    <row r="524" ht="15.75" customHeight="1" s="94">
      <c r="A524" s="57" t="n"/>
      <c r="B524" s="57" t="n"/>
      <c r="C524" s="57" t="n"/>
      <c r="D524" s="57" t="n"/>
      <c r="E524" s="57" t="n"/>
      <c r="F524" s="57" t="n"/>
      <c r="G524" s="57" t="n"/>
      <c r="H524" s="57" t="n"/>
    </row>
    <row r="525" ht="15.75" customHeight="1" s="94">
      <c r="A525" s="57" t="n"/>
      <c r="B525" s="57" t="n"/>
      <c r="C525" s="57" t="n"/>
      <c r="D525" s="57" t="n"/>
      <c r="E525" s="57" t="n"/>
      <c r="F525" s="57" t="n"/>
      <c r="G525" s="57" t="n"/>
      <c r="H525" s="57" t="n"/>
    </row>
    <row r="526" ht="15.75" customHeight="1" s="94">
      <c r="A526" s="57" t="n"/>
      <c r="B526" s="57" t="n"/>
      <c r="C526" s="57" t="n"/>
      <c r="D526" s="57" t="n"/>
      <c r="E526" s="57" t="n"/>
      <c r="F526" s="57" t="n"/>
      <c r="G526" s="57" t="n"/>
      <c r="H526" s="57" t="n"/>
    </row>
    <row r="527" ht="15.75" customHeight="1" s="94">
      <c r="A527" s="57" t="n"/>
      <c r="B527" s="57" t="n"/>
      <c r="C527" s="57" t="n"/>
      <c r="D527" s="57" t="n"/>
      <c r="E527" s="57" t="n"/>
      <c r="F527" s="57" t="n"/>
      <c r="G527" s="57" t="n"/>
      <c r="H527" s="57" t="n"/>
    </row>
    <row r="528" ht="15.75" customHeight="1" s="94">
      <c r="A528" s="57" t="n"/>
      <c r="B528" s="57" t="n"/>
      <c r="C528" s="57" t="n"/>
      <c r="D528" s="57" t="n"/>
      <c r="E528" s="57" t="n"/>
      <c r="F528" s="57" t="n"/>
      <c r="G528" s="57" t="n"/>
      <c r="H528" s="57" t="n"/>
    </row>
    <row r="529" ht="15.75" customHeight="1" s="94">
      <c r="A529" s="57" t="n"/>
      <c r="B529" s="57" t="n"/>
      <c r="C529" s="57" t="n"/>
      <c r="D529" s="57" t="n"/>
      <c r="E529" s="57" t="n"/>
      <c r="F529" s="57" t="n"/>
      <c r="G529" s="57" t="n"/>
      <c r="H529" s="57" t="n"/>
    </row>
    <row r="530" ht="15.75" customHeight="1" s="94">
      <c r="A530" s="57" t="n"/>
      <c r="B530" s="57" t="n"/>
      <c r="C530" s="57" t="n"/>
      <c r="D530" s="57" t="n"/>
      <c r="E530" s="57" t="n"/>
      <c r="F530" s="57" t="n"/>
      <c r="G530" s="57" t="n"/>
      <c r="H530" s="57" t="n"/>
    </row>
    <row r="531" ht="15.75" customHeight="1" s="94">
      <c r="A531" s="57" t="n"/>
      <c r="B531" s="57" t="n"/>
      <c r="C531" s="57" t="n"/>
      <c r="D531" s="57" t="n"/>
      <c r="E531" s="57" t="n"/>
      <c r="F531" s="57" t="n"/>
      <c r="G531" s="57" t="n"/>
      <c r="H531" s="57" t="n"/>
    </row>
    <row r="532" ht="15.75" customHeight="1" s="94">
      <c r="A532" s="57" t="n"/>
      <c r="B532" s="57" t="n"/>
      <c r="C532" s="57" t="n"/>
      <c r="D532" s="57" t="n"/>
      <c r="E532" s="57" t="n"/>
      <c r="F532" s="57" t="n"/>
      <c r="G532" s="57" t="n"/>
      <c r="H532" s="57" t="n"/>
    </row>
    <row r="533" ht="15.75" customHeight="1" s="94">
      <c r="A533" s="57" t="n"/>
      <c r="B533" s="57" t="n"/>
      <c r="C533" s="57" t="n"/>
      <c r="D533" s="57" t="n"/>
      <c r="E533" s="57" t="n"/>
      <c r="F533" s="57" t="n"/>
      <c r="G533" s="57" t="n"/>
      <c r="H533" s="57" t="n"/>
    </row>
    <row r="534" ht="15.75" customHeight="1" s="94">
      <c r="A534" s="57" t="n"/>
      <c r="B534" s="57" t="n"/>
      <c r="C534" s="57" t="n"/>
      <c r="D534" s="57" t="n"/>
      <c r="E534" s="57" t="n"/>
      <c r="F534" s="57" t="n"/>
      <c r="G534" s="57" t="n"/>
      <c r="H534" s="57" t="n"/>
    </row>
    <row r="535" ht="15.75" customHeight="1" s="94">
      <c r="A535" s="57" t="n"/>
      <c r="B535" s="57" t="n"/>
      <c r="C535" s="57" t="n"/>
      <c r="D535" s="57" t="n"/>
      <c r="E535" s="57" t="n"/>
      <c r="F535" s="57" t="n"/>
      <c r="G535" s="57" t="n"/>
      <c r="H535" s="57" t="n"/>
    </row>
    <row r="536" ht="15.75" customHeight="1" s="94">
      <c r="A536" s="57" t="n"/>
      <c r="B536" s="57" t="n"/>
      <c r="C536" s="57" t="n"/>
      <c r="D536" s="57" t="n"/>
      <c r="E536" s="57" t="n"/>
      <c r="F536" s="57" t="n"/>
      <c r="G536" s="57" t="n"/>
      <c r="H536" s="57" t="n"/>
    </row>
    <row r="537" ht="15.75" customHeight="1" s="94">
      <c r="A537" s="57" t="n"/>
      <c r="B537" s="57" t="n"/>
      <c r="C537" s="57" t="n"/>
      <c r="D537" s="57" t="n"/>
      <c r="E537" s="57" t="n"/>
      <c r="F537" s="57" t="n"/>
      <c r="G537" s="57" t="n"/>
      <c r="H537" s="57" t="n"/>
    </row>
    <row r="538" ht="15.75" customHeight="1" s="94">
      <c r="A538" s="57" t="n"/>
      <c r="B538" s="57" t="n"/>
      <c r="C538" s="57" t="n"/>
      <c r="D538" s="57" t="n"/>
      <c r="E538" s="57" t="n"/>
      <c r="F538" s="57" t="n"/>
      <c r="G538" s="57" t="n"/>
      <c r="H538" s="57" t="n"/>
    </row>
    <row r="539" ht="15.75" customHeight="1" s="94">
      <c r="A539" s="57" t="n"/>
      <c r="B539" s="57" t="n"/>
      <c r="C539" s="57" t="n"/>
      <c r="D539" s="57" t="n"/>
      <c r="E539" s="57" t="n"/>
      <c r="F539" s="57" t="n"/>
      <c r="G539" s="57" t="n"/>
      <c r="H539" s="57" t="n"/>
    </row>
    <row r="540" ht="15.75" customHeight="1" s="94">
      <c r="A540" s="57" t="n"/>
      <c r="B540" s="57" t="n"/>
      <c r="C540" s="57" t="n"/>
      <c r="D540" s="57" t="n"/>
      <c r="E540" s="57" t="n"/>
      <c r="F540" s="57" t="n"/>
      <c r="G540" s="57" t="n"/>
      <c r="H540" s="57" t="n"/>
    </row>
    <row r="541" ht="15.75" customHeight="1" s="94">
      <c r="A541" s="57" t="n"/>
      <c r="B541" s="57" t="n"/>
      <c r="C541" s="57" t="n"/>
      <c r="D541" s="57" t="n"/>
      <c r="E541" s="57" t="n"/>
      <c r="F541" s="57" t="n"/>
      <c r="G541" s="57" t="n"/>
      <c r="H541" s="57" t="n"/>
    </row>
    <row r="542" ht="15.75" customHeight="1" s="94">
      <c r="A542" s="57" t="n"/>
      <c r="B542" s="57" t="n"/>
      <c r="C542" s="57" t="n"/>
      <c r="D542" s="57" t="n"/>
      <c r="E542" s="57" t="n"/>
      <c r="F542" s="57" t="n"/>
      <c r="G542" s="57" t="n"/>
      <c r="H542" s="57" t="n"/>
    </row>
    <row r="543" ht="15.75" customHeight="1" s="94">
      <c r="A543" s="57" t="n"/>
      <c r="B543" s="57" t="n"/>
      <c r="C543" s="57" t="n"/>
      <c r="D543" s="57" t="n"/>
      <c r="E543" s="57" t="n"/>
      <c r="F543" s="57" t="n"/>
      <c r="G543" s="57" t="n"/>
      <c r="H543" s="57" t="n"/>
    </row>
    <row r="544" ht="15.75" customHeight="1" s="94">
      <c r="A544" s="57" t="n"/>
      <c r="B544" s="57" t="n"/>
      <c r="C544" s="57" t="n"/>
      <c r="D544" s="57" t="n"/>
      <c r="E544" s="57" t="n"/>
      <c r="F544" s="57" t="n"/>
      <c r="G544" s="57" t="n"/>
      <c r="H544" s="57" t="n"/>
    </row>
    <row r="545" ht="15.75" customHeight="1" s="94">
      <c r="A545" s="57" t="n"/>
      <c r="B545" s="57" t="n"/>
      <c r="C545" s="57" t="n"/>
      <c r="D545" s="57" t="n"/>
      <c r="E545" s="57" t="n"/>
      <c r="F545" s="57" t="n"/>
      <c r="G545" s="57" t="n"/>
      <c r="H545" s="57" t="n"/>
    </row>
    <row r="546" ht="15.75" customHeight="1" s="94">
      <c r="A546" s="57" t="n"/>
      <c r="B546" s="57" t="n"/>
      <c r="C546" s="57" t="n"/>
      <c r="D546" s="57" t="n"/>
      <c r="E546" s="57" t="n"/>
      <c r="F546" s="57" t="n"/>
      <c r="G546" s="57" t="n"/>
      <c r="H546" s="57" t="n"/>
    </row>
    <row r="547" ht="15.75" customHeight="1" s="94">
      <c r="A547" s="57" t="n"/>
      <c r="B547" s="57" t="n"/>
      <c r="C547" s="57" t="n"/>
      <c r="D547" s="57" t="n"/>
      <c r="E547" s="57" t="n"/>
      <c r="F547" s="57" t="n"/>
      <c r="G547" s="57" t="n"/>
      <c r="H547" s="57" t="n"/>
    </row>
    <row r="548" ht="15.75" customHeight="1" s="94">
      <c r="A548" s="57" t="n"/>
      <c r="B548" s="57" t="n"/>
      <c r="C548" s="57" t="n"/>
      <c r="D548" s="57" t="n"/>
      <c r="E548" s="57" t="n"/>
      <c r="F548" s="57" t="n"/>
      <c r="G548" s="57" t="n"/>
      <c r="H548" s="57" t="n"/>
    </row>
    <row r="549" ht="15.75" customHeight="1" s="94">
      <c r="A549" s="57" t="n"/>
      <c r="B549" s="57" t="n"/>
      <c r="C549" s="57" t="n"/>
      <c r="D549" s="57" t="n"/>
      <c r="E549" s="57" t="n"/>
      <c r="F549" s="57" t="n"/>
      <c r="G549" s="57" t="n"/>
      <c r="H549" s="57" t="n"/>
    </row>
    <row r="550" ht="15.75" customHeight="1" s="94">
      <c r="A550" s="57" t="n"/>
      <c r="B550" s="57" t="n"/>
      <c r="C550" s="57" t="n"/>
      <c r="D550" s="57" t="n"/>
      <c r="E550" s="57" t="n"/>
      <c r="F550" s="57" t="n"/>
      <c r="G550" s="57" t="n"/>
      <c r="H550" s="57" t="n"/>
    </row>
    <row r="551" ht="15.75" customHeight="1" s="94">
      <c r="A551" s="57" t="n"/>
      <c r="B551" s="57" t="n"/>
      <c r="C551" s="57" t="n"/>
      <c r="D551" s="57" t="n"/>
      <c r="E551" s="57" t="n"/>
      <c r="F551" s="57" t="n"/>
      <c r="G551" s="57" t="n"/>
      <c r="H551" s="57" t="n"/>
    </row>
    <row r="552" ht="15.75" customHeight="1" s="94">
      <c r="A552" s="57" t="n"/>
      <c r="B552" s="57" t="n"/>
      <c r="C552" s="57" t="n"/>
      <c r="D552" s="57" t="n"/>
      <c r="E552" s="57" t="n"/>
      <c r="F552" s="57" t="n"/>
      <c r="G552" s="57" t="n"/>
      <c r="H552" s="57" t="n"/>
    </row>
    <row r="553" ht="15.75" customHeight="1" s="94">
      <c r="A553" s="57" t="n"/>
      <c r="B553" s="57" t="n"/>
      <c r="C553" s="57" t="n"/>
      <c r="D553" s="57" t="n"/>
      <c r="E553" s="57" t="n"/>
      <c r="F553" s="57" t="n"/>
      <c r="G553" s="57" t="n"/>
      <c r="H553" s="57" t="n"/>
    </row>
    <row r="554" ht="15.75" customHeight="1" s="94">
      <c r="A554" s="57" t="n"/>
      <c r="B554" s="57" t="n"/>
      <c r="C554" s="57" t="n"/>
      <c r="D554" s="57" t="n"/>
      <c r="E554" s="57" t="n"/>
      <c r="F554" s="57" t="n"/>
      <c r="G554" s="57" t="n"/>
      <c r="H554" s="57" t="n"/>
    </row>
    <row r="555" ht="15.75" customHeight="1" s="94">
      <c r="A555" s="57" t="n"/>
      <c r="B555" s="57" t="n"/>
      <c r="C555" s="57" t="n"/>
      <c r="D555" s="57" t="n"/>
      <c r="E555" s="57" t="n"/>
      <c r="F555" s="57" t="n"/>
      <c r="G555" s="57" t="n"/>
      <c r="H555" s="57" t="n"/>
    </row>
    <row r="556" ht="15.75" customHeight="1" s="94">
      <c r="A556" s="57" t="n"/>
      <c r="B556" s="57" t="n"/>
      <c r="C556" s="57" t="n"/>
      <c r="D556" s="57" t="n"/>
      <c r="E556" s="57" t="n"/>
      <c r="F556" s="57" t="n"/>
      <c r="G556" s="57" t="n"/>
      <c r="H556" s="57" t="n"/>
    </row>
    <row r="557" ht="15.75" customHeight="1" s="94">
      <c r="A557" s="57" t="n"/>
      <c r="B557" s="57" t="n"/>
      <c r="C557" s="57" t="n"/>
      <c r="D557" s="57" t="n"/>
      <c r="E557" s="57" t="n"/>
      <c r="F557" s="57" t="n"/>
      <c r="G557" s="57" t="n"/>
      <c r="H557" s="57" t="n"/>
    </row>
    <row r="558" ht="15.75" customHeight="1" s="94">
      <c r="A558" s="57" t="n"/>
      <c r="B558" s="57" t="n"/>
      <c r="C558" s="57" t="n"/>
      <c r="D558" s="57" t="n"/>
      <c r="E558" s="57" t="n"/>
      <c r="F558" s="57" t="n"/>
      <c r="G558" s="57" t="n"/>
      <c r="H558" s="57" t="n"/>
    </row>
    <row r="559" ht="15.75" customHeight="1" s="94">
      <c r="A559" s="57" t="n"/>
      <c r="B559" s="57" t="n"/>
      <c r="C559" s="57" t="n"/>
      <c r="D559" s="57" t="n"/>
      <c r="E559" s="57" t="n"/>
      <c r="F559" s="57" t="n"/>
      <c r="G559" s="57" t="n"/>
      <c r="H559" s="57" t="n"/>
    </row>
    <row r="560" ht="15.75" customHeight="1" s="94">
      <c r="A560" s="57" t="n"/>
      <c r="B560" s="57" t="n"/>
      <c r="C560" s="57" t="n"/>
      <c r="D560" s="57" t="n"/>
      <c r="E560" s="57" t="n"/>
      <c r="F560" s="57" t="n"/>
      <c r="G560" s="57" t="n"/>
      <c r="H560" s="57" t="n"/>
    </row>
    <row r="561" ht="15.75" customHeight="1" s="94">
      <c r="A561" s="57" t="n"/>
      <c r="B561" s="57" t="n"/>
      <c r="C561" s="57" t="n"/>
      <c r="D561" s="57" t="n"/>
      <c r="E561" s="57" t="n"/>
      <c r="F561" s="57" t="n"/>
      <c r="G561" s="57" t="n"/>
      <c r="H561" s="57" t="n"/>
    </row>
    <row r="562" ht="15.75" customHeight="1" s="94">
      <c r="A562" s="57" t="n"/>
      <c r="B562" s="57" t="n"/>
      <c r="C562" s="57" t="n"/>
      <c r="D562" s="57" t="n"/>
      <c r="E562" s="57" t="n"/>
      <c r="F562" s="57" t="n"/>
      <c r="G562" s="57" t="n"/>
      <c r="H562" s="57" t="n"/>
    </row>
    <row r="563" ht="15.75" customHeight="1" s="94">
      <c r="A563" s="57" t="n"/>
      <c r="B563" s="57" t="n"/>
      <c r="C563" s="57" t="n"/>
      <c r="D563" s="57" t="n"/>
      <c r="E563" s="57" t="n"/>
      <c r="F563" s="57" t="n"/>
      <c r="G563" s="57" t="n"/>
      <c r="H563" s="57" t="n"/>
    </row>
    <row r="564" ht="15.75" customHeight="1" s="94">
      <c r="A564" s="57" t="n"/>
      <c r="B564" s="57" t="n"/>
      <c r="C564" s="57" t="n"/>
      <c r="D564" s="57" t="n"/>
      <c r="E564" s="57" t="n"/>
      <c r="F564" s="57" t="n"/>
      <c r="G564" s="57" t="n"/>
      <c r="H564" s="57" t="n"/>
    </row>
    <row r="565" ht="15.75" customHeight="1" s="94">
      <c r="A565" s="57" t="n"/>
      <c r="B565" s="57" t="n"/>
      <c r="C565" s="57" t="n"/>
      <c r="D565" s="57" t="n"/>
      <c r="E565" s="57" t="n"/>
      <c r="F565" s="57" t="n"/>
      <c r="G565" s="57" t="n"/>
      <c r="H565" s="57" t="n"/>
    </row>
    <row r="566" ht="15.75" customHeight="1" s="94">
      <c r="A566" s="57" t="n"/>
      <c r="B566" s="57" t="n"/>
      <c r="C566" s="57" t="n"/>
      <c r="D566" s="57" t="n"/>
      <c r="E566" s="57" t="n"/>
      <c r="F566" s="57" t="n"/>
      <c r="G566" s="57" t="n"/>
      <c r="H566" s="57" t="n"/>
    </row>
    <row r="567" ht="15.75" customHeight="1" s="94">
      <c r="A567" s="57" t="n"/>
      <c r="B567" s="57" t="n"/>
      <c r="C567" s="57" t="n"/>
      <c r="D567" s="57" t="n"/>
      <c r="E567" s="57" t="n"/>
      <c r="F567" s="57" t="n"/>
      <c r="G567" s="57" t="n"/>
      <c r="H567" s="57" t="n"/>
    </row>
    <row r="568" ht="15.75" customHeight="1" s="94">
      <c r="A568" s="57" t="n"/>
      <c r="B568" s="57" t="n"/>
      <c r="C568" s="57" t="n"/>
      <c r="D568" s="57" t="n"/>
      <c r="E568" s="57" t="n"/>
      <c r="F568" s="57" t="n"/>
      <c r="G568" s="57" t="n"/>
      <c r="H568" s="57" t="n"/>
    </row>
    <row r="569" ht="15.75" customHeight="1" s="94">
      <c r="A569" s="57" t="n"/>
      <c r="B569" s="57" t="n"/>
      <c r="C569" s="57" t="n"/>
      <c r="D569" s="57" t="n"/>
      <c r="E569" s="57" t="n"/>
      <c r="F569" s="57" t="n"/>
      <c r="G569" s="57" t="n"/>
      <c r="H569" s="57" t="n"/>
    </row>
    <row r="570" ht="15.75" customHeight="1" s="94">
      <c r="A570" s="57" t="n"/>
      <c r="B570" s="57" t="n"/>
      <c r="C570" s="57" t="n"/>
      <c r="D570" s="57" t="n"/>
      <c r="E570" s="57" t="n"/>
      <c r="F570" s="57" t="n"/>
      <c r="G570" s="57" t="n"/>
      <c r="H570" s="57" t="n"/>
    </row>
    <row r="571" ht="15.75" customHeight="1" s="94">
      <c r="A571" s="57" t="n"/>
      <c r="B571" s="57" t="n"/>
      <c r="C571" s="57" t="n"/>
      <c r="D571" s="57" t="n"/>
      <c r="E571" s="57" t="n"/>
      <c r="F571" s="57" t="n"/>
      <c r="G571" s="57" t="n"/>
      <c r="H571" s="57" t="n"/>
    </row>
    <row r="572" ht="15.75" customHeight="1" s="94">
      <c r="A572" s="57" t="n"/>
      <c r="B572" s="57" t="n"/>
      <c r="C572" s="57" t="n"/>
      <c r="D572" s="57" t="n"/>
      <c r="E572" s="57" t="n"/>
      <c r="F572" s="57" t="n"/>
      <c r="G572" s="57" t="n"/>
      <c r="H572" s="57" t="n"/>
    </row>
    <row r="573" ht="15.75" customHeight="1" s="94">
      <c r="A573" s="57" t="n"/>
      <c r="B573" s="57" t="n"/>
      <c r="C573" s="57" t="n"/>
      <c r="D573" s="57" t="n"/>
      <c r="E573" s="57" t="n"/>
      <c r="F573" s="57" t="n"/>
      <c r="G573" s="57" t="n"/>
      <c r="H573" s="57" t="n"/>
    </row>
    <row r="574" ht="15.75" customHeight="1" s="94">
      <c r="A574" s="57" t="n"/>
      <c r="B574" s="57" t="n"/>
      <c r="C574" s="57" t="n"/>
      <c r="D574" s="57" t="n"/>
      <c r="E574" s="57" t="n"/>
      <c r="F574" s="57" t="n"/>
      <c r="G574" s="57" t="n"/>
      <c r="H574" s="57" t="n"/>
    </row>
    <row r="575" ht="15.75" customHeight="1" s="94">
      <c r="A575" s="57" t="n"/>
      <c r="B575" s="57" t="n"/>
      <c r="C575" s="57" t="n"/>
      <c r="D575" s="57" t="n"/>
      <c r="E575" s="57" t="n"/>
      <c r="F575" s="57" t="n"/>
      <c r="G575" s="57" t="n"/>
      <c r="H575" s="57" t="n"/>
    </row>
    <row r="576" ht="15.75" customHeight="1" s="94">
      <c r="A576" s="57" t="n"/>
      <c r="B576" s="57" t="n"/>
      <c r="C576" s="57" t="n"/>
      <c r="D576" s="57" t="n"/>
      <c r="E576" s="57" t="n"/>
      <c r="F576" s="57" t="n"/>
      <c r="G576" s="57" t="n"/>
      <c r="H576" s="57" t="n"/>
    </row>
    <row r="577" ht="15.75" customHeight="1" s="94">
      <c r="A577" s="57" t="n"/>
      <c r="B577" s="57" t="n"/>
      <c r="C577" s="57" t="n"/>
      <c r="D577" s="57" t="n"/>
      <c r="E577" s="57" t="n"/>
      <c r="F577" s="57" t="n"/>
      <c r="G577" s="57" t="n"/>
      <c r="H577" s="57" t="n"/>
    </row>
    <row r="578" ht="15.75" customHeight="1" s="94">
      <c r="A578" s="57" t="n"/>
      <c r="B578" s="57" t="n"/>
      <c r="C578" s="57" t="n"/>
      <c r="D578" s="57" t="n"/>
      <c r="E578" s="57" t="n"/>
      <c r="F578" s="57" t="n"/>
      <c r="G578" s="57" t="n"/>
      <c r="H578" s="57" t="n"/>
    </row>
    <row r="579" ht="15.75" customHeight="1" s="94">
      <c r="A579" s="57" t="n"/>
      <c r="B579" s="57" t="n"/>
      <c r="C579" s="57" t="n"/>
      <c r="D579" s="57" t="n"/>
      <c r="E579" s="57" t="n"/>
      <c r="F579" s="57" t="n"/>
      <c r="G579" s="57" t="n"/>
      <c r="H579" s="57" t="n"/>
    </row>
    <row r="580" ht="15.75" customHeight="1" s="94">
      <c r="A580" s="57" t="n"/>
      <c r="B580" s="57" t="n"/>
      <c r="C580" s="57" t="n"/>
      <c r="D580" s="57" t="n"/>
      <c r="E580" s="57" t="n"/>
      <c r="F580" s="57" t="n"/>
      <c r="G580" s="57" t="n"/>
      <c r="H580" s="57" t="n"/>
    </row>
    <row r="581" ht="15.75" customHeight="1" s="94">
      <c r="A581" s="57" t="n"/>
      <c r="B581" s="57" t="n"/>
      <c r="C581" s="57" t="n"/>
      <c r="D581" s="57" t="n"/>
      <c r="E581" s="57" t="n"/>
      <c r="F581" s="57" t="n"/>
      <c r="G581" s="57" t="n"/>
      <c r="H581" s="57" t="n"/>
    </row>
    <row r="582" ht="15.75" customHeight="1" s="94">
      <c r="A582" s="57" t="n"/>
      <c r="B582" s="57" t="n"/>
      <c r="C582" s="57" t="n"/>
      <c r="D582" s="57" t="n"/>
      <c r="E582" s="57" t="n"/>
      <c r="F582" s="57" t="n"/>
      <c r="G582" s="57" t="n"/>
      <c r="H582" s="57" t="n"/>
    </row>
    <row r="583" ht="15.75" customHeight="1" s="94">
      <c r="A583" s="57" t="n"/>
      <c r="B583" s="57" t="n"/>
      <c r="C583" s="57" t="n"/>
      <c r="D583" s="57" t="n"/>
      <c r="E583" s="57" t="n"/>
      <c r="F583" s="57" t="n"/>
      <c r="G583" s="57" t="n"/>
      <c r="H583" s="57" t="n"/>
    </row>
    <row r="584" ht="15.75" customHeight="1" s="94">
      <c r="A584" s="57" t="n"/>
      <c r="B584" s="57" t="n"/>
      <c r="C584" s="57" t="n"/>
      <c r="D584" s="57" t="n"/>
      <c r="E584" s="57" t="n"/>
      <c r="F584" s="57" t="n"/>
      <c r="G584" s="57" t="n"/>
      <c r="H584" s="57" t="n"/>
    </row>
    <row r="585" ht="15.75" customHeight="1" s="94">
      <c r="A585" s="57" t="n"/>
      <c r="B585" s="57" t="n"/>
      <c r="C585" s="57" t="n"/>
      <c r="D585" s="57" t="n"/>
      <c r="E585" s="57" t="n"/>
      <c r="F585" s="57" t="n"/>
      <c r="G585" s="57" t="n"/>
      <c r="H585" s="57" t="n"/>
    </row>
    <row r="586" ht="15.75" customHeight="1" s="94">
      <c r="A586" s="57" t="n"/>
      <c r="B586" s="57" t="n"/>
      <c r="C586" s="57" t="n"/>
      <c r="D586" s="57" t="n"/>
      <c r="E586" s="57" t="n"/>
      <c r="F586" s="57" t="n"/>
      <c r="G586" s="57" t="n"/>
      <c r="H586" s="57" t="n"/>
    </row>
    <row r="587" ht="15.75" customHeight="1" s="94">
      <c r="A587" s="57" t="n"/>
      <c r="B587" s="57" t="n"/>
      <c r="C587" s="57" t="n"/>
      <c r="D587" s="57" t="n"/>
      <c r="E587" s="57" t="n"/>
      <c r="F587" s="57" t="n"/>
      <c r="G587" s="57" t="n"/>
      <c r="H587" s="57" t="n"/>
    </row>
    <row r="588" ht="15.75" customHeight="1" s="94">
      <c r="A588" s="57" t="n"/>
      <c r="B588" s="57" t="n"/>
      <c r="C588" s="57" t="n"/>
      <c r="D588" s="57" t="n"/>
      <c r="E588" s="57" t="n"/>
      <c r="F588" s="57" t="n"/>
      <c r="G588" s="57" t="n"/>
      <c r="H588" s="57" t="n"/>
    </row>
    <row r="589" ht="15.75" customHeight="1" s="94">
      <c r="A589" s="57" t="n"/>
      <c r="B589" s="57" t="n"/>
      <c r="C589" s="57" t="n"/>
      <c r="D589" s="57" t="n"/>
      <c r="E589" s="57" t="n"/>
      <c r="F589" s="57" t="n"/>
      <c r="G589" s="57" t="n"/>
      <c r="H589" s="57" t="n"/>
    </row>
    <row r="590" ht="15.75" customHeight="1" s="94">
      <c r="A590" s="57" t="n"/>
      <c r="B590" s="57" t="n"/>
      <c r="C590" s="57" t="n"/>
      <c r="D590" s="57" t="n"/>
      <c r="E590" s="57" t="n"/>
      <c r="F590" s="57" t="n"/>
      <c r="G590" s="57" t="n"/>
      <c r="H590" s="57" t="n"/>
    </row>
    <row r="591" ht="15.75" customHeight="1" s="94">
      <c r="A591" s="57" t="n"/>
      <c r="B591" s="57" t="n"/>
      <c r="C591" s="57" t="n"/>
      <c r="D591" s="57" t="n"/>
      <c r="E591" s="57" t="n"/>
      <c r="F591" s="57" t="n"/>
      <c r="G591" s="57" t="n"/>
      <c r="H591" s="57" t="n"/>
    </row>
    <row r="592" ht="15.75" customHeight="1" s="94">
      <c r="A592" s="57" t="n"/>
      <c r="B592" s="57" t="n"/>
      <c r="C592" s="57" t="n"/>
      <c r="D592" s="57" t="n"/>
      <c r="E592" s="57" t="n"/>
      <c r="F592" s="57" t="n"/>
      <c r="G592" s="57" t="n"/>
      <c r="H592" s="57" t="n"/>
    </row>
    <row r="593" ht="15.75" customHeight="1" s="94">
      <c r="A593" s="57" t="n"/>
      <c r="B593" s="57" t="n"/>
      <c r="C593" s="57" t="n"/>
      <c r="D593" s="57" t="n"/>
      <c r="E593" s="57" t="n"/>
      <c r="F593" s="57" t="n"/>
      <c r="G593" s="57" t="n"/>
      <c r="H593" s="57" t="n"/>
    </row>
    <row r="594" ht="15.75" customHeight="1" s="94">
      <c r="A594" s="57" t="n"/>
      <c r="B594" s="57" t="n"/>
      <c r="C594" s="57" t="n"/>
      <c r="D594" s="57" t="n"/>
      <c r="E594" s="57" t="n"/>
      <c r="F594" s="57" t="n"/>
      <c r="G594" s="57" t="n"/>
      <c r="H594" s="57" t="n"/>
    </row>
    <row r="595" ht="15.75" customHeight="1" s="94">
      <c r="A595" s="57" t="n"/>
      <c r="B595" s="57" t="n"/>
      <c r="C595" s="57" t="n"/>
      <c r="D595" s="57" t="n"/>
      <c r="E595" s="57" t="n"/>
      <c r="F595" s="57" t="n"/>
      <c r="G595" s="57" t="n"/>
      <c r="H595" s="57" t="n"/>
    </row>
    <row r="596" ht="15.75" customHeight="1" s="94">
      <c r="A596" s="57" t="n"/>
      <c r="B596" s="57" t="n"/>
      <c r="C596" s="57" t="n"/>
      <c r="D596" s="57" t="n"/>
      <c r="E596" s="57" t="n"/>
      <c r="F596" s="57" t="n"/>
      <c r="G596" s="57" t="n"/>
      <c r="H596" s="57" t="n"/>
    </row>
    <row r="597" ht="15.75" customHeight="1" s="94">
      <c r="A597" s="57" t="n"/>
      <c r="B597" s="57" t="n"/>
      <c r="C597" s="57" t="n"/>
      <c r="D597" s="57" t="n"/>
      <c r="E597" s="57" t="n"/>
      <c r="F597" s="57" t="n"/>
      <c r="G597" s="57" t="n"/>
      <c r="H597" s="57" t="n"/>
    </row>
    <row r="598" ht="15.75" customHeight="1" s="94">
      <c r="A598" s="57" t="n"/>
      <c r="B598" s="57" t="n"/>
      <c r="C598" s="57" t="n"/>
      <c r="D598" s="57" t="n"/>
      <c r="E598" s="57" t="n"/>
      <c r="F598" s="57" t="n"/>
      <c r="G598" s="57" t="n"/>
      <c r="H598" s="57" t="n"/>
    </row>
    <row r="599" ht="15.75" customHeight="1" s="94">
      <c r="A599" s="57" t="n"/>
      <c r="B599" s="57" t="n"/>
      <c r="C599" s="57" t="n"/>
      <c r="D599" s="57" t="n"/>
      <c r="E599" s="57" t="n"/>
      <c r="F599" s="57" t="n"/>
      <c r="G599" s="57" t="n"/>
      <c r="H599" s="57" t="n"/>
    </row>
    <row r="600" ht="15.75" customHeight="1" s="94">
      <c r="A600" s="57" t="n"/>
      <c r="B600" s="57" t="n"/>
      <c r="C600" s="57" t="n"/>
      <c r="D600" s="57" t="n"/>
      <c r="E600" s="57" t="n"/>
      <c r="F600" s="57" t="n"/>
      <c r="G600" s="57" t="n"/>
      <c r="H600" s="57" t="n"/>
    </row>
    <row r="601" ht="15.75" customHeight="1" s="94">
      <c r="A601" s="57" t="n"/>
      <c r="B601" s="57" t="n"/>
      <c r="C601" s="57" t="n"/>
      <c r="D601" s="57" t="n"/>
      <c r="E601" s="57" t="n"/>
      <c r="F601" s="57" t="n"/>
      <c r="G601" s="57" t="n"/>
      <c r="H601" s="57" t="n"/>
    </row>
    <row r="602" ht="15.75" customHeight="1" s="94">
      <c r="A602" s="57" t="n"/>
      <c r="B602" s="57" t="n"/>
      <c r="C602" s="57" t="n"/>
      <c r="D602" s="57" t="n"/>
      <c r="E602" s="57" t="n"/>
      <c r="F602" s="57" t="n"/>
      <c r="G602" s="57" t="n"/>
      <c r="H602" s="57" t="n"/>
    </row>
    <row r="603" ht="15.75" customHeight="1" s="94">
      <c r="A603" s="57" t="n"/>
      <c r="B603" s="57" t="n"/>
      <c r="C603" s="57" t="n"/>
      <c r="D603" s="57" t="n"/>
      <c r="E603" s="57" t="n"/>
      <c r="F603" s="57" t="n"/>
      <c r="G603" s="57" t="n"/>
      <c r="H603" s="57" t="n"/>
    </row>
    <row r="604" ht="15.75" customHeight="1" s="94">
      <c r="A604" s="57" t="n"/>
      <c r="B604" s="57" t="n"/>
      <c r="C604" s="57" t="n"/>
      <c r="D604" s="57" t="n"/>
      <c r="E604" s="57" t="n"/>
      <c r="F604" s="57" t="n"/>
      <c r="G604" s="57" t="n"/>
      <c r="H604" s="57" t="n"/>
    </row>
    <row r="605" ht="15.75" customHeight="1" s="94">
      <c r="A605" s="57" t="n"/>
      <c r="B605" s="57" t="n"/>
      <c r="C605" s="57" t="n"/>
      <c r="D605" s="57" t="n"/>
      <c r="E605" s="57" t="n"/>
      <c r="F605" s="57" t="n"/>
      <c r="G605" s="57" t="n"/>
      <c r="H605" s="57" t="n"/>
    </row>
    <row r="606" ht="15.75" customHeight="1" s="94">
      <c r="A606" s="57" t="n"/>
      <c r="B606" s="57" t="n"/>
      <c r="C606" s="57" t="n"/>
      <c r="D606" s="57" t="n"/>
      <c r="E606" s="57" t="n"/>
      <c r="F606" s="57" t="n"/>
      <c r="G606" s="57" t="n"/>
      <c r="H606" s="57" t="n"/>
    </row>
    <row r="607" ht="15.75" customHeight="1" s="94">
      <c r="A607" s="57" t="n"/>
      <c r="B607" s="57" t="n"/>
      <c r="C607" s="57" t="n"/>
      <c r="D607" s="57" t="n"/>
      <c r="E607" s="57" t="n"/>
      <c r="F607" s="57" t="n"/>
      <c r="G607" s="57" t="n"/>
      <c r="H607" s="57" t="n"/>
    </row>
    <row r="608" ht="15.75" customHeight="1" s="94">
      <c r="A608" s="57" t="n"/>
      <c r="B608" s="57" t="n"/>
      <c r="C608" s="57" t="n"/>
      <c r="D608" s="57" t="n"/>
      <c r="E608" s="57" t="n"/>
      <c r="F608" s="57" t="n"/>
      <c r="G608" s="57" t="n"/>
      <c r="H608" s="57" t="n"/>
    </row>
    <row r="609" ht="15.75" customHeight="1" s="94">
      <c r="A609" s="57" t="n"/>
      <c r="B609" s="57" t="n"/>
      <c r="C609" s="57" t="n"/>
      <c r="D609" s="57" t="n"/>
      <c r="E609" s="57" t="n"/>
      <c r="F609" s="57" t="n"/>
      <c r="G609" s="57" t="n"/>
      <c r="H609" s="57" t="n"/>
    </row>
    <row r="610" ht="15.75" customHeight="1" s="94">
      <c r="A610" s="57" t="n"/>
      <c r="B610" s="57" t="n"/>
      <c r="C610" s="57" t="n"/>
      <c r="D610" s="57" t="n"/>
      <c r="E610" s="57" t="n"/>
      <c r="F610" s="57" t="n"/>
      <c r="G610" s="57" t="n"/>
      <c r="H610" s="57" t="n"/>
    </row>
    <row r="611" ht="15.75" customHeight="1" s="94">
      <c r="A611" s="57" t="n"/>
      <c r="B611" s="57" t="n"/>
      <c r="C611" s="57" t="n"/>
      <c r="D611" s="57" t="n"/>
      <c r="E611" s="57" t="n"/>
      <c r="F611" s="57" t="n"/>
      <c r="G611" s="57" t="n"/>
      <c r="H611" s="57" t="n"/>
    </row>
    <row r="612" ht="15.75" customHeight="1" s="94">
      <c r="A612" s="57" t="n"/>
      <c r="B612" s="57" t="n"/>
      <c r="C612" s="57" t="n"/>
      <c r="D612" s="57" t="n"/>
      <c r="E612" s="57" t="n"/>
      <c r="F612" s="57" t="n"/>
      <c r="G612" s="57" t="n"/>
      <c r="H612" s="57" t="n"/>
    </row>
    <row r="613" ht="15.75" customHeight="1" s="94">
      <c r="A613" s="57" t="n"/>
      <c r="B613" s="57" t="n"/>
      <c r="C613" s="57" t="n"/>
      <c r="D613" s="57" t="n"/>
      <c r="E613" s="57" t="n"/>
      <c r="F613" s="57" t="n"/>
      <c r="G613" s="57" t="n"/>
      <c r="H613" s="57" t="n"/>
    </row>
    <row r="614" ht="15.75" customHeight="1" s="94">
      <c r="A614" s="57" t="n"/>
      <c r="B614" s="57" t="n"/>
      <c r="C614" s="57" t="n"/>
      <c r="D614" s="57" t="n"/>
      <c r="E614" s="57" t="n"/>
      <c r="F614" s="57" t="n"/>
      <c r="G614" s="57" t="n"/>
      <c r="H614" s="57" t="n"/>
    </row>
    <row r="615" ht="15.75" customHeight="1" s="94">
      <c r="A615" s="57" t="n"/>
      <c r="B615" s="57" t="n"/>
      <c r="C615" s="57" t="n"/>
      <c r="D615" s="57" t="n"/>
      <c r="E615" s="57" t="n"/>
      <c r="F615" s="57" t="n"/>
      <c r="G615" s="57" t="n"/>
      <c r="H615" s="57" t="n"/>
    </row>
    <row r="616" ht="15.75" customHeight="1" s="94">
      <c r="A616" s="57" t="n"/>
      <c r="B616" s="57" t="n"/>
      <c r="C616" s="57" t="n"/>
      <c r="D616" s="57" t="n"/>
      <c r="E616" s="57" t="n"/>
      <c r="F616" s="57" t="n"/>
      <c r="G616" s="57" t="n"/>
      <c r="H616" s="57" t="n"/>
    </row>
    <row r="617" ht="15.75" customHeight="1" s="94">
      <c r="A617" s="57" t="n"/>
      <c r="B617" s="57" t="n"/>
      <c r="C617" s="57" t="n"/>
      <c r="D617" s="57" t="n"/>
      <c r="E617" s="57" t="n"/>
      <c r="F617" s="57" t="n"/>
      <c r="G617" s="57" t="n"/>
      <c r="H617" s="57" t="n"/>
    </row>
    <row r="618" ht="15.75" customHeight="1" s="94">
      <c r="A618" s="57" t="n"/>
      <c r="B618" s="57" t="n"/>
      <c r="C618" s="57" t="n"/>
      <c r="D618" s="57" t="n"/>
      <c r="E618" s="57" t="n"/>
      <c r="F618" s="57" t="n"/>
      <c r="G618" s="57" t="n"/>
      <c r="H618" s="57" t="n"/>
    </row>
    <row r="619" ht="15.75" customHeight="1" s="94">
      <c r="A619" s="57" t="n"/>
      <c r="B619" s="57" t="n"/>
      <c r="C619" s="57" t="n"/>
      <c r="D619" s="57" t="n"/>
      <c r="E619" s="57" t="n"/>
      <c r="F619" s="57" t="n"/>
      <c r="G619" s="57" t="n"/>
      <c r="H619" s="57" t="n"/>
    </row>
    <row r="620" ht="15.75" customHeight="1" s="94">
      <c r="A620" s="57" t="n"/>
      <c r="B620" s="57" t="n"/>
      <c r="C620" s="57" t="n"/>
      <c r="D620" s="57" t="n"/>
      <c r="E620" s="57" t="n"/>
      <c r="F620" s="57" t="n"/>
      <c r="G620" s="57" t="n"/>
      <c r="H620" s="57" t="n"/>
    </row>
    <row r="621" ht="15.75" customHeight="1" s="94">
      <c r="A621" s="57" t="n"/>
      <c r="B621" s="57" t="n"/>
      <c r="C621" s="57" t="n"/>
      <c r="D621" s="57" t="n"/>
      <c r="E621" s="57" t="n"/>
      <c r="F621" s="57" t="n"/>
      <c r="G621" s="57" t="n"/>
      <c r="H621" s="57" t="n"/>
    </row>
    <row r="622" ht="15.75" customHeight="1" s="94">
      <c r="A622" s="57" t="n"/>
      <c r="B622" s="57" t="n"/>
      <c r="C622" s="57" t="n"/>
      <c r="D622" s="57" t="n"/>
      <c r="E622" s="57" t="n"/>
      <c r="F622" s="57" t="n"/>
      <c r="G622" s="57" t="n"/>
      <c r="H622" s="57" t="n"/>
    </row>
    <row r="623" ht="15.75" customHeight="1" s="94">
      <c r="A623" s="57" t="n"/>
      <c r="B623" s="57" t="n"/>
      <c r="C623" s="57" t="n"/>
      <c r="D623" s="57" t="n"/>
      <c r="E623" s="57" t="n"/>
      <c r="F623" s="57" t="n"/>
      <c r="G623" s="57" t="n"/>
      <c r="H623" s="57" t="n"/>
    </row>
    <row r="624" ht="15.75" customHeight="1" s="94">
      <c r="A624" s="57" t="n"/>
      <c r="B624" s="57" t="n"/>
      <c r="C624" s="57" t="n"/>
      <c r="D624" s="57" t="n"/>
      <c r="E624" s="57" t="n"/>
      <c r="F624" s="57" t="n"/>
      <c r="G624" s="57" t="n"/>
      <c r="H624" s="57" t="n"/>
    </row>
    <row r="625" ht="15.75" customHeight="1" s="94">
      <c r="A625" s="57" t="n"/>
      <c r="B625" s="57" t="n"/>
      <c r="C625" s="57" t="n"/>
      <c r="D625" s="57" t="n"/>
      <c r="E625" s="57" t="n"/>
      <c r="F625" s="57" t="n"/>
      <c r="G625" s="57" t="n"/>
      <c r="H625" s="57" t="n"/>
    </row>
    <row r="626" ht="15.75" customHeight="1" s="94">
      <c r="A626" s="57" t="n"/>
      <c r="B626" s="57" t="n"/>
      <c r="C626" s="57" t="n"/>
      <c r="D626" s="57" t="n"/>
      <c r="E626" s="57" t="n"/>
      <c r="F626" s="57" t="n"/>
      <c r="G626" s="57" t="n"/>
      <c r="H626" s="57" t="n"/>
    </row>
    <row r="627" ht="15.75" customHeight="1" s="94">
      <c r="A627" s="57" t="n"/>
      <c r="B627" s="57" t="n"/>
      <c r="C627" s="57" t="n"/>
      <c r="D627" s="57" t="n"/>
      <c r="E627" s="57" t="n"/>
      <c r="F627" s="57" t="n"/>
      <c r="G627" s="57" t="n"/>
      <c r="H627" s="57" t="n"/>
    </row>
    <row r="628" ht="15.75" customHeight="1" s="94">
      <c r="A628" s="57" t="n"/>
      <c r="B628" s="57" t="n"/>
      <c r="C628" s="57" t="n"/>
      <c r="D628" s="57" t="n"/>
      <c r="E628" s="57" t="n"/>
      <c r="F628" s="57" t="n"/>
      <c r="G628" s="57" t="n"/>
      <c r="H628" s="57" t="n"/>
    </row>
    <row r="629" ht="15.75" customHeight="1" s="94">
      <c r="A629" s="57" t="n"/>
      <c r="B629" s="57" t="n"/>
      <c r="C629" s="57" t="n"/>
      <c r="D629" s="57" t="n"/>
      <c r="E629" s="57" t="n"/>
      <c r="F629" s="57" t="n"/>
      <c r="G629" s="57" t="n"/>
      <c r="H629" s="57" t="n"/>
    </row>
    <row r="630" ht="15.75" customHeight="1" s="94">
      <c r="A630" s="57" t="n"/>
      <c r="B630" s="57" t="n"/>
      <c r="C630" s="57" t="n"/>
      <c r="D630" s="57" t="n"/>
      <c r="E630" s="57" t="n"/>
      <c r="F630" s="57" t="n"/>
      <c r="G630" s="57" t="n"/>
      <c r="H630" s="57" t="n"/>
    </row>
    <row r="631" ht="15.75" customHeight="1" s="94">
      <c r="A631" s="57" t="n"/>
      <c r="B631" s="57" t="n"/>
      <c r="C631" s="57" t="n"/>
      <c r="D631" s="57" t="n"/>
      <c r="E631" s="57" t="n"/>
      <c r="F631" s="57" t="n"/>
      <c r="G631" s="57" t="n"/>
      <c r="H631" s="57" t="n"/>
    </row>
    <row r="632" ht="15.75" customHeight="1" s="94">
      <c r="A632" s="57" t="n"/>
      <c r="B632" s="57" t="n"/>
      <c r="C632" s="57" t="n"/>
      <c r="D632" s="57" t="n"/>
      <c r="E632" s="57" t="n"/>
      <c r="F632" s="57" t="n"/>
      <c r="G632" s="57" t="n"/>
      <c r="H632" s="57" t="n"/>
    </row>
    <row r="633" ht="15.75" customHeight="1" s="94">
      <c r="A633" s="57" t="n"/>
      <c r="B633" s="57" t="n"/>
      <c r="C633" s="57" t="n"/>
      <c r="D633" s="57" t="n"/>
      <c r="E633" s="57" t="n"/>
      <c r="F633" s="57" t="n"/>
      <c r="G633" s="57" t="n"/>
      <c r="H633" s="57" t="n"/>
    </row>
    <row r="634" ht="15.75" customHeight="1" s="94">
      <c r="A634" s="57" t="n"/>
      <c r="B634" s="57" t="n"/>
      <c r="C634" s="57" t="n"/>
      <c r="D634" s="57" t="n"/>
      <c r="E634" s="57" t="n"/>
      <c r="F634" s="57" t="n"/>
      <c r="G634" s="57" t="n"/>
      <c r="H634" s="57" t="n"/>
    </row>
    <row r="635" ht="15.75" customHeight="1" s="94">
      <c r="A635" s="57" t="n"/>
      <c r="B635" s="57" t="n"/>
      <c r="C635" s="57" t="n"/>
      <c r="D635" s="57" t="n"/>
      <c r="E635" s="57" t="n"/>
      <c r="F635" s="57" t="n"/>
      <c r="G635" s="57" t="n"/>
      <c r="H635" s="57" t="n"/>
    </row>
    <row r="636" ht="15.75" customHeight="1" s="94">
      <c r="A636" s="57" t="n"/>
      <c r="B636" s="57" t="n"/>
      <c r="C636" s="57" t="n"/>
      <c r="D636" s="57" t="n"/>
      <c r="E636" s="57" t="n"/>
      <c r="F636" s="57" t="n"/>
      <c r="G636" s="57" t="n"/>
      <c r="H636" s="57" t="n"/>
    </row>
    <row r="637" ht="15.75" customHeight="1" s="94">
      <c r="A637" s="57" t="n"/>
      <c r="B637" s="57" t="n"/>
      <c r="C637" s="57" t="n"/>
      <c r="D637" s="57" t="n"/>
      <c r="E637" s="57" t="n"/>
      <c r="F637" s="57" t="n"/>
      <c r="G637" s="57" t="n"/>
      <c r="H637" s="57" t="n"/>
    </row>
    <row r="638" ht="15.75" customHeight="1" s="94">
      <c r="A638" s="57" t="n"/>
      <c r="B638" s="57" t="n"/>
      <c r="C638" s="57" t="n"/>
      <c r="D638" s="57" t="n"/>
      <c r="E638" s="57" t="n"/>
      <c r="F638" s="57" t="n"/>
      <c r="G638" s="57" t="n"/>
      <c r="H638" s="57" t="n"/>
    </row>
    <row r="639" ht="15.75" customHeight="1" s="94">
      <c r="A639" s="57" t="n"/>
      <c r="B639" s="57" t="n"/>
      <c r="C639" s="57" t="n"/>
      <c r="D639" s="57" t="n"/>
      <c r="E639" s="57" t="n"/>
      <c r="F639" s="57" t="n"/>
      <c r="G639" s="57" t="n"/>
      <c r="H639" s="57" t="n"/>
    </row>
    <row r="640" ht="15.75" customHeight="1" s="94">
      <c r="A640" s="57" t="n"/>
      <c r="B640" s="57" t="n"/>
      <c r="C640" s="57" t="n"/>
      <c r="D640" s="57" t="n"/>
      <c r="E640" s="57" t="n"/>
      <c r="F640" s="57" t="n"/>
      <c r="G640" s="57" t="n"/>
      <c r="H640" s="57" t="n"/>
    </row>
    <row r="641" ht="15.75" customHeight="1" s="94">
      <c r="A641" s="57" t="n"/>
      <c r="B641" s="57" t="n"/>
      <c r="C641" s="57" t="n"/>
      <c r="D641" s="57" t="n"/>
      <c r="E641" s="57" t="n"/>
      <c r="F641" s="57" t="n"/>
      <c r="G641" s="57" t="n"/>
      <c r="H641" s="57" t="n"/>
    </row>
    <row r="642" ht="15.75" customHeight="1" s="94">
      <c r="A642" s="57" t="n"/>
      <c r="B642" s="57" t="n"/>
      <c r="C642" s="57" t="n"/>
      <c r="D642" s="57" t="n"/>
      <c r="E642" s="57" t="n"/>
      <c r="F642" s="57" t="n"/>
      <c r="G642" s="57" t="n"/>
      <c r="H642" s="57" t="n"/>
    </row>
    <row r="643" ht="15.75" customHeight="1" s="94">
      <c r="A643" s="57" t="n"/>
      <c r="B643" s="57" t="n"/>
      <c r="C643" s="57" t="n"/>
      <c r="D643" s="57" t="n"/>
      <c r="E643" s="57" t="n"/>
      <c r="F643" s="57" t="n"/>
      <c r="G643" s="57" t="n"/>
      <c r="H643" s="57" t="n"/>
    </row>
    <row r="644" ht="15.75" customHeight="1" s="94">
      <c r="A644" s="57" t="n"/>
      <c r="B644" s="57" t="n"/>
      <c r="C644" s="57" t="n"/>
      <c r="D644" s="57" t="n"/>
      <c r="E644" s="57" t="n"/>
      <c r="F644" s="57" t="n"/>
      <c r="G644" s="57" t="n"/>
      <c r="H644" s="57" t="n"/>
    </row>
    <row r="645" ht="15.75" customHeight="1" s="94">
      <c r="A645" s="57" t="n"/>
      <c r="B645" s="57" t="n"/>
      <c r="C645" s="57" t="n"/>
      <c r="D645" s="57" t="n"/>
      <c r="E645" s="57" t="n"/>
      <c r="F645" s="57" t="n"/>
      <c r="G645" s="57" t="n"/>
      <c r="H645" s="57" t="n"/>
    </row>
    <row r="646" ht="15.75" customHeight="1" s="94">
      <c r="A646" s="57" t="n"/>
      <c r="B646" s="57" t="n"/>
      <c r="C646" s="57" t="n"/>
      <c r="D646" s="57" t="n"/>
      <c r="E646" s="57" t="n"/>
      <c r="F646" s="57" t="n"/>
      <c r="G646" s="57" t="n"/>
      <c r="H646" s="57" t="n"/>
    </row>
    <row r="647" ht="15.75" customHeight="1" s="94">
      <c r="A647" s="57" t="n"/>
      <c r="B647" s="57" t="n"/>
      <c r="C647" s="57" t="n"/>
      <c r="D647" s="57" t="n"/>
      <c r="E647" s="57" t="n"/>
      <c r="F647" s="57" t="n"/>
      <c r="G647" s="57" t="n"/>
      <c r="H647" s="57" t="n"/>
    </row>
    <row r="648" ht="15.75" customHeight="1" s="94">
      <c r="A648" s="57" t="n"/>
      <c r="B648" s="57" t="n"/>
      <c r="C648" s="57" t="n"/>
      <c r="D648" s="57" t="n"/>
      <c r="E648" s="57" t="n"/>
      <c r="F648" s="57" t="n"/>
      <c r="G648" s="57" t="n"/>
      <c r="H648" s="57" t="n"/>
    </row>
    <row r="649" ht="15.75" customHeight="1" s="94">
      <c r="A649" s="57" t="n"/>
      <c r="B649" s="57" t="n"/>
      <c r="C649" s="57" t="n"/>
      <c r="D649" s="57" t="n"/>
      <c r="E649" s="57" t="n"/>
      <c r="F649" s="57" t="n"/>
      <c r="G649" s="57" t="n"/>
      <c r="H649" s="57" t="n"/>
    </row>
    <row r="650" ht="15.75" customHeight="1" s="94">
      <c r="A650" s="57" t="n"/>
      <c r="B650" s="57" t="n"/>
      <c r="C650" s="57" t="n"/>
      <c r="D650" s="57" t="n"/>
      <c r="E650" s="57" t="n"/>
      <c r="F650" s="57" t="n"/>
      <c r="G650" s="57" t="n"/>
      <c r="H650" s="57" t="n"/>
    </row>
    <row r="651" ht="15.75" customHeight="1" s="94">
      <c r="A651" s="57" t="n"/>
      <c r="B651" s="57" t="n"/>
      <c r="C651" s="57" t="n"/>
      <c r="D651" s="57" t="n"/>
      <c r="E651" s="57" t="n"/>
      <c r="F651" s="57" t="n"/>
      <c r="G651" s="57" t="n"/>
      <c r="H651" s="57" t="n"/>
    </row>
    <row r="652" ht="15.75" customHeight="1" s="94">
      <c r="A652" s="57" t="n"/>
      <c r="B652" s="57" t="n"/>
      <c r="C652" s="57" t="n"/>
      <c r="D652" s="57" t="n"/>
      <c r="E652" s="57" t="n"/>
      <c r="F652" s="57" t="n"/>
      <c r="G652" s="57" t="n"/>
      <c r="H652" s="57" t="n"/>
    </row>
    <row r="653" ht="15.75" customHeight="1" s="94">
      <c r="A653" s="57" t="n"/>
      <c r="B653" s="57" t="n"/>
      <c r="C653" s="57" t="n"/>
      <c r="D653" s="57" t="n"/>
      <c r="E653" s="57" t="n"/>
      <c r="F653" s="57" t="n"/>
      <c r="G653" s="57" t="n"/>
      <c r="H653" s="57" t="n"/>
    </row>
    <row r="654" ht="15.75" customHeight="1" s="94">
      <c r="A654" s="57" t="n"/>
      <c r="B654" s="57" t="n"/>
      <c r="C654" s="57" t="n"/>
      <c r="D654" s="57" t="n"/>
      <c r="E654" s="57" t="n"/>
      <c r="F654" s="57" t="n"/>
      <c r="G654" s="57" t="n"/>
      <c r="H654" s="57" t="n"/>
    </row>
    <row r="655" ht="15.75" customHeight="1" s="94">
      <c r="A655" s="57" t="n"/>
      <c r="B655" s="57" t="n"/>
      <c r="C655" s="57" t="n"/>
      <c r="D655" s="57" t="n"/>
      <c r="E655" s="57" t="n"/>
      <c r="F655" s="57" t="n"/>
      <c r="G655" s="57" t="n"/>
      <c r="H655" s="57" t="n"/>
    </row>
    <row r="656" ht="15.75" customHeight="1" s="94">
      <c r="A656" s="57" t="n"/>
      <c r="B656" s="57" t="n"/>
      <c r="C656" s="57" t="n"/>
      <c r="D656" s="57" t="n"/>
      <c r="E656" s="57" t="n"/>
      <c r="F656" s="57" t="n"/>
      <c r="G656" s="57" t="n"/>
      <c r="H656" s="57" t="n"/>
    </row>
    <row r="657" ht="15.75" customHeight="1" s="94">
      <c r="A657" s="57" t="n"/>
      <c r="B657" s="57" t="n"/>
      <c r="C657" s="57" t="n"/>
      <c r="D657" s="57" t="n"/>
      <c r="E657" s="57" t="n"/>
      <c r="F657" s="57" t="n"/>
      <c r="G657" s="57" t="n"/>
      <c r="H657" s="57" t="n"/>
    </row>
    <row r="658" ht="15.75" customHeight="1" s="94">
      <c r="A658" s="57" t="n"/>
      <c r="B658" s="57" t="n"/>
      <c r="C658" s="57" t="n"/>
      <c r="D658" s="57" t="n"/>
      <c r="E658" s="57" t="n"/>
      <c r="F658" s="57" t="n"/>
      <c r="G658" s="57" t="n"/>
      <c r="H658" s="57" t="n"/>
    </row>
    <row r="659" ht="15.75" customHeight="1" s="94">
      <c r="A659" s="57" t="n"/>
      <c r="B659" s="57" t="n"/>
      <c r="C659" s="57" t="n"/>
      <c r="D659" s="57" t="n"/>
      <c r="E659" s="57" t="n"/>
      <c r="F659" s="57" t="n"/>
      <c r="G659" s="57" t="n"/>
      <c r="H659" s="57" t="n"/>
    </row>
    <row r="660" ht="15.75" customHeight="1" s="94">
      <c r="A660" s="57" t="n"/>
      <c r="B660" s="57" t="n"/>
      <c r="C660" s="57" t="n"/>
      <c r="D660" s="57" t="n"/>
      <c r="E660" s="57" t="n"/>
      <c r="F660" s="57" t="n"/>
      <c r="G660" s="57" t="n"/>
      <c r="H660" s="57" t="n"/>
    </row>
    <row r="661" ht="15.75" customHeight="1" s="94">
      <c r="A661" s="57" t="n"/>
      <c r="B661" s="57" t="n"/>
      <c r="C661" s="57" t="n"/>
      <c r="D661" s="57" t="n"/>
      <c r="E661" s="57" t="n"/>
      <c r="F661" s="57" t="n"/>
      <c r="G661" s="57" t="n"/>
      <c r="H661" s="57" t="n"/>
    </row>
    <row r="662" ht="15.75" customHeight="1" s="94">
      <c r="A662" s="57" t="n"/>
      <c r="B662" s="57" t="n"/>
      <c r="C662" s="57" t="n"/>
      <c r="D662" s="57" t="n"/>
      <c r="E662" s="57" t="n"/>
      <c r="F662" s="57" t="n"/>
      <c r="G662" s="57" t="n"/>
      <c r="H662" s="57" t="n"/>
    </row>
    <row r="663" ht="15.75" customHeight="1" s="94">
      <c r="A663" s="57" t="n"/>
      <c r="B663" s="57" t="n"/>
      <c r="C663" s="57" t="n"/>
      <c r="D663" s="57" t="n"/>
      <c r="E663" s="57" t="n"/>
      <c r="F663" s="57" t="n"/>
      <c r="G663" s="57" t="n"/>
      <c r="H663" s="57" t="n"/>
    </row>
    <row r="664" ht="15.75" customHeight="1" s="94">
      <c r="A664" s="57" t="n"/>
      <c r="B664" s="57" t="n"/>
      <c r="C664" s="57" t="n"/>
      <c r="D664" s="57" t="n"/>
      <c r="E664" s="57" t="n"/>
      <c r="F664" s="57" t="n"/>
      <c r="G664" s="57" t="n"/>
      <c r="H664" s="57" t="n"/>
    </row>
    <row r="665" ht="15.75" customHeight="1" s="94">
      <c r="A665" s="57" t="n"/>
      <c r="B665" s="57" t="n"/>
      <c r="C665" s="57" t="n"/>
      <c r="D665" s="57" t="n"/>
      <c r="E665" s="57" t="n"/>
      <c r="F665" s="57" t="n"/>
      <c r="G665" s="57" t="n"/>
      <c r="H665" s="57" t="n"/>
    </row>
    <row r="666" ht="15.75" customHeight="1" s="94">
      <c r="A666" s="57" t="n"/>
      <c r="B666" s="57" t="n"/>
      <c r="C666" s="57" t="n"/>
      <c r="D666" s="57" t="n"/>
      <c r="E666" s="57" t="n"/>
      <c r="F666" s="57" t="n"/>
      <c r="G666" s="57" t="n"/>
      <c r="H666" s="57" t="n"/>
    </row>
    <row r="667" ht="15.75" customHeight="1" s="94">
      <c r="A667" s="57" t="n"/>
      <c r="B667" s="57" t="n"/>
      <c r="C667" s="57" t="n"/>
      <c r="D667" s="57" t="n"/>
      <c r="E667" s="57" t="n"/>
      <c r="F667" s="57" t="n"/>
      <c r="G667" s="57" t="n"/>
      <c r="H667" s="57" t="n"/>
    </row>
    <row r="668" ht="15.75" customHeight="1" s="94">
      <c r="A668" s="57" t="n"/>
      <c r="B668" s="57" t="n"/>
      <c r="C668" s="57" t="n"/>
      <c r="D668" s="57" t="n"/>
      <c r="E668" s="57" t="n"/>
      <c r="F668" s="57" t="n"/>
      <c r="G668" s="57" t="n"/>
      <c r="H668" s="57" t="n"/>
    </row>
    <row r="669" ht="15.75" customHeight="1" s="94">
      <c r="A669" s="57" t="n"/>
      <c r="B669" s="57" t="n"/>
      <c r="C669" s="57" t="n"/>
      <c r="D669" s="57" t="n"/>
      <c r="E669" s="57" t="n"/>
      <c r="F669" s="57" t="n"/>
      <c r="G669" s="57" t="n"/>
      <c r="H669" s="57" t="n"/>
    </row>
    <row r="670" ht="15.75" customHeight="1" s="94">
      <c r="A670" s="57" t="n"/>
      <c r="B670" s="57" t="n"/>
      <c r="C670" s="57" t="n"/>
      <c r="D670" s="57" t="n"/>
      <c r="E670" s="57" t="n"/>
      <c r="F670" s="57" t="n"/>
      <c r="G670" s="57" t="n"/>
      <c r="H670" s="57" t="n"/>
    </row>
    <row r="671" ht="15.75" customHeight="1" s="94">
      <c r="A671" s="57" t="n"/>
      <c r="B671" s="57" t="n"/>
      <c r="C671" s="57" t="n"/>
      <c r="D671" s="57" t="n"/>
      <c r="E671" s="57" t="n"/>
      <c r="F671" s="57" t="n"/>
      <c r="G671" s="57" t="n"/>
      <c r="H671" s="57" t="n"/>
    </row>
    <row r="672" ht="15.75" customHeight="1" s="94">
      <c r="A672" s="57" t="n"/>
      <c r="B672" s="57" t="n"/>
      <c r="C672" s="57" t="n"/>
      <c r="D672" s="57" t="n"/>
      <c r="E672" s="57" t="n"/>
      <c r="F672" s="57" t="n"/>
      <c r="G672" s="57" t="n"/>
      <c r="H672" s="57" t="n"/>
    </row>
    <row r="673" ht="15.75" customHeight="1" s="94">
      <c r="A673" s="57" t="n"/>
      <c r="B673" s="57" t="n"/>
      <c r="C673" s="57" t="n"/>
      <c r="D673" s="57" t="n"/>
      <c r="E673" s="57" t="n"/>
      <c r="F673" s="57" t="n"/>
      <c r="G673" s="57" t="n"/>
      <c r="H673" s="57" t="n"/>
    </row>
    <row r="674" ht="15.75" customHeight="1" s="94">
      <c r="A674" s="57" t="n"/>
      <c r="B674" s="57" t="n"/>
      <c r="C674" s="57" t="n"/>
      <c r="D674" s="57" t="n"/>
      <c r="E674" s="57" t="n"/>
      <c r="F674" s="57" t="n"/>
      <c r="G674" s="57" t="n"/>
      <c r="H674" s="57" t="n"/>
    </row>
    <row r="675" ht="15.75" customHeight="1" s="94">
      <c r="A675" s="57" t="n"/>
      <c r="B675" s="57" t="n"/>
      <c r="C675" s="57" t="n"/>
      <c r="D675" s="57" t="n"/>
      <c r="E675" s="57" t="n"/>
      <c r="F675" s="57" t="n"/>
      <c r="G675" s="57" t="n"/>
      <c r="H675" s="57" t="n"/>
    </row>
    <row r="676" ht="15.75" customHeight="1" s="94">
      <c r="A676" s="57" t="n"/>
      <c r="B676" s="57" t="n"/>
      <c r="C676" s="57" t="n"/>
      <c r="D676" s="57" t="n"/>
      <c r="E676" s="57" t="n"/>
      <c r="F676" s="57" t="n"/>
      <c r="G676" s="57" t="n"/>
      <c r="H676" s="57" t="n"/>
    </row>
    <row r="677" ht="15.75" customHeight="1" s="94">
      <c r="A677" s="57" t="n"/>
      <c r="B677" s="57" t="n"/>
      <c r="C677" s="57" t="n"/>
      <c r="D677" s="57" t="n"/>
      <c r="E677" s="57" t="n"/>
      <c r="F677" s="57" t="n"/>
      <c r="G677" s="57" t="n"/>
      <c r="H677" s="57" t="n"/>
    </row>
    <row r="678" ht="15.75" customHeight="1" s="94">
      <c r="A678" s="57" t="n"/>
      <c r="B678" s="57" t="n"/>
      <c r="C678" s="57" t="n"/>
      <c r="D678" s="57" t="n"/>
      <c r="E678" s="57" t="n"/>
      <c r="F678" s="57" t="n"/>
      <c r="G678" s="57" t="n"/>
      <c r="H678" s="57" t="n"/>
    </row>
    <row r="679" ht="15.75" customHeight="1" s="94">
      <c r="A679" s="57" t="n"/>
      <c r="B679" s="57" t="n"/>
      <c r="C679" s="57" t="n"/>
      <c r="D679" s="57" t="n"/>
      <c r="E679" s="57" t="n"/>
      <c r="F679" s="57" t="n"/>
      <c r="G679" s="57" t="n"/>
      <c r="H679" s="57" t="n"/>
    </row>
    <row r="680" ht="15.75" customHeight="1" s="94">
      <c r="A680" s="57" t="n"/>
      <c r="B680" s="57" t="n"/>
      <c r="C680" s="57" t="n"/>
      <c r="D680" s="57" t="n"/>
      <c r="E680" s="57" t="n"/>
      <c r="F680" s="57" t="n"/>
      <c r="G680" s="57" t="n"/>
      <c r="H680" s="57" t="n"/>
    </row>
    <row r="681" ht="15.75" customHeight="1" s="94">
      <c r="A681" s="57" t="n"/>
      <c r="B681" s="57" t="n"/>
      <c r="C681" s="57" t="n"/>
      <c r="D681" s="57" t="n"/>
      <c r="E681" s="57" t="n"/>
      <c r="F681" s="57" t="n"/>
      <c r="G681" s="57" t="n"/>
      <c r="H681" s="57" t="n"/>
    </row>
    <row r="682" ht="15.75" customHeight="1" s="94">
      <c r="A682" s="57" t="n"/>
      <c r="B682" s="57" t="n"/>
      <c r="C682" s="57" t="n"/>
      <c r="D682" s="57" t="n"/>
      <c r="E682" s="57" t="n"/>
      <c r="F682" s="57" t="n"/>
      <c r="G682" s="57" t="n"/>
      <c r="H682" s="57" t="n"/>
    </row>
    <row r="683" ht="15.75" customHeight="1" s="94">
      <c r="A683" s="57" t="n"/>
      <c r="B683" s="57" t="n"/>
      <c r="C683" s="57" t="n"/>
      <c r="D683" s="57" t="n"/>
      <c r="E683" s="57" t="n"/>
      <c r="F683" s="57" t="n"/>
      <c r="G683" s="57" t="n"/>
      <c r="H683" s="57" t="n"/>
    </row>
    <row r="684" ht="15.75" customHeight="1" s="94">
      <c r="A684" s="57" t="n"/>
      <c r="B684" s="57" t="n"/>
      <c r="C684" s="57" t="n"/>
      <c r="D684" s="57" t="n"/>
      <c r="E684" s="57" t="n"/>
      <c r="F684" s="57" t="n"/>
      <c r="G684" s="57" t="n"/>
      <c r="H684" s="57" t="n"/>
    </row>
    <row r="685" ht="15.75" customHeight="1" s="94">
      <c r="A685" s="57" t="n"/>
      <c r="B685" s="57" t="n"/>
      <c r="C685" s="57" t="n"/>
      <c r="D685" s="57" t="n"/>
      <c r="E685" s="57" t="n"/>
      <c r="F685" s="57" t="n"/>
      <c r="G685" s="57" t="n"/>
      <c r="H685" s="57" t="n"/>
    </row>
    <row r="686" ht="15.75" customHeight="1" s="94">
      <c r="A686" s="57" t="n"/>
      <c r="B686" s="57" t="n"/>
      <c r="C686" s="57" t="n"/>
      <c r="D686" s="57" t="n"/>
      <c r="E686" s="57" t="n"/>
      <c r="F686" s="57" t="n"/>
      <c r="G686" s="57" t="n"/>
      <c r="H686" s="57" t="n"/>
    </row>
    <row r="687" ht="15.75" customHeight="1" s="94">
      <c r="A687" s="57" t="n"/>
      <c r="B687" s="57" t="n"/>
      <c r="C687" s="57" t="n"/>
      <c r="D687" s="57" t="n"/>
      <c r="E687" s="57" t="n"/>
      <c r="F687" s="57" t="n"/>
      <c r="G687" s="57" t="n"/>
      <c r="H687" s="57" t="n"/>
    </row>
    <row r="688" ht="15.75" customHeight="1" s="94">
      <c r="A688" s="57" t="n"/>
      <c r="B688" s="57" t="n"/>
      <c r="C688" s="57" t="n"/>
      <c r="D688" s="57" t="n"/>
      <c r="E688" s="57" t="n"/>
      <c r="F688" s="57" t="n"/>
      <c r="G688" s="57" t="n"/>
      <c r="H688" s="57" t="n"/>
    </row>
    <row r="689" ht="15.75" customHeight="1" s="94">
      <c r="A689" s="57" t="n"/>
      <c r="B689" s="57" t="n"/>
      <c r="C689" s="57" t="n"/>
      <c r="D689" s="57" t="n"/>
      <c r="E689" s="57" t="n"/>
      <c r="F689" s="57" t="n"/>
      <c r="G689" s="57" t="n"/>
      <c r="H689" s="57" t="n"/>
    </row>
    <row r="690" ht="15.75" customHeight="1" s="94">
      <c r="A690" s="57" t="n"/>
      <c r="B690" s="57" t="n"/>
      <c r="C690" s="57" t="n"/>
      <c r="D690" s="57" t="n"/>
      <c r="E690" s="57" t="n"/>
      <c r="F690" s="57" t="n"/>
      <c r="G690" s="57" t="n"/>
      <c r="H690" s="57" t="n"/>
    </row>
    <row r="691" ht="15.75" customHeight="1" s="94">
      <c r="A691" s="57" t="n"/>
      <c r="B691" s="57" t="n"/>
      <c r="C691" s="57" t="n"/>
      <c r="D691" s="57" t="n"/>
      <c r="E691" s="57" t="n"/>
      <c r="F691" s="57" t="n"/>
      <c r="G691" s="57" t="n"/>
      <c r="H691" s="57" t="n"/>
    </row>
    <row r="692" ht="15.75" customHeight="1" s="94">
      <c r="A692" s="57" t="n"/>
      <c r="B692" s="57" t="n"/>
      <c r="C692" s="57" t="n"/>
      <c r="D692" s="57" t="n"/>
      <c r="E692" s="57" t="n"/>
      <c r="F692" s="57" t="n"/>
      <c r="G692" s="57" t="n"/>
      <c r="H692" s="57" t="n"/>
    </row>
    <row r="693" ht="15.75" customHeight="1" s="94">
      <c r="A693" s="57" t="n"/>
      <c r="B693" s="57" t="n"/>
      <c r="C693" s="57" t="n"/>
      <c r="D693" s="57" t="n"/>
      <c r="E693" s="57" t="n"/>
      <c r="F693" s="57" t="n"/>
      <c r="G693" s="57" t="n"/>
      <c r="H693" s="57" t="n"/>
    </row>
    <row r="694" ht="15.75" customHeight="1" s="94">
      <c r="A694" s="57" t="n"/>
      <c r="B694" s="57" t="n"/>
      <c r="C694" s="57" t="n"/>
      <c r="D694" s="57" t="n"/>
      <c r="E694" s="57" t="n"/>
      <c r="F694" s="57" t="n"/>
      <c r="G694" s="57" t="n"/>
      <c r="H694" s="57" t="n"/>
    </row>
    <row r="695" ht="15.75" customHeight="1" s="94">
      <c r="A695" s="57" t="n"/>
      <c r="B695" s="57" t="n"/>
      <c r="C695" s="57" t="n"/>
      <c r="D695" s="57" t="n"/>
      <c r="E695" s="57" t="n"/>
      <c r="F695" s="57" t="n"/>
      <c r="G695" s="57" t="n"/>
      <c r="H695" s="57" t="n"/>
    </row>
    <row r="696" ht="15.75" customHeight="1" s="94">
      <c r="A696" s="57" t="n"/>
      <c r="B696" s="57" t="n"/>
      <c r="C696" s="57" t="n"/>
      <c r="D696" s="57" t="n"/>
      <c r="E696" s="57" t="n"/>
      <c r="F696" s="57" t="n"/>
      <c r="G696" s="57" t="n"/>
      <c r="H696" s="57" t="n"/>
    </row>
    <row r="697" ht="15.75" customHeight="1" s="94">
      <c r="A697" s="57" t="n"/>
      <c r="B697" s="57" t="n"/>
      <c r="C697" s="57" t="n"/>
      <c r="D697" s="57" t="n"/>
      <c r="E697" s="57" t="n"/>
      <c r="F697" s="57" t="n"/>
      <c r="G697" s="57" t="n"/>
      <c r="H697" s="57" t="n"/>
    </row>
    <row r="698" ht="15.75" customHeight="1" s="94">
      <c r="A698" s="57" t="n"/>
      <c r="B698" s="57" t="n"/>
      <c r="C698" s="57" t="n"/>
      <c r="D698" s="57" t="n"/>
      <c r="E698" s="57" t="n"/>
      <c r="F698" s="57" t="n"/>
      <c r="G698" s="57" t="n"/>
      <c r="H698" s="57" t="n"/>
    </row>
    <row r="699" ht="15.75" customHeight="1" s="94">
      <c r="A699" s="57" t="n"/>
      <c r="B699" s="57" t="n"/>
      <c r="C699" s="57" t="n"/>
      <c r="D699" s="57" t="n"/>
      <c r="E699" s="57" t="n"/>
      <c r="F699" s="57" t="n"/>
      <c r="G699" s="57" t="n"/>
      <c r="H699" s="57" t="n"/>
    </row>
    <row r="700" ht="15.75" customHeight="1" s="94">
      <c r="A700" s="57" t="n"/>
      <c r="B700" s="57" t="n"/>
      <c r="C700" s="57" t="n"/>
      <c r="D700" s="57" t="n"/>
      <c r="E700" s="57" t="n"/>
      <c r="F700" s="57" t="n"/>
      <c r="G700" s="57" t="n"/>
      <c r="H700" s="57" t="n"/>
    </row>
    <row r="701" ht="15.75" customHeight="1" s="94">
      <c r="A701" s="57" t="n"/>
      <c r="B701" s="57" t="n"/>
      <c r="C701" s="57" t="n"/>
      <c r="D701" s="57" t="n"/>
      <c r="E701" s="57" t="n"/>
      <c r="F701" s="57" t="n"/>
      <c r="G701" s="57" t="n"/>
      <c r="H701" s="57" t="n"/>
    </row>
    <row r="702" ht="15.75" customHeight="1" s="94">
      <c r="A702" s="57" t="n"/>
      <c r="B702" s="57" t="n"/>
      <c r="C702" s="57" t="n"/>
      <c r="D702" s="57" t="n"/>
      <c r="E702" s="57" t="n"/>
      <c r="F702" s="57" t="n"/>
      <c r="G702" s="57" t="n"/>
      <c r="H702" s="57" t="n"/>
    </row>
    <row r="703" ht="15.75" customHeight="1" s="94">
      <c r="A703" s="57" t="n"/>
      <c r="B703" s="57" t="n"/>
      <c r="C703" s="57" t="n"/>
      <c r="D703" s="57" t="n"/>
      <c r="E703" s="57" t="n"/>
      <c r="F703" s="57" t="n"/>
      <c r="G703" s="57" t="n"/>
      <c r="H703" s="57" t="n"/>
    </row>
    <row r="704" ht="15.75" customHeight="1" s="94">
      <c r="A704" s="57" t="n"/>
      <c r="B704" s="57" t="n"/>
      <c r="C704" s="57" t="n"/>
      <c r="D704" s="57" t="n"/>
      <c r="E704" s="57" t="n"/>
      <c r="F704" s="57" t="n"/>
      <c r="G704" s="57" t="n"/>
      <c r="H704" s="57" t="n"/>
    </row>
    <row r="705" ht="15.75" customHeight="1" s="94">
      <c r="A705" s="57" t="n"/>
      <c r="B705" s="57" t="n"/>
      <c r="C705" s="57" t="n"/>
      <c r="D705" s="57" t="n"/>
      <c r="E705" s="57" t="n"/>
      <c r="F705" s="57" t="n"/>
      <c r="G705" s="57" t="n"/>
      <c r="H705" s="57" t="n"/>
    </row>
    <row r="706" ht="15.75" customHeight="1" s="94">
      <c r="A706" s="57" t="n"/>
      <c r="B706" s="57" t="n"/>
      <c r="C706" s="57" t="n"/>
      <c r="D706" s="57" t="n"/>
      <c r="E706" s="57" t="n"/>
      <c r="F706" s="57" t="n"/>
      <c r="G706" s="57" t="n"/>
      <c r="H706" s="57" t="n"/>
    </row>
    <row r="707" ht="15.75" customHeight="1" s="94">
      <c r="A707" s="57" t="n"/>
      <c r="B707" s="57" t="n"/>
      <c r="C707" s="57" t="n"/>
      <c r="D707" s="57" t="n"/>
      <c r="E707" s="57" t="n"/>
      <c r="F707" s="57" t="n"/>
      <c r="G707" s="57" t="n"/>
      <c r="H707" s="57" t="n"/>
    </row>
    <row r="708" ht="15.75" customHeight="1" s="94">
      <c r="A708" s="57" t="n"/>
      <c r="B708" s="57" t="n"/>
      <c r="C708" s="57" t="n"/>
      <c r="D708" s="57" t="n"/>
      <c r="E708" s="57" t="n"/>
      <c r="F708" s="57" t="n"/>
      <c r="G708" s="57" t="n"/>
      <c r="H708" s="57" t="n"/>
    </row>
    <row r="709" ht="15.75" customHeight="1" s="94">
      <c r="A709" s="57" t="n"/>
      <c r="B709" s="57" t="n"/>
      <c r="C709" s="57" t="n"/>
      <c r="D709" s="57" t="n"/>
      <c r="E709" s="57" t="n"/>
      <c r="F709" s="57" t="n"/>
      <c r="G709" s="57" t="n"/>
      <c r="H709" s="57" t="n"/>
    </row>
    <row r="710" ht="15.75" customHeight="1" s="94">
      <c r="A710" s="57" t="n"/>
      <c r="B710" s="57" t="n"/>
      <c r="C710" s="57" t="n"/>
      <c r="D710" s="57" t="n"/>
      <c r="E710" s="57" t="n"/>
      <c r="F710" s="57" t="n"/>
      <c r="G710" s="57" t="n"/>
      <c r="H710" s="57" t="n"/>
    </row>
    <row r="711" ht="15.75" customHeight="1" s="94">
      <c r="A711" s="57" t="n"/>
      <c r="B711" s="57" t="n"/>
      <c r="C711" s="57" t="n"/>
      <c r="D711" s="57" t="n"/>
      <c r="E711" s="57" t="n"/>
      <c r="F711" s="57" t="n"/>
      <c r="G711" s="57" t="n"/>
      <c r="H711" s="57" t="n"/>
    </row>
    <row r="712" ht="15.75" customHeight="1" s="94">
      <c r="A712" s="57" t="n"/>
      <c r="B712" s="57" t="n"/>
      <c r="C712" s="57" t="n"/>
      <c r="D712" s="57" t="n"/>
      <c r="E712" s="57" t="n"/>
      <c r="F712" s="57" t="n"/>
      <c r="G712" s="57" t="n"/>
      <c r="H712" s="57" t="n"/>
    </row>
    <row r="713" ht="15.75" customHeight="1" s="94">
      <c r="A713" s="57" t="n"/>
      <c r="B713" s="57" t="n"/>
      <c r="C713" s="57" t="n"/>
      <c r="D713" s="57" t="n"/>
      <c r="E713" s="57" t="n"/>
      <c r="F713" s="57" t="n"/>
      <c r="G713" s="57" t="n"/>
      <c r="H713" s="57" t="n"/>
    </row>
    <row r="714" ht="15.75" customHeight="1" s="94">
      <c r="A714" s="57" t="n"/>
      <c r="B714" s="57" t="n"/>
      <c r="C714" s="57" t="n"/>
      <c r="D714" s="57" t="n"/>
      <c r="E714" s="57" t="n"/>
      <c r="F714" s="57" t="n"/>
      <c r="G714" s="57" t="n"/>
      <c r="H714" s="57" t="n"/>
    </row>
    <row r="715" ht="15.75" customHeight="1" s="94">
      <c r="A715" s="57" t="n"/>
      <c r="B715" s="57" t="n"/>
      <c r="C715" s="57" t="n"/>
      <c r="D715" s="57" t="n"/>
      <c r="E715" s="57" t="n"/>
      <c r="F715" s="57" t="n"/>
      <c r="G715" s="57" t="n"/>
      <c r="H715" s="57" t="n"/>
    </row>
    <row r="716" ht="15.75" customHeight="1" s="94">
      <c r="A716" s="57" t="n"/>
      <c r="B716" s="57" t="n"/>
      <c r="C716" s="57" t="n"/>
      <c r="D716" s="57" t="n"/>
      <c r="E716" s="57" t="n"/>
      <c r="F716" s="57" t="n"/>
      <c r="G716" s="57" t="n"/>
      <c r="H716" s="57" t="n"/>
    </row>
    <row r="717" ht="15.75" customHeight="1" s="94">
      <c r="A717" s="57" t="n"/>
      <c r="B717" s="57" t="n"/>
      <c r="C717" s="57" t="n"/>
      <c r="D717" s="57" t="n"/>
      <c r="E717" s="57" t="n"/>
      <c r="F717" s="57" t="n"/>
      <c r="G717" s="57" t="n"/>
      <c r="H717" s="57" t="n"/>
    </row>
    <row r="718" ht="15.75" customHeight="1" s="94">
      <c r="A718" s="57" t="n"/>
      <c r="B718" s="57" t="n"/>
      <c r="C718" s="57" t="n"/>
      <c r="D718" s="57" t="n"/>
      <c r="E718" s="57" t="n"/>
      <c r="F718" s="57" t="n"/>
      <c r="G718" s="57" t="n"/>
      <c r="H718" s="57" t="n"/>
    </row>
    <row r="719" ht="15.75" customHeight="1" s="94">
      <c r="A719" s="57" t="n"/>
      <c r="B719" s="57" t="n"/>
      <c r="C719" s="57" t="n"/>
      <c r="D719" s="57" t="n"/>
      <c r="E719" s="57" t="n"/>
      <c r="F719" s="57" t="n"/>
      <c r="G719" s="57" t="n"/>
      <c r="H719" s="57" t="n"/>
    </row>
    <row r="720" ht="15.75" customHeight="1" s="94">
      <c r="A720" s="57" t="n"/>
      <c r="B720" s="57" t="n"/>
      <c r="C720" s="57" t="n"/>
      <c r="D720" s="57" t="n"/>
      <c r="E720" s="57" t="n"/>
      <c r="F720" s="57" t="n"/>
      <c r="G720" s="57" t="n"/>
      <c r="H720" s="57" t="n"/>
    </row>
    <row r="721" ht="15.75" customHeight="1" s="94">
      <c r="A721" s="57" t="n"/>
      <c r="B721" s="57" t="n"/>
      <c r="C721" s="57" t="n"/>
      <c r="D721" s="57" t="n"/>
      <c r="E721" s="57" t="n"/>
      <c r="F721" s="57" t="n"/>
      <c r="G721" s="57" t="n"/>
      <c r="H721" s="57" t="n"/>
    </row>
    <row r="722" ht="15.75" customHeight="1" s="94">
      <c r="A722" s="57" t="n"/>
      <c r="B722" s="57" t="n"/>
      <c r="C722" s="57" t="n"/>
      <c r="D722" s="57" t="n"/>
      <c r="E722" s="57" t="n"/>
      <c r="F722" s="57" t="n"/>
      <c r="G722" s="57" t="n"/>
      <c r="H722" s="57" t="n"/>
    </row>
    <row r="723" ht="15.75" customHeight="1" s="94">
      <c r="A723" s="57" t="n"/>
      <c r="B723" s="57" t="n"/>
      <c r="C723" s="57" t="n"/>
      <c r="D723" s="57" t="n"/>
      <c r="E723" s="57" t="n"/>
      <c r="F723" s="57" t="n"/>
      <c r="G723" s="57" t="n"/>
      <c r="H723" s="57" t="n"/>
    </row>
    <row r="724" ht="15.75" customHeight="1" s="94">
      <c r="A724" s="57" t="n"/>
      <c r="B724" s="57" t="n"/>
      <c r="C724" s="57" t="n"/>
      <c r="D724" s="57" t="n"/>
      <c r="E724" s="57" t="n"/>
      <c r="F724" s="57" t="n"/>
      <c r="G724" s="57" t="n"/>
      <c r="H724" s="57" t="n"/>
    </row>
    <row r="725" ht="15.75" customHeight="1" s="94">
      <c r="A725" s="57" t="n"/>
      <c r="B725" s="57" t="n"/>
      <c r="C725" s="57" t="n"/>
      <c r="D725" s="57" t="n"/>
      <c r="E725" s="57" t="n"/>
      <c r="F725" s="57" t="n"/>
      <c r="G725" s="57" t="n"/>
      <c r="H725" s="57" t="n"/>
    </row>
    <row r="726" ht="15.75" customHeight="1" s="94">
      <c r="A726" s="57" t="n"/>
      <c r="B726" s="57" t="n"/>
      <c r="C726" s="57" t="n"/>
      <c r="D726" s="57" t="n"/>
      <c r="E726" s="57" t="n"/>
      <c r="F726" s="57" t="n"/>
      <c r="G726" s="57" t="n"/>
      <c r="H726" s="57" t="n"/>
    </row>
    <row r="727" ht="15.75" customHeight="1" s="94">
      <c r="A727" s="57" t="n"/>
      <c r="B727" s="57" t="n"/>
      <c r="C727" s="57" t="n"/>
      <c r="D727" s="57" t="n"/>
      <c r="E727" s="57" t="n"/>
      <c r="F727" s="57" t="n"/>
      <c r="G727" s="57" t="n"/>
      <c r="H727" s="57" t="n"/>
    </row>
    <row r="728" ht="15.75" customHeight="1" s="94">
      <c r="A728" s="57" t="n"/>
      <c r="B728" s="57" t="n"/>
      <c r="C728" s="57" t="n"/>
      <c r="D728" s="57" t="n"/>
      <c r="E728" s="57" t="n"/>
      <c r="F728" s="57" t="n"/>
      <c r="G728" s="57" t="n"/>
      <c r="H728" s="57" t="n"/>
    </row>
    <row r="729" ht="15.75" customHeight="1" s="94">
      <c r="A729" s="57" t="n"/>
      <c r="B729" s="57" t="n"/>
      <c r="C729" s="57" t="n"/>
      <c r="D729" s="57" t="n"/>
      <c r="E729" s="57" t="n"/>
      <c r="F729" s="57" t="n"/>
      <c r="G729" s="57" t="n"/>
      <c r="H729" s="57" t="n"/>
    </row>
    <row r="730" ht="15.75" customHeight="1" s="94">
      <c r="A730" s="57" t="n"/>
      <c r="B730" s="57" t="n"/>
      <c r="C730" s="57" t="n"/>
      <c r="D730" s="57" t="n"/>
      <c r="E730" s="57" t="n"/>
      <c r="F730" s="57" t="n"/>
      <c r="G730" s="57" t="n"/>
      <c r="H730" s="57" t="n"/>
    </row>
    <row r="731" ht="15.75" customHeight="1" s="94">
      <c r="A731" s="57" t="n"/>
      <c r="B731" s="57" t="n"/>
      <c r="C731" s="57" t="n"/>
      <c r="D731" s="57" t="n"/>
      <c r="E731" s="57" t="n"/>
      <c r="F731" s="57" t="n"/>
      <c r="G731" s="57" t="n"/>
      <c r="H731" s="57" t="n"/>
    </row>
    <row r="732" ht="15.75" customHeight="1" s="94">
      <c r="A732" s="57" t="n"/>
      <c r="B732" s="57" t="n"/>
      <c r="C732" s="57" t="n"/>
      <c r="D732" s="57" t="n"/>
      <c r="E732" s="57" t="n"/>
      <c r="F732" s="57" t="n"/>
      <c r="G732" s="57" t="n"/>
      <c r="H732" s="57" t="n"/>
    </row>
    <row r="733" ht="15.75" customHeight="1" s="94">
      <c r="A733" s="57" t="n"/>
      <c r="B733" s="57" t="n"/>
      <c r="C733" s="57" t="n"/>
      <c r="D733" s="57" t="n"/>
      <c r="E733" s="57" t="n"/>
      <c r="F733" s="57" t="n"/>
      <c r="G733" s="57" t="n"/>
      <c r="H733" s="57" t="n"/>
    </row>
    <row r="734" ht="15.75" customHeight="1" s="94">
      <c r="A734" s="57" t="n"/>
      <c r="B734" s="57" t="n"/>
      <c r="C734" s="57" t="n"/>
      <c r="D734" s="57" t="n"/>
      <c r="E734" s="57" t="n"/>
      <c r="F734" s="57" t="n"/>
      <c r="G734" s="57" t="n"/>
      <c r="H734" s="57" t="n"/>
    </row>
    <row r="735" ht="15.75" customHeight="1" s="94">
      <c r="A735" s="57" t="n"/>
      <c r="B735" s="57" t="n"/>
      <c r="C735" s="57" t="n"/>
      <c r="D735" s="57" t="n"/>
      <c r="E735" s="57" t="n"/>
      <c r="F735" s="57" t="n"/>
      <c r="G735" s="57" t="n"/>
      <c r="H735" s="57" t="n"/>
    </row>
    <row r="736" ht="15.75" customHeight="1" s="94">
      <c r="A736" s="57" t="n"/>
      <c r="B736" s="57" t="n"/>
      <c r="C736" s="57" t="n"/>
      <c r="D736" s="57" t="n"/>
      <c r="E736" s="57" t="n"/>
      <c r="F736" s="57" t="n"/>
      <c r="G736" s="57" t="n"/>
      <c r="H736" s="57" t="n"/>
    </row>
    <row r="737" ht="15.75" customHeight="1" s="94">
      <c r="A737" s="57" t="n"/>
      <c r="B737" s="57" t="n"/>
      <c r="C737" s="57" t="n"/>
      <c r="D737" s="57" t="n"/>
      <c r="E737" s="57" t="n"/>
      <c r="F737" s="57" t="n"/>
      <c r="G737" s="57" t="n"/>
      <c r="H737" s="57" t="n"/>
    </row>
    <row r="738" ht="15.75" customHeight="1" s="94">
      <c r="A738" s="57" t="n"/>
      <c r="B738" s="57" t="n"/>
      <c r="C738" s="57" t="n"/>
      <c r="D738" s="57" t="n"/>
      <c r="E738" s="57" t="n"/>
      <c r="F738" s="57" t="n"/>
      <c r="G738" s="57" t="n"/>
      <c r="H738" s="57" t="n"/>
    </row>
    <row r="739" ht="15.75" customHeight="1" s="94">
      <c r="A739" s="57" t="n"/>
      <c r="B739" s="57" t="n"/>
      <c r="C739" s="57" t="n"/>
      <c r="D739" s="57" t="n"/>
      <c r="E739" s="57" t="n"/>
      <c r="F739" s="57" t="n"/>
      <c r="G739" s="57" t="n"/>
      <c r="H739" s="57" t="n"/>
    </row>
    <row r="740" ht="15.75" customHeight="1" s="94">
      <c r="A740" s="57" t="n"/>
      <c r="B740" s="57" t="n"/>
      <c r="C740" s="57" t="n"/>
      <c r="D740" s="57" t="n"/>
      <c r="E740" s="57" t="n"/>
      <c r="F740" s="57" t="n"/>
      <c r="G740" s="57" t="n"/>
      <c r="H740" s="57" t="n"/>
    </row>
    <row r="741" ht="15.75" customHeight="1" s="94">
      <c r="A741" s="57" t="n"/>
      <c r="B741" s="57" t="n"/>
      <c r="C741" s="57" t="n"/>
      <c r="D741" s="57" t="n"/>
      <c r="E741" s="57" t="n"/>
      <c r="F741" s="57" t="n"/>
      <c r="G741" s="57" t="n"/>
      <c r="H741" s="57" t="n"/>
    </row>
    <row r="742" ht="15.75" customHeight="1" s="94">
      <c r="A742" s="57" t="n"/>
      <c r="B742" s="57" t="n"/>
      <c r="C742" s="57" t="n"/>
      <c r="D742" s="57" t="n"/>
      <c r="E742" s="57" t="n"/>
      <c r="F742" s="57" t="n"/>
      <c r="G742" s="57" t="n"/>
      <c r="H742" s="57" t="n"/>
    </row>
    <row r="743" ht="15.75" customHeight="1" s="94">
      <c r="A743" s="57" t="n"/>
      <c r="B743" s="57" t="n"/>
      <c r="C743" s="57" t="n"/>
      <c r="D743" s="57" t="n"/>
      <c r="E743" s="57" t="n"/>
      <c r="F743" s="57" t="n"/>
      <c r="G743" s="57" t="n"/>
      <c r="H743" s="57" t="n"/>
    </row>
    <row r="744" ht="15.75" customHeight="1" s="94">
      <c r="A744" s="57" t="n"/>
      <c r="B744" s="57" t="n"/>
      <c r="C744" s="57" t="n"/>
      <c r="D744" s="57" t="n"/>
      <c r="E744" s="57" t="n"/>
      <c r="F744" s="57" t="n"/>
      <c r="G744" s="57" t="n"/>
      <c r="H744" s="57" t="n"/>
    </row>
    <row r="745" ht="15.75" customHeight="1" s="94">
      <c r="A745" s="57" t="n"/>
      <c r="B745" s="57" t="n"/>
      <c r="C745" s="57" t="n"/>
      <c r="D745" s="57" t="n"/>
      <c r="E745" s="57" t="n"/>
      <c r="F745" s="57" t="n"/>
      <c r="G745" s="57" t="n"/>
      <c r="H745" s="57" t="n"/>
    </row>
    <row r="746" ht="15.75" customHeight="1" s="94">
      <c r="A746" s="57" t="n"/>
      <c r="B746" s="57" t="n"/>
      <c r="C746" s="57" t="n"/>
      <c r="D746" s="57" t="n"/>
      <c r="E746" s="57" t="n"/>
      <c r="F746" s="57" t="n"/>
      <c r="G746" s="57" t="n"/>
      <c r="H746" s="57" t="n"/>
    </row>
    <row r="747" ht="15.75" customHeight="1" s="94">
      <c r="A747" s="57" t="n"/>
      <c r="B747" s="57" t="n"/>
      <c r="C747" s="57" t="n"/>
      <c r="D747" s="57" t="n"/>
      <c r="E747" s="57" t="n"/>
      <c r="F747" s="57" t="n"/>
      <c r="G747" s="57" t="n"/>
      <c r="H747" s="57" t="n"/>
    </row>
    <row r="748" ht="15.75" customHeight="1" s="94">
      <c r="A748" s="57" t="n"/>
      <c r="B748" s="57" t="n"/>
      <c r="C748" s="57" t="n"/>
      <c r="D748" s="57" t="n"/>
      <c r="E748" s="57" t="n"/>
      <c r="F748" s="57" t="n"/>
      <c r="G748" s="57" t="n"/>
      <c r="H748" s="57" t="n"/>
    </row>
    <row r="749" ht="15.75" customHeight="1" s="94">
      <c r="A749" s="57" t="n"/>
      <c r="B749" s="57" t="n"/>
      <c r="C749" s="57" t="n"/>
      <c r="D749" s="57" t="n"/>
      <c r="E749" s="57" t="n"/>
      <c r="F749" s="57" t="n"/>
      <c r="G749" s="57" t="n"/>
      <c r="H749" s="57" t="n"/>
    </row>
    <row r="750" ht="15.75" customHeight="1" s="94">
      <c r="A750" s="57" t="n"/>
      <c r="B750" s="57" t="n"/>
      <c r="C750" s="57" t="n"/>
      <c r="D750" s="57" t="n"/>
      <c r="E750" s="57" t="n"/>
      <c r="F750" s="57" t="n"/>
      <c r="G750" s="57" t="n"/>
      <c r="H750" s="57" t="n"/>
    </row>
    <row r="751" ht="15.75" customHeight="1" s="94">
      <c r="A751" s="57" t="n"/>
      <c r="B751" s="57" t="n"/>
      <c r="C751" s="57" t="n"/>
      <c r="D751" s="57" t="n"/>
      <c r="E751" s="57" t="n"/>
      <c r="F751" s="57" t="n"/>
      <c r="G751" s="57" t="n"/>
      <c r="H751" s="57" t="n"/>
    </row>
    <row r="752" ht="15.75" customHeight="1" s="94">
      <c r="A752" s="57" t="n"/>
      <c r="B752" s="57" t="n"/>
      <c r="C752" s="57" t="n"/>
      <c r="D752" s="57" t="n"/>
      <c r="E752" s="57" t="n"/>
      <c r="F752" s="57" t="n"/>
      <c r="G752" s="57" t="n"/>
      <c r="H752" s="57" t="n"/>
    </row>
    <row r="753" ht="15.75" customHeight="1" s="94">
      <c r="A753" s="57" t="n"/>
      <c r="B753" s="57" t="n"/>
      <c r="C753" s="57" t="n"/>
      <c r="D753" s="57" t="n"/>
      <c r="E753" s="57" t="n"/>
      <c r="F753" s="57" t="n"/>
      <c r="G753" s="57" t="n"/>
      <c r="H753" s="57" t="n"/>
    </row>
    <row r="754" ht="15.75" customHeight="1" s="94">
      <c r="A754" s="57" t="n"/>
      <c r="B754" s="57" t="n"/>
      <c r="C754" s="57" t="n"/>
      <c r="D754" s="57" t="n"/>
      <c r="E754" s="57" t="n"/>
      <c r="F754" s="57" t="n"/>
      <c r="G754" s="57" t="n"/>
      <c r="H754" s="57" t="n"/>
    </row>
    <row r="755" ht="15.75" customHeight="1" s="94">
      <c r="A755" s="57" t="n"/>
      <c r="B755" s="57" t="n"/>
      <c r="C755" s="57" t="n"/>
      <c r="D755" s="57" t="n"/>
      <c r="E755" s="57" t="n"/>
      <c r="F755" s="57" t="n"/>
      <c r="G755" s="57" t="n"/>
      <c r="H755" s="57" t="n"/>
    </row>
    <row r="756" ht="15.75" customHeight="1" s="94">
      <c r="A756" s="57" t="n"/>
      <c r="B756" s="57" t="n"/>
      <c r="C756" s="57" t="n"/>
      <c r="D756" s="57" t="n"/>
      <c r="E756" s="57" t="n"/>
      <c r="F756" s="57" t="n"/>
      <c r="G756" s="57" t="n"/>
      <c r="H756" s="57" t="n"/>
    </row>
    <row r="757" ht="15.75" customHeight="1" s="94">
      <c r="A757" s="57" t="n"/>
      <c r="B757" s="57" t="n"/>
      <c r="C757" s="57" t="n"/>
      <c r="D757" s="57" t="n"/>
      <c r="E757" s="57" t="n"/>
      <c r="F757" s="57" t="n"/>
      <c r="G757" s="57" t="n"/>
      <c r="H757" s="57" t="n"/>
    </row>
    <row r="758" ht="15.75" customHeight="1" s="94">
      <c r="A758" s="57" t="n"/>
      <c r="B758" s="57" t="n"/>
      <c r="C758" s="57" t="n"/>
      <c r="D758" s="57" t="n"/>
      <c r="E758" s="57" t="n"/>
      <c r="F758" s="57" t="n"/>
      <c r="G758" s="57" t="n"/>
      <c r="H758" s="57" t="n"/>
    </row>
    <row r="759" ht="15.75" customHeight="1" s="94">
      <c r="A759" s="57" t="n"/>
      <c r="B759" s="57" t="n"/>
      <c r="C759" s="57" t="n"/>
      <c r="D759" s="57" t="n"/>
      <c r="E759" s="57" t="n"/>
      <c r="F759" s="57" t="n"/>
      <c r="G759" s="57" t="n"/>
      <c r="H759" s="57" t="n"/>
    </row>
    <row r="760" ht="15.75" customHeight="1" s="94">
      <c r="A760" s="57" t="n"/>
      <c r="B760" s="57" t="n"/>
      <c r="C760" s="57" t="n"/>
      <c r="D760" s="57" t="n"/>
      <c r="E760" s="57" t="n"/>
      <c r="F760" s="57" t="n"/>
      <c r="G760" s="57" t="n"/>
      <c r="H760" s="57" t="n"/>
    </row>
    <row r="761" ht="15.75" customHeight="1" s="94">
      <c r="A761" s="57" t="n"/>
      <c r="B761" s="57" t="n"/>
      <c r="C761" s="57" t="n"/>
      <c r="D761" s="57" t="n"/>
      <c r="E761" s="57" t="n"/>
      <c r="F761" s="57" t="n"/>
      <c r="G761" s="57" t="n"/>
      <c r="H761" s="57" t="n"/>
    </row>
    <row r="762" ht="15.75" customHeight="1" s="94">
      <c r="A762" s="57" t="n"/>
      <c r="B762" s="57" t="n"/>
      <c r="C762" s="57" t="n"/>
      <c r="D762" s="57" t="n"/>
      <c r="E762" s="57" t="n"/>
      <c r="F762" s="57" t="n"/>
      <c r="G762" s="57" t="n"/>
      <c r="H762" s="57" t="n"/>
    </row>
    <row r="763" ht="15.75" customHeight="1" s="94">
      <c r="A763" s="57" t="n"/>
      <c r="B763" s="57" t="n"/>
      <c r="C763" s="57" t="n"/>
      <c r="D763" s="57" t="n"/>
      <c r="E763" s="57" t="n"/>
      <c r="F763" s="57" t="n"/>
      <c r="G763" s="57" t="n"/>
      <c r="H763" s="57" t="n"/>
    </row>
    <row r="764" ht="15.75" customHeight="1" s="94">
      <c r="A764" s="57" t="n"/>
      <c r="B764" s="57" t="n"/>
      <c r="C764" s="57" t="n"/>
      <c r="D764" s="57" t="n"/>
      <c r="E764" s="57" t="n"/>
      <c r="F764" s="57" t="n"/>
      <c r="G764" s="57" t="n"/>
      <c r="H764" s="57" t="n"/>
    </row>
    <row r="765" ht="15.75" customHeight="1" s="94">
      <c r="A765" s="57" t="n"/>
      <c r="B765" s="57" t="n"/>
      <c r="C765" s="57" t="n"/>
      <c r="D765" s="57" t="n"/>
      <c r="E765" s="57" t="n"/>
      <c r="F765" s="57" t="n"/>
      <c r="G765" s="57" t="n"/>
      <c r="H765" s="57" t="n"/>
    </row>
    <row r="766" ht="15.75" customHeight="1" s="94">
      <c r="A766" s="57" t="n"/>
      <c r="B766" s="57" t="n"/>
      <c r="C766" s="57" t="n"/>
      <c r="D766" s="57" t="n"/>
      <c r="E766" s="57" t="n"/>
      <c r="F766" s="57" t="n"/>
      <c r="G766" s="57" t="n"/>
      <c r="H766" s="57" t="n"/>
    </row>
    <row r="767" ht="15.75" customHeight="1" s="94">
      <c r="A767" s="57" t="n"/>
      <c r="B767" s="57" t="n"/>
      <c r="C767" s="57" t="n"/>
      <c r="D767" s="57" t="n"/>
      <c r="E767" s="57" t="n"/>
      <c r="F767" s="57" t="n"/>
      <c r="G767" s="57" t="n"/>
      <c r="H767" s="57" t="n"/>
    </row>
    <row r="768" ht="15.75" customHeight="1" s="94">
      <c r="A768" s="57" t="n"/>
      <c r="B768" s="57" t="n"/>
      <c r="C768" s="57" t="n"/>
      <c r="D768" s="57" t="n"/>
      <c r="E768" s="57" t="n"/>
      <c r="F768" s="57" t="n"/>
      <c r="G768" s="57" t="n"/>
      <c r="H768" s="57" t="n"/>
    </row>
    <row r="769" ht="15.75" customHeight="1" s="94">
      <c r="A769" s="57" t="n"/>
      <c r="B769" s="57" t="n"/>
      <c r="C769" s="57" t="n"/>
      <c r="D769" s="57" t="n"/>
      <c r="E769" s="57" t="n"/>
      <c r="F769" s="57" t="n"/>
      <c r="G769" s="57" t="n"/>
      <c r="H769" s="57" t="n"/>
    </row>
    <row r="770" ht="15.75" customHeight="1" s="94">
      <c r="A770" s="57" t="n"/>
      <c r="B770" s="57" t="n"/>
      <c r="C770" s="57" t="n"/>
      <c r="D770" s="57" t="n"/>
      <c r="E770" s="57" t="n"/>
      <c r="F770" s="57" t="n"/>
      <c r="G770" s="57" t="n"/>
      <c r="H770" s="57" t="n"/>
    </row>
    <row r="771" ht="15.75" customHeight="1" s="94">
      <c r="A771" s="57" t="n"/>
      <c r="B771" s="57" t="n"/>
      <c r="C771" s="57" t="n"/>
      <c r="D771" s="57" t="n"/>
      <c r="E771" s="57" t="n"/>
      <c r="F771" s="57" t="n"/>
      <c r="G771" s="57" t="n"/>
      <c r="H771" s="57" t="n"/>
    </row>
    <row r="772" ht="15.75" customHeight="1" s="94">
      <c r="A772" s="57" t="n"/>
      <c r="B772" s="57" t="n"/>
      <c r="C772" s="57" t="n"/>
      <c r="D772" s="57" t="n"/>
      <c r="E772" s="57" t="n"/>
      <c r="F772" s="57" t="n"/>
      <c r="G772" s="57" t="n"/>
      <c r="H772" s="57" t="n"/>
    </row>
    <row r="773" ht="15.75" customHeight="1" s="94">
      <c r="A773" s="57" t="n"/>
      <c r="B773" s="57" t="n"/>
      <c r="C773" s="57" t="n"/>
      <c r="D773" s="57" t="n"/>
      <c r="E773" s="57" t="n"/>
      <c r="F773" s="57" t="n"/>
      <c r="G773" s="57" t="n"/>
      <c r="H773" s="57" t="n"/>
    </row>
    <row r="774" ht="15.75" customHeight="1" s="94">
      <c r="A774" s="57" t="n"/>
      <c r="B774" s="57" t="n"/>
      <c r="C774" s="57" t="n"/>
      <c r="D774" s="57" t="n"/>
      <c r="E774" s="57" t="n"/>
      <c r="F774" s="57" t="n"/>
      <c r="G774" s="57" t="n"/>
      <c r="H774" s="57" t="n"/>
    </row>
    <row r="775" ht="15.75" customHeight="1" s="94">
      <c r="A775" s="57" t="n"/>
      <c r="B775" s="57" t="n"/>
      <c r="C775" s="57" t="n"/>
      <c r="D775" s="57" t="n"/>
      <c r="E775" s="57" t="n"/>
      <c r="F775" s="57" t="n"/>
      <c r="G775" s="57" t="n"/>
      <c r="H775" s="57" t="n"/>
    </row>
    <row r="776" ht="15.75" customHeight="1" s="94">
      <c r="A776" s="57" t="n"/>
      <c r="B776" s="57" t="n"/>
      <c r="C776" s="57" t="n"/>
      <c r="D776" s="57" t="n"/>
      <c r="E776" s="57" t="n"/>
      <c r="F776" s="57" t="n"/>
      <c r="G776" s="57" t="n"/>
      <c r="H776" s="57" t="n"/>
    </row>
    <row r="777" ht="15.75" customHeight="1" s="94">
      <c r="A777" s="57" t="n"/>
      <c r="B777" s="57" t="n"/>
      <c r="C777" s="57" t="n"/>
      <c r="D777" s="57" t="n"/>
      <c r="E777" s="57" t="n"/>
      <c r="F777" s="57" t="n"/>
      <c r="G777" s="57" t="n"/>
      <c r="H777" s="57" t="n"/>
    </row>
    <row r="778" ht="15.75" customHeight="1" s="94">
      <c r="A778" s="57" t="n"/>
      <c r="B778" s="57" t="n"/>
      <c r="C778" s="57" t="n"/>
      <c r="D778" s="57" t="n"/>
      <c r="E778" s="57" t="n"/>
      <c r="F778" s="57" t="n"/>
      <c r="G778" s="57" t="n"/>
      <c r="H778" s="57" t="n"/>
    </row>
    <row r="779" ht="15.75" customHeight="1" s="94">
      <c r="A779" s="57" t="n"/>
      <c r="B779" s="57" t="n"/>
      <c r="C779" s="57" t="n"/>
      <c r="D779" s="57" t="n"/>
      <c r="E779" s="57" t="n"/>
      <c r="F779" s="57" t="n"/>
      <c r="G779" s="57" t="n"/>
      <c r="H779" s="57" t="n"/>
    </row>
    <row r="780" ht="15.75" customHeight="1" s="94">
      <c r="A780" s="57" t="n"/>
      <c r="B780" s="57" t="n"/>
      <c r="C780" s="57" t="n"/>
      <c r="D780" s="57" t="n"/>
      <c r="E780" s="57" t="n"/>
      <c r="F780" s="57" t="n"/>
      <c r="G780" s="57" t="n"/>
      <c r="H780" s="57" t="n"/>
    </row>
    <row r="781" ht="15.75" customHeight="1" s="94">
      <c r="A781" s="57" t="n"/>
      <c r="B781" s="57" t="n"/>
      <c r="C781" s="57" t="n"/>
      <c r="D781" s="57" t="n"/>
      <c r="E781" s="57" t="n"/>
      <c r="F781" s="57" t="n"/>
      <c r="G781" s="57" t="n"/>
      <c r="H781" s="57" t="n"/>
    </row>
    <row r="782" ht="15.75" customHeight="1" s="94">
      <c r="A782" s="57" t="n"/>
      <c r="B782" s="57" t="n"/>
      <c r="C782" s="57" t="n"/>
      <c r="D782" s="57" t="n"/>
      <c r="E782" s="57" t="n"/>
      <c r="F782" s="57" t="n"/>
      <c r="G782" s="57" t="n"/>
      <c r="H782" s="57" t="n"/>
    </row>
    <row r="783" ht="15.75" customHeight="1" s="94">
      <c r="A783" s="57" t="n"/>
      <c r="B783" s="57" t="n"/>
      <c r="C783" s="57" t="n"/>
      <c r="D783" s="57" t="n"/>
      <c r="E783" s="57" t="n"/>
      <c r="F783" s="57" t="n"/>
      <c r="G783" s="57" t="n"/>
      <c r="H783" s="57" t="n"/>
    </row>
    <row r="784" ht="15.75" customHeight="1" s="94">
      <c r="A784" s="57" t="n"/>
      <c r="B784" s="57" t="n"/>
      <c r="C784" s="57" t="n"/>
      <c r="D784" s="57" t="n"/>
      <c r="E784" s="57" t="n"/>
      <c r="F784" s="57" t="n"/>
      <c r="G784" s="57" t="n"/>
      <c r="H784" s="57" t="n"/>
    </row>
    <row r="785" ht="15.75" customHeight="1" s="94">
      <c r="A785" s="57" t="n"/>
      <c r="B785" s="57" t="n"/>
      <c r="C785" s="57" t="n"/>
      <c r="D785" s="57" t="n"/>
      <c r="E785" s="57" t="n"/>
      <c r="F785" s="57" t="n"/>
      <c r="G785" s="57" t="n"/>
      <c r="H785" s="57" t="n"/>
    </row>
    <row r="786" ht="15.75" customHeight="1" s="94">
      <c r="A786" s="57" t="n"/>
      <c r="B786" s="57" t="n"/>
      <c r="C786" s="57" t="n"/>
      <c r="D786" s="57" t="n"/>
      <c r="E786" s="57" t="n"/>
      <c r="F786" s="57" t="n"/>
      <c r="G786" s="57" t="n"/>
      <c r="H786" s="57" t="n"/>
    </row>
    <row r="787" ht="15.75" customHeight="1" s="94">
      <c r="A787" s="57" t="n"/>
      <c r="B787" s="57" t="n"/>
      <c r="C787" s="57" t="n"/>
      <c r="D787" s="57" t="n"/>
      <c r="E787" s="57" t="n"/>
      <c r="F787" s="57" t="n"/>
      <c r="G787" s="57" t="n"/>
      <c r="H787" s="57" t="n"/>
    </row>
    <row r="788" ht="15.75" customHeight="1" s="94">
      <c r="A788" s="57" t="n"/>
      <c r="B788" s="57" t="n"/>
      <c r="C788" s="57" t="n"/>
      <c r="D788" s="57" t="n"/>
      <c r="E788" s="57" t="n"/>
      <c r="F788" s="57" t="n"/>
      <c r="G788" s="57" t="n"/>
      <c r="H788" s="57" t="n"/>
    </row>
    <row r="789" ht="15.75" customHeight="1" s="94">
      <c r="A789" s="57" t="n"/>
      <c r="B789" s="57" t="n"/>
      <c r="C789" s="57" t="n"/>
      <c r="D789" s="57" t="n"/>
      <c r="E789" s="57" t="n"/>
      <c r="F789" s="57" t="n"/>
      <c r="G789" s="57" t="n"/>
      <c r="H789" s="57" t="n"/>
    </row>
    <row r="790" ht="15.75" customHeight="1" s="94">
      <c r="A790" s="57" t="n"/>
      <c r="B790" s="57" t="n"/>
      <c r="C790" s="57" t="n"/>
      <c r="D790" s="57" t="n"/>
      <c r="E790" s="57" t="n"/>
      <c r="F790" s="57" t="n"/>
      <c r="G790" s="57" t="n"/>
      <c r="H790" s="57" t="n"/>
    </row>
    <row r="791" ht="15.75" customHeight="1" s="94">
      <c r="A791" s="57" t="n"/>
      <c r="B791" s="57" t="n"/>
      <c r="C791" s="57" t="n"/>
      <c r="D791" s="57" t="n"/>
      <c r="E791" s="57" t="n"/>
      <c r="F791" s="57" t="n"/>
      <c r="G791" s="57" t="n"/>
      <c r="H791" s="57" t="n"/>
    </row>
    <row r="792" ht="15.75" customHeight="1" s="94">
      <c r="A792" s="57" t="n"/>
      <c r="B792" s="57" t="n"/>
      <c r="C792" s="57" t="n"/>
      <c r="D792" s="57" t="n"/>
      <c r="E792" s="57" t="n"/>
      <c r="F792" s="57" t="n"/>
      <c r="G792" s="57" t="n"/>
      <c r="H792" s="57" t="n"/>
    </row>
    <row r="793" ht="15.75" customHeight="1" s="94">
      <c r="A793" s="57" t="n"/>
      <c r="B793" s="57" t="n"/>
      <c r="C793" s="57" t="n"/>
      <c r="D793" s="57" t="n"/>
      <c r="E793" s="57" t="n"/>
      <c r="F793" s="57" t="n"/>
      <c r="G793" s="57" t="n"/>
      <c r="H793" s="57" t="n"/>
    </row>
    <row r="794" ht="15.75" customHeight="1" s="94">
      <c r="A794" s="57" t="n"/>
      <c r="B794" s="57" t="n"/>
      <c r="C794" s="57" t="n"/>
      <c r="D794" s="57" t="n"/>
      <c r="E794" s="57" t="n"/>
      <c r="F794" s="57" t="n"/>
      <c r="G794" s="57" t="n"/>
      <c r="H794" s="57" t="n"/>
    </row>
    <row r="795" ht="15.75" customHeight="1" s="94">
      <c r="A795" s="57" t="n"/>
      <c r="B795" s="57" t="n"/>
      <c r="C795" s="57" t="n"/>
      <c r="D795" s="57" t="n"/>
      <c r="E795" s="57" t="n"/>
      <c r="F795" s="57" t="n"/>
      <c r="G795" s="57" t="n"/>
      <c r="H795" s="57" t="n"/>
    </row>
    <row r="796" ht="15.75" customHeight="1" s="94">
      <c r="A796" s="57" t="n"/>
      <c r="B796" s="57" t="n"/>
      <c r="C796" s="57" t="n"/>
      <c r="D796" s="57" t="n"/>
      <c r="E796" s="57" t="n"/>
      <c r="F796" s="57" t="n"/>
      <c r="G796" s="57" t="n"/>
      <c r="H796" s="57" t="n"/>
    </row>
    <row r="797" ht="15.75" customHeight="1" s="94">
      <c r="A797" s="57" t="n"/>
      <c r="B797" s="57" t="n"/>
      <c r="C797" s="57" t="n"/>
      <c r="D797" s="57" t="n"/>
      <c r="E797" s="57" t="n"/>
      <c r="F797" s="57" t="n"/>
      <c r="G797" s="57" t="n"/>
      <c r="H797" s="57" t="n"/>
    </row>
    <row r="798" ht="15.75" customHeight="1" s="94">
      <c r="A798" s="57" t="n"/>
      <c r="B798" s="57" t="n"/>
      <c r="C798" s="57" t="n"/>
      <c r="D798" s="57" t="n"/>
      <c r="E798" s="57" t="n"/>
      <c r="F798" s="57" t="n"/>
      <c r="G798" s="57" t="n"/>
      <c r="H798" s="57" t="n"/>
    </row>
    <row r="799" ht="15.75" customHeight="1" s="94">
      <c r="A799" s="57" t="n"/>
      <c r="B799" s="57" t="n"/>
      <c r="C799" s="57" t="n"/>
      <c r="D799" s="57" t="n"/>
      <c r="E799" s="57" t="n"/>
      <c r="F799" s="57" t="n"/>
      <c r="G799" s="57" t="n"/>
      <c r="H799" s="57" t="n"/>
    </row>
    <row r="800" ht="15.75" customHeight="1" s="94">
      <c r="A800" s="57" t="n"/>
      <c r="B800" s="57" t="n"/>
      <c r="C800" s="57" t="n"/>
      <c r="D800" s="57" t="n"/>
      <c r="E800" s="57" t="n"/>
      <c r="F800" s="57" t="n"/>
      <c r="G800" s="57" t="n"/>
      <c r="H800" s="57" t="n"/>
    </row>
    <row r="801" ht="15.75" customHeight="1" s="94">
      <c r="A801" s="57" t="n"/>
      <c r="B801" s="57" t="n"/>
      <c r="C801" s="57" t="n"/>
      <c r="D801" s="57" t="n"/>
      <c r="E801" s="57" t="n"/>
      <c r="F801" s="57" t="n"/>
      <c r="G801" s="57" t="n"/>
      <c r="H801" s="57" t="n"/>
    </row>
    <row r="802" ht="15.75" customHeight="1" s="94">
      <c r="A802" s="57" t="n"/>
      <c r="B802" s="57" t="n"/>
      <c r="C802" s="57" t="n"/>
      <c r="D802" s="57" t="n"/>
      <c r="E802" s="57" t="n"/>
      <c r="F802" s="57" t="n"/>
      <c r="G802" s="57" t="n"/>
      <c r="H802" s="57" t="n"/>
    </row>
    <row r="803" ht="15.75" customHeight="1" s="94">
      <c r="A803" s="57" t="n"/>
      <c r="B803" s="57" t="n"/>
      <c r="C803" s="57" t="n"/>
      <c r="D803" s="57" t="n"/>
      <c r="E803" s="57" t="n"/>
      <c r="F803" s="57" t="n"/>
      <c r="G803" s="57" t="n"/>
      <c r="H803" s="57" t="n"/>
    </row>
    <row r="804" ht="15.75" customHeight="1" s="94">
      <c r="A804" s="57" t="n"/>
      <c r="B804" s="57" t="n"/>
      <c r="C804" s="57" t="n"/>
      <c r="D804" s="57" t="n"/>
      <c r="E804" s="57" t="n"/>
      <c r="F804" s="57" t="n"/>
      <c r="G804" s="57" t="n"/>
      <c r="H804" s="57" t="n"/>
    </row>
    <row r="805" ht="15.75" customHeight="1" s="94">
      <c r="A805" s="57" t="n"/>
      <c r="B805" s="57" t="n"/>
      <c r="C805" s="57" t="n"/>
      <c r="D805" s="57" t="n"/>
      <c r="E805" s="57" t="n"/>
      <c r="F805" s="57" t="n"/>
      <c r="G805" s="57" t="n"/>
      <c r="H805" s="57" t="n"/>
    </row>
    <row r="806" ht="15.75" customHeight="1" s="94">
      <c r="A806" s="57" t="n"/>
      <c r="B806" s="57" t="n"/>
      <c r="C806" s="57" t="n"/>
      <c r="D806" s="57" t="n"/>
      <c r="E806" s="57" t="n"/>
      <c r="F806" s="57" t="n"/>
      <c r="G806" s="57" t="n"/>
      <c r="H806" s="57" t="n"/>
    </row>
    <row r="807" ht="15.75" customHeight="1" s="94">
      <c r="A807" s="57" t="n"/>
      <c r="B807" s="57" t="n"/>
      <c r="C807" s="57" t="n"/>
      <c r="D807" s="57" t="n"/>
      <c r="E807" s="57" t="n"/>
      <c r="F807" s="57" t="n"/>
      <c r="G807" s="57" t="n"/>
      <c r="H807" s="57" t="n"/>
    </row>
    <row r="808" ht="15.75" customHeight="1" s="94">
      <c r="A808" s="57" t="n"/>
      <c r="B808" s="57" t="n"/>
      <c r="C808" s="57" t="n"/>
      <c r="D808" s="57" t="n"/>
      <c r="E808" s="57" t="n"/>
      <c r="F808" s="57" t="n"/>
      <c r="G808" s="57" t="n"/>
      <c r="H808" s="57" t="n"/>
    </row>
    <row r="809" ht="15.75" customHeight="1" s="94">
      <c r="A809" s="57" t="n"/>
      <c r="B809" s="57" t="n"/>
      <c r="C809" s="57" t="n"/>
      <c r="D809" s="57" t="n"/>
      <c r="E809" s="57" t="n"/>
      <c r="F809" s="57" t="n"/>
      <c r="G809" s="57" t="n"/>
      <c r="H809" s="57" t="n"/>
    </row>
    <row r="810" ht="15.75" customHeight="1" s="94">
      <c r="A810" s="57" t="n"/>
      <c r="B810" s="57" t="n"/>
      <c r="C810" s="57" t="n"/>
      <c r="D810" s="57" t="n"/>
      <c r="E810" s="57" t="n"/>
      <c r="F810" s="57" t="n"/>
      <c r="G810" s="57" t="n"/>
      <c r="H810" s="57" t="n"/>
    </row>
    <row r="811" ht="15.75" customHeight="1" s="94">
      <c r="A811" s="57" t="n"/>
      <c r="B811" s="57" t="n"/>
      <c r="C811" s="57" t="n"/>
      <c r="D811" s="57" t="n"/>
      <c r="E811" s="57" t="n"/>
      <c r="F811" s="57" t="n"/>
      <c r="G811" s="57" t="n"/>
      <c r="H811" s="57" t="n"/>
    </row>
    <row r="812" ht="15.75" customHeight="1" s="94">
      <c r="A812" s="57" t="n"/>
      <c r="B812" s="57" t="n"/>
      <c r="C812" s="57" t="n"/>
      <c r="D812" s="57" t="n"/>
      <c r="E812" s="57" t="n"/>
      <c r="F812" s="57" t="n"/>
      <c r="G812" s="57" t="n"/>
      <c r="H812" s="57" t="n"/>
    </row>
    <row r="813" ht="15.75" customHeight="1" s="94">
      <c r="A813" s="57" t="n"/>
      <c r="B813" s="57" t="n"/>
      <c r="C813" s="57" t="n"/>
      <c r="D813" s="57" t="n"/>
      <c r="E813" s="57" t="n"/>
      <c r="F813" s="57" t="n"/>
      <c r="G813" s="57" t="n"/>
      <c r="H813" s="57" t="n"/>
    </row>
    <row r="814" ht="15.75" customHeight="1" s="94">
      <c r="A814" s="57" t="n"/>
      <c r="B814" s="57" t="n"/>
      <c r="C814" s="57" t="n"/>
      <c r="D814" s="57" t="n"/>
      <c r="E814" s="57" t="n"/>
      <c r="F814" s="57" t="n"/>
      <c r="G814" s="57" t="n"/>
      <c r="H814" s="57" t="n"/>
    </row>
    <row r="815" ht="15.75" customHeight="1" s="94">
      <c r="A815" s="57" t="n"/>
      <c r="B815" s="57" t="n"/>
      <c r="C815" s="57" t="n"/>
      <c r="D815" s="57" t="n"/>
      <c r="E815" s="57" t="n"/>
      <c r="F815" s="57" t="n"/>
      <c r="G815" s="57" t="n"/>
      <c r="H815" s="57" t="n"/>
    </row>
    <row r="816" ht="15.75" customHeight="1" s="94">
      <c r="A816" s="57" t="n"/>
      <c r="B816" s="57" t="n"/>
      <c r="C816" s="57" t="n"/>
      <c r="D816" s="57" t="n"/>
      <c r="E816" s="57" t="n"/>
      <c r="F816" s="57" t="n"/>
      <c r="G816" s="57" t="n"/>
      <c r="H816" s="57" t="n"/>
    </row>
    <row r="817" ht="15.75" customHeight="1" s="94">
      <c r="A817" s="57" t="n"/>
      <c r="B817" s="57" t="n"/>
      <c r="C817" s="57" t="n"/>
      <c r="D817" s="57" t="n"/>
      <c r="E817" s="57" t="n"/>
      <c r="F817" s="57" t="n"/>
      <c r="G817" s="57" t="n"/>
      <c r="H817" s="57" t="n"/>
    </row>
    <row r="818" ht="15.75" customHeight="1" s="94">
      <c r="A818" s="57" t="n"/>
      <c r="B818" s="57" t="n"/>
      <c r="C818" s="57" t="n"/>
      <c r="D818" s="57" t="n"/>
      <c r="E818" s="57" t="n"/>
      <c r="F818" s="57" t="n"/>
      <c r="G818" s="57" t="n"/>
      <c r="H818" s="57" t="n"/>
    </row>
    <row r="819" ht="15.75" customHeight="1" s="94">
      <c r="A819" s="57" t="n"/>
      <c r="B819" s="57" t="n"/>
      <c r="C819" s="57" t="n"/>
      <c r="D819" s="57" t="n"/>
      <c r="E819" s="57" t="n"/>
      <c r="F819" s="57" t="n"/>
      <c r="G819" s="57" t="n"/>
      <c r="H819" s="57" t="n"/>
    </row>
    <row r="820" ht="15.75" customHeight="1" s="94">
      <c r="A820" s="57" t="n"/>
      <c r="B820" s="57" t="n"/>
      <c r="C820" s="57" t="n"/>
      <c r="D820" s="57" t="n"/>
      <c r="E820" s="57" t="n"/>
      <c r="F820" s="57" t="n"/>
      <c r="G820" s="57" t="n"/>
      <c r="H820" s="57" t="n"/>
    </row>
    <row r="821" ht="15.75" customHeight="1" s="94">
      <c r="A821" s="57" t="n"/>
      <c r="B821" s="57" t="n"/>
      <c r="C821" s="57" t="n"/>
      <c r="D821" s="57" t="n"/>
      <c r="E821" s="57" t="n"/>
      <c r="F821" s="57" t="n"/>
      <c r="G821" s="57" t="n"/>
      <c r="H821" s="57" t="n"/>
    </row>
    <row r="822" ht="15.75" customHeight="1" s="94">
      <c r="A822" s="57" t="n"/>
      <c r="B822" s="57" t="n"/>
      <c r="C822" s="57" t="n"/>
      <c r="D822" s="57" t="n"/>
      <c r="E822" s="57" t="n"/>
      <c r="F822" s="57" t="n"/>
      <c r="G822" s="57" t="n"/>
      <c r="H822" s="57" t="n"/>
    </row>
    <row r="823" ht="15.75" customHeight="1" s="94">
      <c r="A823" s="57" t="n"/>
      <c r="B823" s="57" t="n"/>
      <c r="C823" s="57" t="n"/>
      <c r="D823" s="57" t="n"/>
      <c r="E823" s="57" t="n"/>
      <c r="F823" s="57" t="n"/>
      <c r="G823" s="57" t="n"/>
      <c r="H823" s="57" t="n"/>
    </row>
    <row r="824" ht="15.75" customHeight="1" s="94">
      <c r="A824" s="57" t="n"/>
      <c r="B824" s="57" t="n"/>
      <c r="C824" s="57" t="n"/>
      <c r="D824" s="57" t="n"/>
      <c r="E824" s="57" t="n"/>
      <c r="F824" s="57" t="n"/>
      <c r="G824" s="57" t="n"/>
      <c r="H824" s="57" t="n"/>
    </row>
    <row r="825" ht="15.75" customHeight="1" s="94">
      <c r="A825" s="57" t="n"/>
      <c r="B825" s="57" t="n"/>
      <c r="C825" s="57" t="n"/>
      <c r="D825" s="57" t="n"/>
      <c r="E825" s="57" t="n"/>
      <c r="F825" s="57" t="n"/>
      <c r="G825" s="57" t="n"/>
      <c r="H825" s="57" t="n"/>
    </row>
    <row r="826" ht="15.75" customHeight="1" s="94">
      <c r="A826" s="57" t="n"/>
      <c r="B826" s="57" t="n"/>
      <c r="C826" s="57" t="n"/>
      <c r="D826" s="57" t="n"/>
      <c r="E826" s="57" t="n"/>
      <c r="F826" s="57" t="n"/>
      <c r="G826" s="57" t="n"/>
      <c r="H826" s="57" t="n"/>
    </row>
    <row r="827" ht="15.75" customHeight="1" s="94">
      <c r="A827" s="57" t="n"/>
      <c r="B827" s="57" t="n"/>
      <c r="C827" s="57" t="n"/>
      <c r="D827" s="57" t="n"/>
      <c r="E827" s="57" t="n"/>
      <c r="F827" s="57" t="n"/>
      <c r="G827" s="57" t="n"/>
      <c r="H827" s="57" t="n"/>
    </row>
    <row r="828" ht="15.75" customHeight="1" s="94">
      <c r="A828" s="57" t="n"/>
      <c r="B828" s="57" t="n"/>
      <c r="C828" s="57" t="n"/>
      <c r="D828" s="57" t="n"/>
      <c r="E828" s="57" t="n"/>
      <c r="F828" s="57" t="n"/>
      <c r="G828" s="57" t="n"/>
      <c r="H828" s="57" t="n"/>
    </row>
    <row r="829" ht="15.75" customHeight="1" s="94">
      <c r="A829" s="57" t="n"/>
      <c r="B829" s="57" t="n"/>
      <c r="C829" s="57" t="n"/>
      <c r="D829" s="57" t="n"/>
      <c r="E829" s="57" t="n"/>
      <c r="F829" s="57" t="n"/>
      <c r="G829" s="57" t="n"/>
      <c r="H829" s="57" t="n"/>
    </row>
    <row r="830" ht="15.75" customHeight="1" s="94">
      <c r="A830" s="57" t="n"/>
      <c r="B830" s="57" t="n"/>
      <c r="C830" s="57" t="n"/>
      <c r="D830" s="57" t="n"/>
      <c r="E830" s="57" t="n"/>
      <c r="F830" s="57" t="n"/>
      <c r="G830" s="57" t="n"/>
      <c r="H830" s="57" t="n"/>
    </row>
    <row r="831" ht="15.75" customHeight="1" s="94">
      <c r="A831" s="57" t="n"/>
      <c r="B831" s="57" t="n"/>
      <c r="C831" s="57" t="n"/>
      <c r="D831" s="57" t="n"/>
      <c r="E831" s="57" t="n"/>
      <c r="F831" s="57" t="n"/>
      <c r="G831" s="57" t="n"/>
      <c r="H831" s="57" t="n"/>
    </row>
    <row r="832" ht="15.75" customHeight="1" s="94">
      <c r="A832" s="57" t="n"/>
      <c r="B832" s="57" t="n"/>
      <c r="C832" s="57" t="n"/>
      <c r="D832" s="57" t="n"/>
      <c r="E832" s="57" t="n"/>
      <c r="F832" s="57" t="n"/>
      <c r="G832" s="57" t="n"/>
      <c r="H832" s="57" t="n"/>
    </row>
    <row r="833" ht="15.75" customHeight="1" s="94">
      <c r="A833" s="57" t="n"/>
      <c r="B833" s="57" t="n"/>
      <c r="C833" s="57" t="n"/>
      <c r="D833" s="57" t="n"/>
      <c r="E833" s="57" t="n"/>
      <c r="F833" s="57" t="n"/>
      <c r="G833" s="57" t="n"/>
      <c r="H833" s="57" t="n"/>
    </row>
    <row r="834" ht="15.75" customHeight="1" s="94">
      <c r="A834" s="57" t="n"/>
      <c r="B834" s="57" t="n"/>
      <c r="C834" s="57" t="n"/>
      <c r="D834" s="57" t="n"/>
      <c r="E834" s="57" t="n"/>
      <c r="F834" s="57" t="n"/>
      <c r="G834" s="57" t="n"/>
      <c r="H834" s="57" t="n"/>
    </row>
    <row r="835" ht="15.75" customHeight="1" s="94">
      <c r="A835" s="57" t="n"/>
      <c r="B835" s="57" t="n"/>
      <c r="C835" s="57" t="n"/>
      <c r="D835" s="57" t="n"/>
      <c r="E835" s="57" t="n"/>
      <c r="F835" s="57" t="n"/>
      <c r="G835" s="57" t="n"/>
      <c r="H835" s="57" t="n"/>
    </row>
    <row r="836" ht="15.75" customHeight="1" s="94">
      <c r="A836" s="57" t="n"/>
      <c r="B836" s="57" t="n"/>
      <c r="C836" s="57" t="n"/>
      <c r="D836" s="57" t="n"/>
      <c r="E836" s="57" t="n"/>
      <c r="F836" s="57" t="n"/>
      <c r="G836" s="57" t="n"/>
      <c r="H836" s="57" t="n"/>
    </row>
    <row r="837" ht="15.75" customHeight="1" s="94">
      <c r="A837" s="57" t="n"/>
      <c r="B837" s="57" t="n"/>
      <c r="C837" s="57" t="n"/>
      <c r="D837" s="57" t="n"/>
      <c r="E837" s="57" t="n"/>
      <c r="F837" s="57" t="n"/>
      <c r="G837" s="57" t="n"/>
      <c r="H837" s="57" t="n"/>
    </row>
    <row r="838" ht="15.75" customHeight="1" s="94">
      <c r="A838" s="57" t="n"/>
      <c r="B838" s="57" t="n"/>
      <c r="C838" s="57" t="n"/>
      <c r="D838" s="57" t="n"/>
      <c r="E838" s="57" t="n"/>
      <c r="F838" s="57" t="n"/>
      <c r="G838" s="57" t="n"/>
      <c r="H838" s="57" t="n"/>
    </row>
    <row r="839" ht="15.75" customHeight="1" s="94">
      <c r="A839" s="57" t="n"/>
      <c r="B839" s="57" t="n"/>
      <c r="C839" s="57" t="n"/>
      <c r="D839" s="57" t="n"/>
      <c r="E839" s="57" t="n"/>
      <c r="F839" s="57" t="n"/>
      <c r="G839" s="57" t="n"/>
      <c r="H839" s="57" t="n"/>
    </row>
    <row r="840" ht="15.75" customHeight="1" s="94">
      <c r="A840" s="57" t="n"/>
      <c r="B840" s="57" t="n"/>
      <c r="C840" s="57" t="n"/>
      <c r="D840" s="57" t="n"/>
      <c r="E840" s="57" t="n"/>
      <c r="F840" s="57" t="n"/>
      <c r="G840" s="57" t="n"/>
      <c r="H840" s="57" t="n"/>
    </row>
    <row r="841" ht="15.75" customHeight="1" s="94">
      <c r="A841" s="57" t="n"/>
      <c r="B841" s="57" t="n"/>
      <c r="C841" s="57" t="n"/>
      <c r="D841" s="57" t="n"/>
      <c r="E841" s="57" t="n"/>
      <c r="F841" s="57" t="n"/>
      <c r="G841" s="57" t="n"/>
      <c r="H841" s="57" t="n"/>
    </row>
    <row r="842" ht="15.75" customHeight="1" s="94">
      <c r="A842" s="57" t="n"/>
      <c r="B842" s="57" t="n"/>
      <c r="C842" s="57" t="n"/>
      <c r="D842" s="57" t="n"/>
      <c r="E842" s="57" t="n"/>
      <c r="F842" s="57" t="n"/>
      <c r="G842" s="57" t="n"/>
      <c r="H842" s="57" t="n"/>
    </row>
    <row r="843" ht="15.75" customHeight="1" s="94">
      <c r="A843" s="57" t="n"/>
      <c r="B843" s="57" t="n"/>
      <c r="C843" s="57" t="n"/>
      <c r="D843" s="57" t="n"/>
      <c r="E843" s="57" t="n"/>
      <c r="F843" s="57" t="n"/>
      <c r="G843" s="57" t="n"/>
      <c r="H843" s="57" t="n"/>
    </row>
    <row r="844" ht="15.75" customHeight="1" s="94">
      <c r="A844" s="57" t="n"/>
      <c r="B844" s="57" t="n"/>
      <c r="C844" s="57" t="n"/>
      <c r="D844" s="57" t="n"/>
      <c r="E844" s="57" t="n"/>
      <c r="F844" s="57" t="n"/>
      <c r="G844" s="57" t="n"/>
      <c r="H844" s="57" t="n"/>
    </row>
    <row r="845" ht="15.75" customHeight="1" s="94">
      <c r="A845" s="57" t="n"/>
      <c r="B845" s="57" t="n"/>
      <c r="C845" s="57" t="n"/>
      <c r="D845" s="57" t="n"/>
      <c r="E845" s="57" t="n"/>
      <c r="F845" s="57" t="n"/>
      <c r="G845" s="57" t="n"/>
      <c r="H845" s="57" t="n"/>
    </row>
    <row r="846" ht="15.75" customHeight="1" s="94">
      <c r="A846" s="57" t="n"/>
      <c r="B846" s="57" t="n"/>
      <c r="C846" s="57" t="n"/>
      <c r="D846" s="57" t="n"/>
      <c r="E846" s="57" t="n"/>
      <c r="F846" s="57" t="n"/>
      <c r="G846" s="57" t="n"/>
      <c r="H846" s="57" t="n"/>
    </row>
    <row r="847" ht="15.75" customHeight="1" s="94">
      <c r="A847" s="57" t="n"/>
      <c r="B847" s="57" t="n"/>
      <c r="C847" s="57" t="n"/>
      <c r="D847" s="57" t="n"/>
      <c r="E847" s="57" t="n"/>
      <c r="F847" s="57" t="n"/>
      <c r="G847" s="57" t="n"/>
      <c r="H847" s="57" t="n"/>
    </row>
    <row r="848" ht="15.75" customHeight="1" s="94">
      <c r="A848" s="57" t="n"/>
      <c r="B848" s="57" t="n"/>
      <c r="C848" s="57" t="n"/>
      <c r="D848" s="57" t="n"/>
      <c r="E848" s="57" t="n"/>
      <c r="F848" s="57" t="n"/>
      <c r="G848" s="57" t="n"/>
      <c r="H848" s="57" t="n"/>
    </row>
    <row r="849" ht="15.75" customHeight="1" s="94">
      <c r="A849" s="57" t="n"/>
      <c r="B849" s="57" t="n"/>
      <c r="C849" s="57" t="n"/>
      <c r="D849" s="57" t="n"/>
      <c r="E849" s="57" t="n"/>
      <c r="F849" s="57" t="n"/>
      <c r="G849" s="57" t="n"/>
      <c r="H849" s="57" t="n"/>
    </row>
    <row r="850" ht="15.75" customHeight="1" s="94">
      <c r="A850" s="57" t="n"/>
      <c r="B850" s="57" t="n"/>
      <c r="C850" s="57" t="n"/>
      <c r="D850" s="57" t="n"/>
      <c r="E850" s="57" t="n"/>
      <c r="F850" s="57" t="n"/>
      <c r="G850" s="57" t="n"/>
      <c r="H850" s="57" t="n"/>
    </row>
    <row r="851" ht="15.75" customHeight="1" s="94">
      <c r="A851" s="57" t="n"/>
      <c r="B851" s="57" t="n"/>
      <c r="C851" s="57" t="n"/>
      <c r="D851" s="57" t="n"/>
      <c r="E851" s="57" t="n"/>
      <c r="F851" s="57" t="n"/>
      <c r="G851" s="57" t="n"/>
      <c r="H851" s="57" t="n"/>
    </row>
    <row r="852" ht="15.75" customHeight="1" s="94">
      <c r="A852" s="57" t="n"/>
      <c r="B852" s="57" t="n"/>
      <c r="C852" s="57" t="n"/>
      <c r="D852" s="57" t="n"/>
      <c r="E852" s="57" t="n"/>
      <c r="F852" s="57" t="n"/>
      <c r="G852" s="57" t="n"/>
      <c r="H852" s="57" t="n"/>
    </row>
    <row r="853" ht="15.75" customHeight="1" s="94">
      <c r="A853" s="57" t="n"/>
      <c r="B853" s="57" t="n"/>
      <c r="C853" s="57" t="n"/>
      <c r="D853" s="57" t="n"/>
      <c r="E853" s="57" t="n"/>
      <c r="F853" s="57" t="n"/>
      <c r="G853" s="57" t="n"/>
      <c r="H853" s="57" t="n"/>
    </row>
    <row r="854" ht="15.75" customHeight="1" s="94">
      <c r="A854" s="57" t="n"/>
      <c r="B854" s="57" t="n"/>
      <c r="C854" s="57" t="n"/>
      <c r="D854" s="57" t="n"/>
      <c r="E854" s="57" t="n"/>
      <c r="F854" s="57" t="n"/>
      <c r="G854" s="57" t="n"/>
      <c r="H854" s="57" t="n"/>
    </row>
    <row r="855" ht="15.75" customHeight="1" s="94">
      <c r="A855" s="57" t="n"/>
      <c r="B855" s="57" t="n"/>
      <c r="C855" s="57" t="n"/>
      <c r="D855" s="57" t="n"/>
      <c r="E855" s="57" t="n"/>
      <c r="F855" s="57" t="n"/>
      <c r="G855" s="57" t="n"/>
      <c r="H855" s="57" t="n"/>
    </row>
    <row r="856" ht="15.75" customHeight="1" s="94">
      <c r="A856" s="57" t="n"/>
      <c r="B856" s="57" t="n"/>
      <c r="C856" s="57" t="n"/>
      <c r="D856" s="57" t="n"/>
      <c r="E856" s="57" t="n"/>
      <c r="F856" s="57" t="n"/>
      <c r="G856" s="57" t="n"/>
      <c r="H856" s="57" t="n"/>
    </row>
    <row r="857" ht="15.75" customHeight="1" s="94">
      <c r="A857" s="57" t="n"/>
      <c r="B857" s="57" t="n"/>
      <c r="C857" s="57" t="n"/>
      <c r="D857" s="57" t="n"/>
      <c r="E857" s="57" t="n"/>
      <c r="F857" s="57" t="n"/>
      <c r="G857" s="57" t="n"/>
      <c r="H857" s="57" t="n"/>
    </row>
    <row r="858" ht="15.75" customHeight="1" s="94">
      <c r="A858" s="57" t="n"/>
      <c r="B858" s="57" t="n"/>
      <c r="C858" s="57" t="n"/>
      <c r="D858" s="57" t="n"/>
      <c r="E858" s="57" t="n"/>
      <c r="F858" s="57" t="n"/>
      <c r="G858" s="57" t="n"/>
      <c r="H858" s="57" t="n"/>
    </row>
    <row r="859" ht="15.75" customHeight="1" s="94">
      <c r="A859" s="57" t="n"/>
      <c r="B859" s="57" t="n"/>
      <c r="C859" s="57" t="n"/>
      <c r="D859" s="57" t="n"/>
      <c r="E859" s="57" t="n"/>
      <c r="F859" s="57" t="n"/>
      <c r="G859" s="57" t="n"/>
      <c r="H859" s="57" t="n"/>
    </row>
    <row r="860" ht="15.75" customHeight="1" s="94">
      <c r="A860" s="57" t="n"/>
      <c r="B860" s="57" t="n"/>
      <c r="C860" s="57" t="n"/>
      <c r="D860" s="57" t="n"/>
      <c r="E860" s="57" t="n"/>
      <c r="F860" s="57" t="n"/>
      <c r="G860" s="57" t="n"/>
      <c r="H860" s="57" t="n"/>
    </row>
    <row r="861" ht="15.75" customHeight="1" s="94">
      <c r="A861" s="57" t="n"/>
      <c r="B861" s="57" t="n"/>
      <c r="C861" s="57" t="n"/>
      <c r="D861" s="57" t="n"/>
      <c r="E861" s="57" t="n"/>
      <c r="F861" s="57" t="n"/>
      <c r="G861" s="57" t="n"/>
      <c r="H861" s="57" t="n"/>
    </row>
    <row r="862" ht="15.75" customHeight="1" s="94">
      <c r="A862" s="57" t="n"/>
      <c r="B862" s="57" t="n"/>
      <c r="C862" s="57" t="n"/>
      <c r="D862" s="57" t="n"/>
      <c r="E862" s="57" t="n"/>
      <c r="F862" s="57" t="n"/>
      <c r="G862" s="57" t="n"/>
      <c r="H862" s="57" t="n"/>
    </row>
    <row r="863" ht="15.75" customHeight="1" s="94">
      <c r="A863" s="57" t="n"/>
      <c r="B863" s="57" t="n"/>
      <c r="C863" s="57" t="n"/>
      <c r="D863" s="57" t="n"/>
      <c r="E863" s="57" t="n"/>
      <c r="F863" s="57" t="n"/>
      <c r="G863" s="57" t="n"/>
      <c r="H863" s="57" t="n"/>
    </row>
    <row r="864" ht="15.75" customHeight="1" s="94">
      <c r="A864" s="57" t="n"/>
      <c r="B864" s="57" t="n"/>
      <c r="C864" s="57" t="n"/>
      <c r="D864" s="57" t="n"/>
      <c r="E864" s="57" t="n"/>
      <c r="F864" s="57" t="n"/>
      <c r="G864" s="57" t="n"/>
      <c r="H864" s="57" t="n"/>
    </row>
    <row r="865" ht="15.75" customHeight="1" s="94">
      <c r="A865" s="57" t="n"/>
      <c r="B865" s="57" t="n"/>
      <c r="C865" s="57" t="n"/>
      <c r="D865" s="57" t="n"/>
      <c r="E865" s="57" t="n"/>
      <c r="F865" s="57" t="n"/>
      <c r="G865" s="57" t="n"/>
      <c r="H865" s="57" t="n"/>
    </row>
    <row r="866" ht="15.75" customHeight="1" s="94">
      <c r="A866" s="57" t="n"/>
      <c r="B866" s="57" t="n"/>
      <c r="C866" s="57" t="n"/>
      <c r="D866" s="57" t="n"/>
      <c r="E866" s="57" t="n"/>
      <c r="F866" s="57" t="n"/>
      <c r="G866" s="57" t="n"/>
      <c r="H866" s="57" t="n"/>
    </row>
    <row r="867" ht="15.75" customHeight="1" s="94">
      <c r="A867" s="57" t="n"/>
      <c r="B867" s="57" t="n"/>
      <c r="C867" s="57" t="n"/>
      <c r="D867" s="57" t="n"/>
      <c r="E867" s="57" t="n"/>
      <c r="F867" s="57" t="n"/>
      <c r="G867" s="57" t="n"/>
      <c r="H867" s="57" t="n"/>
    </row>
    <row r="868" ht="15.75" customHeight="1" s="94">
      <c r="A868" s="57" t="n"/>
      <c r="B868" s="57" t="n"/>
      <c r="C868" s="57" t="n"/>
      <c r="D868" s="57" t="n"/>
      <c r="E868" s="57" t="n"/>
      <c r="F868" s="57" t="n"/>
      <c r="G868" s="57" t="n"/>
      <c r="H868" s="57" t="n"/>
    </row>
    <row r="869" ht="15.75" customHeight="1" s="94">
      <c r="A869" s="57" t="n"/>
      <c r="B869" s="57" t="n"/>
      <c r="C869" s="57" t="n"/>
      <c r="D869" s="57" t="n"/>
      <c r="E869" s="57" t="n"/>
      <c r="F869" s="57" t="n"/>
      <c r="G869" s="57" t="n"/>
      <c r="H869" s="57" t="n"/>
    </row>
    <row r="870" ht="15.75" customHeight="1" s="94">
      <c r="A870" s="57" t="n"/>
      <c r="B870" s="57" t="n"/>
      <c r="C870" s="57" t="n"/>
      <c r="D870" s="57" t="n"/>
      <c r="E870" s="57" t="n"/>
      <c r="F870" s="57" t="n"/>
      <c r="G870" s="57" t="n"/>
      <c r="H870" s="57" t="n"/>
    </row>
    <row r="871" ht="15.75" customHeight="1" s="94">
      <c r="A871" s="57" t="n"/>
      <c r="B871" s="57" t="n"/>
      <c r="C871" s="57" t="n"/>
      <c r="D871" s="57" t="n"/>
      <c r="E871" s="57" t="n"/>
      <c r="F871" s="57" t="n"/>
      <c r="G871" s="57" t="n"/>
      <c r="H871" s="57" t="n"/>
    </row>
    <row r="872" ht="15.75" customHeight="1" s="94">
      <c r="A872" s="57" t="n"/>
      <c r="B872" s="57" t="n"/>
      <c r="C872" s="57" t="n"/>
      <c r="D872" s="57" t="n"/>
      <c r="E872" s="57" t="n"/>
      <c r="F872" s="57" t="n"/>
      <c r="G872" s="57" t="n"/>
      <c r="H872" s="57" t="n"/>
    </row>
    <row r="873" ht="15.75" customHeight="1" s="94">
      <c r="A873" s="57" t="n"/>
      <c r="B873" s="57" t="n"/>
      <c r="C873" s="57" t="n"/>
      <c r="D873" s="57" t="n"/>
      <c r="E873" s="57" t="n"/>
      <c r="F873" s="57" t="n"/>
      <c r="G873" s="57" t="n"/>
      <c r="H873" s="57" t="n"/>
    </row>
    <row r="874" ht="15.75" customHeight="1" s="94">
      <c r="A874" s="57" t="n"/>
      <c r="B874" s="57" t="n"/>
      <c r="C874" s="57" t="n"/>
      <c r="D874" s="57" t="n"/>
      <c r="E874" s="57" t="n"/>
      <c r="F874" s="57" t="n"/>
      <c r="G874" s="57" t="n"/>
      <c r="H874" s="57" t="n"/>
    </row>
    <row r="875" ht="15.75" customHeight="1" s="94">
      <c r="A875" s="57" t="n"/>
      <c r="B875" s="57" t="n"/>
      <c r="C875" s="57" t="n"/>
      <c r="D875" s="57" t="n"/>
      <c r="E875" s="57" t="n"/>
      <c r="F875" s="57" t="n"/>
      <c r="G875" s="57" t="n"/>
      <c r="H875" s="57" t="n"/>
    </row>
    <row r="876" ht="15.75" customHeight="1" s="94">
      <c r="A876" s="57" t="n"/>
      <c r="B876" s="57" t="n"/>
      <c r="C876" s="57" t="n"/>
      <c r="D876" s="57" t="n"/>
      <c r="E876" s="57" t="n"/>
      <c r="F876" s="57" t="n"/>
      <c r="G876" s="57" t="n"/>
      <c r="H876" s="57" t="n"/>
    </row>
    <row r="877" ht="15.75" customHeight="1" s="94">
      <c r="A877" s="57" t="n"/>
      <c r="B877" s="57" t="n"/>
      <c r="C877" s="57" t="n"/>
      <c r="D877" s="57" t="n"/>
      <c r="E877" s="57" t="n"/>
      <c r="F877" s="57" t="n"/>
      <c r="G877" s="57" t="n"/>
      <c r="H877" s="57" t="n"/>
    </row>
    <row r="878" ht="15.75" customHeight="1" s="94">
      <c r="A878" s="57" t="n"/>
      <c r="B878" s="57" t="n"/>
      <c r="C878" s="57" t="n"/>
      <c r="D878" s="57" t="n"/>
      <c r="E878" s="57" t="n"/>
      <c r="F878" s="57" t="n"/>
      <c r="G878" s="57" t="n"/>
      <c r="H878" s="57" t="n"/>
    </row>
    <row r="879" ht="15.75" customHeight="1" s="94">
      <c r="A879" s="57" t="n"/>
      <c r="B879" s="57" t="n"/>
      <c r="C879" s="57" t="n"/>
      <c r="D879" s="57" t="n"/>
      <c r="E879" s="57" t="n"/>
      <c r="F879" s="57" t="n"/>
      <c r="G879" s="57" t="n"/>
      <c r="H879" s="57" t="n"/>
    </row>
    <row r="880" ht="15.75" customHeight="1" s="94">
      <c r="A880" s="57" t="n"/>
      <c r="B880" s="57" t="n"/>
      <c r="C880" s="57" t="n"/>
      <c r="D880" s="57" t="n"/>
      <c r="E880" s="57" t="n"/>
      <c r="F880" s="57" t="n"/>
      <c r="G880" s="57" t="n"/>
      <c r="H880" s="57" t="n"/>
    </row>
    <row r="881" ht="15.75" customHeight="1" s="94">
      <c r="A881" s="57" t="n"/>
      <c r="B881" s="57" t="n"/>
      <c r="C881" s="57" t="n"/>
      <c r="D881" s="57" t="n"/>
      <c r="E881" s="57" t="n"/>
      <c r="F881" s="57" t="n"/>
      <c r="G881" s="57" t="n"/>
      <c r="H881" s="57" t="n"/>
    </row>
    <row r="882" ht="15.75" customHeight="1" s="94">
      <c r="A882" s="57" t="n"/>
      <c r="B882" s="57" t="n"/>
      <c r="C882" s="57" t="n"/>
      <c r="D882" s="57" t="n"/>
      <c r="E882" s="57" t="n"/>
      <c r="F882" s="57" t="n"/>
      <c r="G882" s="57" t="n"/>
      <c r="H882" s="57" t="n"/>
    </row>
    <row r="883" ht="15.75" customHeight="1" s="94">
      <c r="A883" s="57" t="n"/>
      <c r="B883" s="57" t="n"/>
      <c r="C883" s="57" t="n"/>
      <c r="D883" s="57" t="n"/>
      <c r="E883" s="57" t="n"/>
      <c r="F883" s="57" t="n"/>
      <c r="G883" s="57" t="n"/>
      <c r="H883" s="57" t="n"/>
    </row>
    <row r="884" ht="15.75" customHeight="1" s="94">
      <c r="A884" s="57" t="n"/>
      <c r="B884" s="57" t="n"/>
      <c r="C884" s="57" t="n"/>
      <c r="D884" s="57" t="n"/>
      <c r="E884" s="57" t="n"/>
      <c r="F884" s="57" t="n"/>
      <c r="G884" s="57" t="n"/>
      <c r="H884" s="57" t="n"/>
    </row>
    <row r="885" ht="15.75" customHeight="1" s="94">
      <c r="A885" s="57" t="n"/>
      <c r="B885" s="57" t="n"/>
      <c r="C885" s="57" t="n"/>
      <c r="D885" s="57" t="n"/>
      <c r="E885" s="57" t="n"/>
      <c r="F885" s="57" t="n"/>
      <c r="G885" s="57" t="n"/>
      <c r="H885" s="57" t="n"/>
    </row>
    <row r="886" ht="15.75" customHeight="1" s="94">
      <c r="A886" s="57" t="n"/>
      <c r="B886" s="57" t="n"/>
      <c r="C886" s="57" t="n"/>
      <c r="D886" s="57" t="n"/>
      <c r="E886" s="57" t="n"/>
      <c r="F886" s="57" t="n"/>
      <c r="G886" s="57" t="n"/>
      <c r="H886" s="57" t="n"/>
    </row>
    <row r="887" ht="15.75" customHeight="1" s="94">
      <c r="A887" s="57" t="n"/>
      <c r="B887" s="57" t="n"/>
      <c r="C887" s="57" t="n"/>
      <c r="D887" s="57" t="n"/>
      <c r="E887" s="57" t="n"/>
      <c r="F887" s="57" t="n"/>
      <c r="G887" s="57" t="n"/>
      <c r="H887" s="57" t="n"/>
    </row>
    <row r="888" ht="15.75" customHeight="1" s="94">
      <c r="A888" s="57" t="n"/>
      <c r="B888" s="57" t="n"/>
      <c r="C888" s="57" t="n"/>
      <c r="D888" s="57" t="n"/>
      <c r="E888" s="57" t="n"/>
      <c r="F888" s="57" t="n"/>
      <c r="G888" s="57" t="n"/>
      <c r="H888" s="57" t="n"/>
    </row>
    <row r="889" ht="15.75" customHeight="1" s="94">
      <c r="A889" s="57" t="n"/>
      <c r="B889" s="57" t="n"/>
      <c r="C889" s="57" t="n"/>
      <c r="D889" s="57" t="n"/>
      <c r="E889" s="57" t="n"/>
      <c r="F889" s="57" t="n"/>
      <c r="G889" s="57" t="n"/>
      <c r="H889" s="57" t="n"/>
    </row>
    <row r="890" ht="15.75" customHeight="1" s="94">
      <c r="A890" s="57" t="n"/>
      <c r="B890" s="57" t="n"/>
      <c r="C890" s="57" t="n"/>
      <c r="D890" s="57" t="n"/>
      <c r="E890" s="57" t="n"/>
      <c r="F890" s="57" t="n"/>
      <c r="G890" s="57" t="n"/>
      <c r="H890" s="57" t="n"/>
    </row>
    <row r="891" ht="15.75" customHeight="1" s="94">
      <c r="A891" s="57" t="n"/>
      <c r="B891" s="57" t="n"/>
      <c r="C891" s="57" t="n"/>
      <c r="D891" s="57" t="n"/>
      <c r="E891" s="57" t="n"/>
      <c r="F891" s="57" t="n"/>
      <c r="G891" s="57" t="n"/>
      <c r="H891" s="57" t="n"/>
    </row>
    <row r="892" ht="15.75" customHeight="1" s="94">
      <c r="A892" s="57" t="n"/>
      <c r="B892" s="57" t="n"/>
      <c r="C892" s="57" t="n"/>
      <c r="D892" s="57" t="n"/>
      <c r="E892" s="57" t="n"/>
      <c r="F892" s="57" t="n"/>
      <c r="G892" s="57" t="n"/>
      <c r="H892" s="57" t="n"/>
    </row>
    <row r="893" ht="15.75" customHeight="1" s="94">
      <c r="A893" s="57" t="n"/>
      <c r="B893" s="57" t="n"/>
      <c r="C893" s="57" t="n"/>
      <c r="D893" s="57" t="n"/>
      <c r="E893" s="57" t="n"/>
      <c r="F893" s="57" t="n"/>
      <c r="G893" s="57" t="n"/>
      <c r="H893" s="57" t="n"/>
    </row>
    <row r="894" ht="15.75" customHeight="1" s="94">
      <c r="A894" s="57" t="n"/>
      <c r="B894" s="57" t="n"/>
      <c r="C894" s="57" t="n"/>
      <c r="D894" s="57" t="n"/>
      <c r="E894" s="57" t="n"/>
      <c r="F894" s="57" t="n"/>
      <c r="G894" s="57" t="n"/>
      <c r="H894" s="57" t="n"/>
    </row>
    <row r="895" ht="15.75" customHeight="1" s="94">
      <c r="A895" s="57" t="n"/>
      <c r="B895" s="57" t="n"/>
      <c r="C895" s="57" t="n"/>
      <c r="D895" s="57" t="n"/>
      <c r="E895" s="57" t="n"/>
      <c r="F895" s="57" t="n"/>
      <c r="G895" s="57" t="n"/>
      <c r="H895" s="57" t="n"/>
    </row>
    <row r="896" ht="15.75" customHeight="1" s="94">
      <c r="A896" s="57" t="n"/>
      <c r="B896" s="57" t="n"/>
      <c r="C896" s="57" t="n"/>
      <c r="D896" s="57" t="n"/>
      <c r="E896" s="57" t="n"/>
      <c r="F896" s="57" t="n"/>
      <c r="G896" s="57" t="n"/>
      <c r="H896" s="57" t="n"/>
    </row>
    <row r="897" ht="15.75" customHeight="1" s="94">
      <c r="A897" s="57" t="n"/>
      <c r="B897" s="57" t="n"/>
      <c r="C897" s="57" t="n"/>
      <c r="D897" s="57" t="n"/>
      <c r="E897" s="57" t="n"/>
      <c r="F897" s="57" t="n"/>
      <c r="G897" s="57" t="n"/>
      <c r="H897" s="57" t="n"/>
    </row>
    <row r="898" ht="15.75" customHeight="1" s="94">
      <c r="A898" s="57" t="n"/>
      <c r="B898" s="57" t="n"/>
      <c r="C898" s="57" t="n"/>
      <c r="D898" s="57" t="n"/>
      <c r="E898" s="57" t="n"/>
      <c r="F898" s="57" t="n"/>
      <c r="G898" s="57" t="n"/>
      <c r="H898" s="57" t="n"/>
    </row>
    <row r="899" ht="15.75" customHeight="1" s="94">
      <c r="A899" s="57" t="n"/>
      <c r="B899" s="57" t="n"/>
      <c r="C899" s="57" t="n"/>
      <c r="D899" s="57" t="n"/>
      <c r="E899" s="57" t="n"/>
      <c r="F899" s="57" t="n"/>
      <c r="G899" s="57" t="n"/>
      <c r="H899" s="57" t="n"/>
    </row>
    <row r="900" ht="15.75" customHeight="1" s="94">
      <c r="A900" s="57" t="n"/>
      <c r="B900" s="57" t="n"/>
      <c r="C900" s="57" t="n"/>
      <c r="D900" s="57" t="n"/>
      <c r="E900" s="57" t="n"/>
      <c r="F900" s="57" t="n"/>
      <c r="G900" s="57" t="n"/>
      <c r="H900" s="57" t="n"/>
    </row>
    <row r="901" ht="15.75" customHeight="1" s="94">
      <c r="A901" s="57" t="n"/>
      <c r="B901" s="57" t="n"/>
      <c r="C901" s="57" t="n"/>
      <c r="D901" s="57" t="n"/>
      <c r="E901" s="57" t="n"/>
      <c r="F901" s="57" t="n"/>
      <c r="G901" s="57" t="n"/>
      <c r="H901" s="57" t="n"/>
    </row>
    <row r="902" ht="15.75" customHeight="1" s="94">
      <c r="A902" s="57" t="n"/>
      <c r="B902" s="57" t="n"/>
      <c r="C902" s="57" t="n"/>
      <c r="D902" s="57" t="n"/>
      <c r="E902" s="57" t="n"/>
      <c r="F902" s="57" t="n"/>
      <c r="G902" s="57" t="n"/>
      <c r="H902" s="57" t="n"/>
    </row>
    <row r="903" ht="15.75" customHeight="1" s="94">
      <c r="A903" s="57" t="n"/>
      <c r="B903" s="57" t="n"/>
      <c r="C903" s="57" t="n"/>
      <c r="D903" s="57" t="n"/>
      <c r="E903" s="57" t="n"/>
      <c r="F903" s="57" t="n"/>
      <c r="G903" s="57" t="n"/>
      <c r="H903" s="57" t="n"/>
    </row>
    <row r="904" ht="15.75" customHeight="1" s="94">
      <c r="A904" s="57" t="n"/>
      <c r="B904" s="57" t="n"/>
      <c r="C904" s="57" t="n"/>
      <c r="D904" s="57" t="n"/>
      <c r="E904" s="57" t="n"/>
      <c r="F904" s="57" t="n"/>
      <c r="G904" s="57" t="n"/>
      <c r="H904" s="57" t="n"/>
    </row>
    <row r="905" ht="15.75" customHeight="1" s="94">
      <c r="A905" s="57" t="n"/>
      <c r="B905" s="57" t="n"/>
      <c r="C905" s="57" t="n"/>
      <c r="D905" s="57" t="n"/>
      <c r="E905" s="57" t="n"/>
      <c r="F905" s="57" t="n"/>
      <c r="G905" s="57" t="n"/>
      <c r="H905" s="57" t="n"/>
    </row>
    <row r="906" ht="15.75" customHeight="1" s="94">
      <c r="A906" s="57" t="n"/>
      <c r="B906" s="57" t="n"/>
      <c r="C906" s="57" t="n"/>
      <c r="D906" s="57" t="n"/>
      <c r="E906" s="57" t="n"/>
      <c r="F906" s="57" t="n"/>
      <c r="G906" s="57" t="n"/>
      <c r="H906" s="57" t="n"/>
    </row>
    <row r="907" ht="15.75" customHeight="1" s="94">
      <c r="A907" s="57" t="n"/>
      <c r="B907" s="57" t="n"/>
      <c r="C907" s="57" t="n"/>
      <c r="D907" s="57" t="n"/>
      <c r="E907" s="57" t="n"/>
      <c r="F907" s="57" t="n"/>
      <c r="G907" s="57" t="n"/>
      <c r="H907" s="57" t="n"/>
    </row>
    <row r="908" ht="15.75" customHeight="1" s="94">
      <c r="A908" s="57" t="n"/>
      <c r="B908" s="57" t="n"/>
      <c r="C908" s="57" t="n"/>
      <c r="D908" s="57" t="n"/>
      <c r="E908" s="57" t="n"/>
      <c r="F908" s="57" t="n"/>
      <c r="G908" s="57" t="n"/>
      <c r="H908" s="57" t="n"/>
    </row>
    <row r="909" ht="15.75" customHeight="1" s="94">
      <c r="A909" s="57" t="n"/>
      <c r="B909" s="57" t="n"/>
      <c r="C909" s="57" t="n"/>
      <c r="D909" s="57" t="n"/>
      <c r="E909" s="57" t="n"/>
      <c r="F909" s="57" t="n"/>
      <c r="G909" s="57" t="n"/>
      <c r="H909" s="57" t="n"/>
    </row>
    <row r="910" ht="15.75" customHeight="1" s="94">
      <c r="A910" s="57" t="n"/>
      <c r="B910" s="57" t="n"/>
      <c r="C910" s="57" t="n"/>
      <c r="D910" s="57" t="n"/>
      <c r="E910" s="57" t="n"/>
      <c r="F910" s="57" t="n"/>
      <c r="G910" s="57" t="n"/>
      <c r="H910" s="57" t="n"/>
    </row>
    <row r="911" ht="15.75" customHeight="1" s="94">
      <c r="A911" s="57" t="n"/>
      <c r="B911" s="57" t="n"/>
      <c r="C911" s="57" t="n"/>
      <c r="D911" s="57" t="n"/>
      <c r="E911" s="57" t="n"/>
      <c r="F911" s="57" t="n"/>
      <c r="G911" s="57" t="n"/>
      <c r="H911" s="57" t="n"/>
    </row>
    <row r="912" ht="15.75" customHeight="1" s="94">
      <c r="A912" s="57" t="n"/>
      <c r="B912" s="57" t="n"/>
      <c r="C912" s="57" t="n"/>
      <c r="D912" s="57" t="n"/>
      <c r="E912" s="57" t="n"/>
      <c r="F912" s="57" t="n"/>
      <c r="G912" s="57" t="n"/>
      <c r="H912" s="57" t="n"/>
    </row>
    <row r="913" ht="15.75" customHeight="1" s="94">
      <c r="A913" s="57" t="n"/>
      <c r="B913" s="57" t="n"/>
      <c r="C913" s="57" t="n"/>
      <c r="D913" s="57" t="n"/>
      <c r="E913" s="57" t="n"/>
      <c r="F913" s="57" t="n"/>
      <c r="G913" s="57" t="n"/>
      <c r="H913" s="57" t="n"/>
    </row>
    <row r="914" ht="15.75" customHeight="1" s="94">
      <c r="A914" s="57" t="n"/>
      <c r="B914" s="57" t="n"/>
      <c r="C914" s="57" t="n"/>
      <c r="D914" s="57" t="n"/>
      <c r="E914" s="57" t="n"/>
      <c r="F914" s="57" t="n"/>
      <c r="G914" s="57" t="n"/>
      <c r="H914" s="57" t="n"/>
    </row>
    <row r="915" ht="15.75" customHeight="1" s="94">
      <c r="A915" s="57" t="n"/>
      <c r="B915" s="57" t="n"/>
      <c r="C915" s="57" t="n"/>
      <c r="D915" s="57" t="n"/>
      <c r="E915" s="57" t="n"/>
      <c r="F915" s="57" t="n"/>
      <c r="G915" s="57" t="n"/>
      <c r="H915" s="57" t="n"/>
    </row>
    <row r="916" ht="15.75" customHeight="1" s="94">
      <c r="A916" s="57" t="n"/>
      <c r="B916" s="57" t="n"/>
      <c r="C916" s="57" t="n"/>
      <c r="D916" s="57" t="n"/>
      <c r="E916" s="57" t="n"/>
      <c r="F916" s="57" t="n"/>
      <c r="G916" s="57" t="n"/>
      <c r="H916" s="57" t="n"/>
    </row>
    <row r="917" ht="15.75" customHeight="1" s="94">
      <c r="A917" s="57" t="n"/>
      <c r="B917" s="57" t="n"/>
      <c r="C917" s="57" t="n"/>
      <c r="D917" s="57" t="n"/>
      <c r="E917" s="57" t="n"/>
      <c r="F917" s="57" t="n"/>
      <c r="G917" s="57" t="n"/>
      <c r="H917" s="57" t="n"/>
    </row>
    <row r="918" ht="15.75" customHeight="1" s="94">
      <c r="A918" s="57" t="n"/>
      <c r="B918" s="57" t="n"/>
      <c r="C918" s="57" t="n"/>
      <c r="D918" s="57" t="n"/>
      <c r="E918" s="57" t="n"/>
      <c r="F918" s="57" t="n"/>
      <c r="G918" s="57" t="n"/>
      <c r="H918" s="57" t="n"/>
    </row>
    <row r="919" ht="15.75" customHeight="1" s="94">
      <c r="A919" s="57" t="n"/>
      <c r="B919" s="57" t="n"/>
      <c r="C919" s="57" t="n"/>
      <c r="D919" s="57" t="n"/>
      <c r="E919" s="57" t="n"/>
      <c r="F919" s="57" t="n"/>
      <c r="G919" s="57" t="n"/>
      <c r="H919" s="57" t="n"/>
    </row>
    <row r="920" ht="15.75" customHeight="1" s="94">
      <c r="A920" s="57" t="n"/>
      <c r="B920" s="57" t="n"/>
      <c r="C920" s="57" t="n"/>
      <c r="D920" s="57" t="n"/>
      <c r="E920" s="57" t="n"/>
      <c r="F920" s="57" t="n"/>
      <c r="G920" s="57" t="n"/>
      <c r="H920" s="57" t="n"/>
    </row>
    <row r="921" ht="15.75" customHeight="1" s="94">
      <c r="A921" s="57" t="n"/>
      <c r="B921" s="57" t="n"/>
      <c r="C921" s="57" t="n"/>
      <c r="D921" s="57" t="n"/>
      <c r="E921" s="57" t="n"/>
      <c r="F921" s="57" t="n"/>
      <c r="G921" s="57" t="n"/>
      <c r="H921" s="57" t="n"/>
    </row>
    <row r="922" ht="15.75" customHeight="1" s="94">
      <c r="A922" s="57" t="n"/>
      <c r="B922" s="57" t="n"/>
      <c r="C922" s="57" t="n"/>
      <c r="D922" s="57" t="n"/>
      <c r="E922" s="57" t="n"/>
      <c r="F922" s="57" t="n"/>
      <c r="G922" s="57" t="n"/>
      <c r="H922" s="57" t="n"/>
    </row>
    <row r="923" ht="15.75" customHeight="1" s="94">
      <c r="A923" s="57" t="n"/>
      <c r="B923" s="57" t="n"/>
      <c r="C923" s="57" t="n"/>
      <c r="D923" s="57" t="n"/>
      <c r="E923" s="57" t="n"/>
      <c r="F923" s="57" t="n"/>
      <c r="G923" s="57" t="n"/>
      <c r="H923" s="57" t="n"/>
    </row>
    <row r="924" ht="15.75" customHeight="1" s="94">
      <c r="A924" s="57" t="n"/>
      <c r="B924" s="57" t="n"/>
      <c r="C924" s="57" t="n"/>
      <c r="D924" s="57" t="n"/>
      <c r="E924" s="57" t="n"/>
      <c r="F924" s="57" t="n"/>
      <c r="G924" s="57" t="n"/>
      <c r="H924" s="57" t="n"/>
    </row>
    <row r="925" ht="15.75" customHeight="1" s="94">
      <c r="A925" s="57" t="n"/>
      <c r="B925" s="57" t="n"/>
      <c r="C925" s="57" t="n"/>
      <c r="D925" s="57" t="n"/>
      <c r="E925" s="57" t="n"/>
      <c r="F925" s="57" t="n"/>
      <c r="G925" s="57" t="n"/>
      <c r="H925" s="57" t="n"/>
    </row>
    <row r="926" ht="15.75" customHeight="1" s="94">
      <c r="A926" s="57" t="n"/>
      <c r="B926" s="57" t="n"/>
      <c r="C926" s="57" t="n"/>
      <c r="D926" s="57" t="n"/>
      <c r="E926" s="57" t="n"/>
      <c r="F926" s="57" t="n"/>
      <c r="G926" s="57" t="n"/>
      <c r="H926" s="57" t="n"/>
    </row>
    <row r="927" ht="15.75" customHeight="1" s="94">
      <c r="A927" s="57" t="n"/>
      <c r="B927" s="57" t="n"/>
      <c r="C927" s="57" t="n"/>
      <c r="D927" s="57" t="n"/>
      <c r="E927" s="57" t="n"/>
      <c r="F927" s="57" t="n"/>
      <c r="G927" s="57" t="n"/>
      <c r="H927" s="57" t="n"/>
    </row>
    <row r="928" ht="15.75" customHeight="1" s="94">
      <c r="A928" s="57" t="n"/>
      <c r="B928" s="57" t="n"/>
      <c r="C928" s="57" t="n"/>
      <c r="D928" s="57" t="n"/>
      <c r="E928" s="57" t="n"/>
      <c r="F928" s="57" t="n"/>
      <c r="G928" s="57" t="n"/>
      <c r="H928" s="57" t="n"/>
    </row>
    <row r="929" ht="15.75" customHeight="1" s="94">
      <c r="A929" s="57" t="n"/>
      <c r="B929" s="57" t="n"/>
      <c r="C929" s="57" t="n"/>
      <c r="D929" s="57" t="n"/>
      <c r="E929" s="57" t="n"/>
      <c r="F929" s="57" t="n"/>
      <c r="G929" s="57" t="n"/>
      <c r="H929" s="57" t="n"/>
    </row>
    <row r="930" ht="15.75" customHeight="1" s="94">
      <c r="A930" s="57" t="n"/>
      <c r="B930" s="57" t="n"/>
      <c r="C930" s="57" t="n"/>
      <c r="D930" s="57" t="n"/>
      <c r="E930" s="57" t="n"/>
      <c r="F930" s="57" t="n"/>
      <c r="G930" s="57" t="n"/>
      <c r="H930" s="57" t="n"/>
    </row>
    <row r="931" ht="15.75" customHeight="1" s="94">
      <c r="A931" s="57" t="n"/>
      <c r="B931" s="57" t="n"/>
      <c r="C931" s="57" t="n"/>
      <c r="D931" s="57" t="n"/>
      <c r="E931" s="57" t="n"/>
      <c r="F931" s="57" t="n"/>
      <c r="G931" s="57" t="n"/>
      <c r="H931" s="57" t="n"/>
    </row>
    <row r="932" ht="15.75" customHeight="1" s="94">
      <c r="A932" s="57" t="n"/>
      <c r="B932" s="57" t="n"/>
      <c r="C932" s="57" t="n"/>
      <c r="D932" s="57" t="n"/>
      <c r="E932" s="57" t="n"/>
      <c r="F932" s="57" t="n"/>
      <c r="G932" s="57" t="n"/>
      <c r="H932" s="57" t="n"/>
    </row>
    <row r="933" ht="15.75" customHeight="1" s="94">
      <c r="A933" s="57" t="n"/>
      <c r="B933" s="57" t="n"/>
      <c r="C933" s="57" t="n"/>
      <c r="D933" s="57" t="n"/>
      <c r="E933" s="57" t="n"/>
      <c r="F933" s="57" t="n"/>
      <c r="G933" s="57" t="n"/>
      <c r="H933" s="57" t="n"/>
    </row>
    <row r="934" ht="15.75" customHeight="1" s="94">
      <c r="A934" s="57" t="n"/>
      <c r="B934" s="57" t="n"/>
      <c r="C934" s="57" t="n"/>
      <c r="D934" s="57" t="n"/>
      <c r="E934" s="57" t="n"/>
      <c r="F934" s="57" t="n"/>
      <c r="G934" s="57" t="n"/>
      <c r="H934" s="57" t="n"/>
    </row>
    <row r="935" ht="15.75" customHeight="1" s="94">
      <c r="A935" s="57" t="n"/>
      <c r="B935" s="57" t="n"/>
      <c r="C935" s="57" t="n"/>
      <c r="D935" s="57" t="n"/>
      <c r="E935" s="57" t="n"/>
      <c r="F935" s="57" t="n"/>
      <c r="G935" s="57" t="n"/>
      <c r="H935" s="57" t="n"/>
    </row>
    <row r="936" ht="15.75" customHeight="1" s="94">
      <c r="A936" s="57" t="n"/>
      <c r="B936" s="57" t="n"/>
      <c r="C936" s="57" t="n"/>
      <c r="D936" s="57" t="n"/>
      <c r="E936" s="57" t="n"/>
      <c r="F936" s="57" t="n"/>
      <c r="G936" s="57" t="n"/>
      <c r="H936" s="57" t="n"/>
    </row>
    <row r="937" ht="15.75" customHeight="1" s="94">
      <c r="A937" s="57" t="n"/>
      <c r="B937" s="57" t="n"/>
      <c r="C937" s="57" t="n"/>
      <c r="D937" s="57" t="n"/>
      <c r="E937" s="57" t="n"/>
      <c r="F937" s="57" t="n"/>
      <c r="G937" s="57" t="n"/>
      <c r="H937" s="57" t="n"/>
    </row>
    <row r="938" ht="15.75" customHeight="1" s="94">
      <c r="A938" s="57" t="n"/>
      <c r="B938" s="57" t="n"/>
      <c r="C938" s="57" t="n"/>
      <c r="D938" s="57" t="n"/>
      <c r="E938" s="57" t="n"/>
      <c r="F938" s="57" t="n"/>
      <c r="G938" s="57" t="n"/>
      <c r="H938" s="57" t="n"/>
    </row>
    <row r="939" ht="15.75" customHeight="1" s="94">
      <c r="A939" s="57" t="n"/>
      <c r="B939" s="57" t="n"/>
      <c r="C939" s="57" t="n"/>
      <c r="D939" s="57" t="n"/>
      <c r="E939" s="57" t="n"/>
      <c r="F939" s="57" t="n"/>
      <c r="G939" s="57" t="n"/>
      <c r="H939" s="57" t="n"/>
    </row>
    <row r="940" ht="15.75" customHeight="1" s="94">
      <c r="A940" s="57" t="n"/>
      <c r="B940" s="57" t="n"/>
      <c r="C940" s="57" t="n"/>
      <c r="D940" s="57" t="n"/>
      <c r="E940" s="57" t="n"/>
      <c r="F940" s="57" t="n"/>
      <c r="G940" s="57" t="n"/>
      <c r="H940" s="57" t="n"/>
    </row>
    <row r="941" ht="15.75" customHeight="1" s="94">
      <c r="A941" s="57" t="n"/>
      <c r="B941" s="57" t="n"/>
      <c r="C941" s="57" t="n"/>
      <c r="D941" s="57" t="n"/>
      <c r="E941" s="57" t="n"/>
      <c r="F941" s="57" t="n"/>
      <c r="G941" s="57" t="n"/>
      <c r="H941" s="57" t="n"/>
    </row>
    <row r="942" ht="15.75" customHeight="1" s="94">
      <c r="A942" s="57" t="n"/>
      <c r="B942" s="57" t="n"/>
      <c r="C942" s="57" t="n"/>
      <c r="D942" s="57" t="n"/>
      <c r="E942" s="57" t="n"/>
      <c r="F942" s="57" t="n"/>
      <c r="G942" s="57" t="n"/>
      <c r="H942" s="57" t="n"/>
    </row>
    <row r="943" ht="15.75" customHeight="1" s="94">
      <c r="A943" s="57" t="n"/>
      <c r="B943" s="57" t="n"/>
      <c r="C943" s="57" t="n"/>
      <c r="D943" s="57" t="n"/>
      <c r="E943" s="57" t="n"/>
      <c r="F943" s="57" t="n"/>
      <c r="G943" s="57" t="n"/>
      <c r="H943" s="57" t="n"/>
    </row>
    <row r="944" ht="15.75" customHeight="1" s="94">
      <c r="A944" s="57" t="n"/>
      <c r="B944" s="57" t="n"/>
      <c r="C944" s="57" t="n"/>
      <c r="D944" s="57" t="n"/>
      <c r="E944" s="57" t="n"/>
      <c r="F944" s="57" t="n"/>
      <c r="G944" s="57" t="n"/>
      <c r="H944" s="57" t="n"/>
    </row>
    <row r="945" ht="15.75" customHeight="1" s="94">
      <c r="A945" s="57" t="n"/>
      <c r="B945" s="57" t="n"/>
      <c r="C945" s="57" t="n"/>
      <c r="D945" s="57" t="n"/>
      <c r="E945" s="57" t="n"/>
      <c r="F945" s="57" t="n"/>
      <c r="G945" s="57" t="n"/>
      <c r="H945" s="57" t="n"/>
    </row>
    <row r="946" ht="15.75" customHeight="1" s="94">
      <c r="A946" s="57" t="n"/>
      <c r="B946" s="57" t="n"/>
      <c r="C946" s="57" t="n"/>
      <c r="D946" s="57" t="n"/>
      <c r="E946" s="57" t="n"/>
      <c r="F946" s="57" t="n"/>
      <c r="G946" s="57" t="n"/>
      <c r="H946" s="57" t="n"/>
    </row>
    <row r="947" ht="15.75" customHeight="1" s="94">
      <c r="A947" s="57" t="n"/>
      <c r="B947" s="57" t="n"/>
      <c r="C947" s="57" t="n"/>
      <c r="D947" s="57" t="n"/>
      <c r="E947" s="57" t="n"/>
      <c r="F947" s="57" t="n"/>
      <c r="G947" s="57" t="n"/>
      <c r="H947" s="57" t="n"/>
    </row>
    <row r="948" ht="15.75" customHeight="1" s="94">
      <c r="A948" s="57" t="n"/>
      <c r="B948" s="57" t="n"/>
      <c r="C948" s="57" t="n"/>
      <c r="D948" s="57" t="n"/>
      <c r="E948" s="57" t="n"/>
      <c r="F948" s="57" t="n"/>
      <c r="G948" s="57" t="n"/>
      <c r="H948" s="57" t="n"/>
    </row>
    <row r="949" ht="15.75" customHeight="1" s="94">
      <c r="A949" s="57" t="n"/>
      <c r="B949" s="57" t="n"/>
      <c r="C949" s="57" t="n"/>
      <c r="D949" s="57" t="n"/>
      <c r="E949" s="57" t="n"/>
      <c r="F949" s="57" t="n"/>
      <c r="G949" s="57" t="n"/>
      <c r="H949" s="57" t="n"/>
    </row>
    <row r="950" ht="15.75" customHeight="1" s="94">
      <c r="A950" s="57" t="n"/>
      <c r="B950" s="57" t="n"/>
      <c r="C950" s="57" t="n"/>
      <c r="D950" s="57" t="n"/>
      <c r="E950" s="57" t="n"/>
      <c r="F950" s="57" t="n"/>
      <c r="G950" s="57" t="n"/>
      <c r="H950" s="57" t="n"/>
    </row>
    <row r="951" ht="15.75" customHeight="1" s="94">
      <c r="A951" s="57" t="n"/>
      <c r="B951" s="57" t="n"/>
      <c r="C951" s="57" t="n"/>
      <c r="D951" s="57" t="n"/>
      <c r="E951" s="57" t="n"/>
      <c r="F951" s="57" t="n"/>
      <c r="G951" s="57" t="n"/>
      <c r="H951" s="57" t="n"/>
    </row>
    <row r="952" ht="15.75" customHeight="1" s="94">
      <c r="A952" s="57" t="n"/>
      <c r="B952" s="57" t="n"/>
      <c r="C952" s="57" t="n"/>
      <c r="D952" s="57" t="n"/>
      <c r="E952" s="57" t="n"/>
      <c r="F952" s="57" t="n"/>
      <c r="G952" s="57" t="n"/>
      <c r="H952" s="57" t="n"/>
    </row>
    <row r="953" ht="15.75" customHeight="1" s="94">
      <c r="A953" s="57" t="n"/>
      <c r="B953" s="57" t="n"/>
      <c r="C953" s="57" t="n"/>
      <c r="D953" s="57" t="n"/>
      <c r="E953" s="57" t="n"/>
      <c r="F953" s="57" t="n"/>
      <c r="G953" s="57" t="n"/>
      <c r="H953" s="57" t="n"/>
    </row>
    <row r="954" ht="15.75" customHeight="1" s="94">
      <c r="A954" s="57" t="n"/>
      <c r="B954" s="57" t="n"/>
      <c r="C954" s="57" t="n"/>
      <c r="D954" s="57" t="n"/>
      <c r="E954" s="57" t="n"/>
      <c r="F954" s="57" t="n"/>
      <c r="G954" s="57" t="n"/>
      <c r="H954" s="57" t="n"/>
    </row>
    <row r="955" ht="15.75" customHeight="1" s="94">
      <c r="A955" s="57" t="n"/>
      <c r="B955" s="57" t="n"/>
      <c r="C955" s="57" t="n"/>
      <c r="D955" s="57" t="n"/>
      <c r="E955" s="57" t="n"/>
      <c r="F955" s="57" t="n"/>
      <c r="G955" s="57" t="n"/>
      <c r="H955" s="57" t="n"/>
    </row>
    <row r="956" ht="15.75" customHeight="1" s="94">
      <c r="A956" s="57" t="n"/>
      <c r="B956" s="57" t="n"/>
      <c r="C956" s="57" t="n"/>
      <c r="D956" s="57" t="n"/>
      <c r="E956" s="57" t="n"/>
      <c r="F956" s="57" t="n"/>
      <c r="G956" s="57" t="n"/>
      <c r="H956" s="57" t="n"/>
    </row>
    <row r="957" ht="15.75" customHeight="1" s="94">
      <c r="A957" s="57" t="n"/>
      <c r="B957" s="57" t="n"/>
      <c r="C957" s="57" t="n"/>
      <c r="D957" s="57" t="n"/>
      <c r="E957" s="57" t="n"/>
      <c r="F957" s="57" t="n"/>
      <c r="G957" s="57" t="n"/>
      <c r="H957" s="57" t="n"/>
    </row>
    <row r="958" ht="15.75" customHeight="1" s="94">
      <c r="A958" s="57" t="n"/>
      <c r="B958" s="57" t="n"/>
      <c r="C958" s="57" t="n"/>
      <c r="D958" s="57" t="n"/>
      <c r="E958" s="57" t="n"/>
      <c r="F958" s="57" t="n"/>
      <c r="G958" s="57" t="n"/>
      <c r="H958" s="57" t="n"/>
    </row>
    <row r="959" ht="15.75" customHeight="1" s="94">
      <c r="A959" s="57" t="n"/>
      <c r="B959" s="57" t="n"/>
      <c r="C959" s="57" t="n"/>
      <c r="D959" s="57" t="n"/>
      <c r="E959" s="57" t="n"/>
      <c r="F959" s="57" t="n"/>
      <c r="G959" s="57" t="n"/>
      <c r="H959" s="57" t="n"/>
    </row>
    <row r="960" ht="15.75" customHeight="1" s="94">
      <c r="A960" s="57" t="n"/>
      <c r="B960" s="57" t="n"/>
      <c r="C960" s="57" t="n"/>
      <c r="D960" s="57" t="n"/>
      <c r="E960" s="57" t="n"/>
      <c r="F960" s="57" t="n"/>
      <c r="G960" s="57" t="n"/>
      <c r="H960" s="57" t="n"/>
    </row>
    <row r="961" ht="15.75" customHeight="1" s="94">
      <c r="A961" s="57" t="n"/>
      <c r="B961" s="57" t="n"/>
      <c r="C961" s="57" t="n"/>
      <c r="D961" s="57" t="n"/>
      <c r="E961" s="57" t="n"/>
      <c r="F961" s="57" t="n"/>
      <c r="G961" s="57" t="n"/>
      <c r="H961" s="57" t="n"/>
    </row>
    <row r="962" ht="15.75" customHeight="1" s="94">
      <c r="A962" s="57" t="n"/>
      <c r="B962" s="57" t="n"/>
      <c r="C962" s="57" t="n"/>
      <c r="D962" s="57" t="n"/>
      <c r="E962" s="57" t="n"/>
      <c r="F962" s="57" t="n"/>
      <c r="G962" s="57" t="n"/>
      <c r="H962" s="57" t="n"/>
    </row>
    <row r="963" ht="15.75" customHeight="1" s="94">
      <c r="A963" s="57" t="n"/>
      <c r="B963" s="57" t="n"/>
      <c r="C963" s="57" t="n"/>
      <c r="D963" s="57" t="n"/>
      <c r="E963" s="57" t="n"/>
      <c r="F963" s="57" t="n"/>
      <c r="G963" s="57" t="n"/>
      <c r="H963" s="57" t="n"/>
    </row>
    <row r="964" ht="15.75" customHeight="1" s="94">
      <c r="A964" s="57" t="n"/>
      <c r="B964" s="57" t="n"/>
      <c r="C964" s="57" t="n"/>
      <c r="D964" s="57" t="n"/>
      <c r="E964" s="57" t="n"/>
      <c r="F964" s="57" t="n"/>
      <c r="G964" s="57" t="n"/>
      <c r="H964" s="57" t="n"/>
    </row>
    <row r="965" ht="15.75" customHeight="1" s="94">
      <c r="A965" s="57" t="n"/>
      <c r="B965" s="57" t="n"/>
      <c r="C965" s="57" t="n"/>
      <c r="D965" s="57" t="n"/>
      <c r="E965" s="57" t="n"/>
      <c r="F965" s="57" t="n"/>
      <c r="G965" s="57" t="n"/>
      <c r="H965" s="57" t="n"/>
    </row>
    <row r="966" ht="15.75" customHeight="1" s="94">
      <c r="A966" s="57" t="n"/>
      <c r="B966" s="57" t="n"/>
      <c r="C966" s="57" t="n"/>
      <c r="D966" s="57" t="n"/>
      <c r="E966" s="57" t="n"/>
      <c r="F966" s="57" t="n"/>
      <c r="G966" s="57" t="n"/>
      <c r="H966" s="57" t="n"/>
    </row>
    <row r="967" ht="15.75" customHeight="1" s="94">
      <c r="A967" s="57" t="n"/>
      <c r="B967" s="57" t="n"/>
      <c r="C967" s="57" t="n"/>
      <c r="D967" s="57" t="n"/>
      <c r="E967" s="57" t="n"/>
      <c r="F967" s="57" t="n"/>
      <c r="G967" s="57" t="n"/>
      <c r="H967" s="57" t="n"/>
    </row>
    <row r="968" ht="15.75" customHeight="1" s="94">
      <c r="A968" s="57" t="n"/>
      <c r="B968" s="57" t="n"/>
      <c r="C968" s="57" t="n"/>
      <c r="D968" s="57" t="n"/>
      <c r="E968" s="57" t="n"/>
      <c r="F968" s="57" t="n"/>
      <c r="G968" s="57" t="n"/>
      <c r="H968" s="57" t="n"/>
    </row>
    <row r="969" ht="15.75" customHeight="1" s="94">
      <c r="A969" s="57" t="n"/>
      <c r="B969" s="57" t="n"/>
      <c r="C969" s="57" t="n"/>
      <c r="D969" s="57" t="n"/>
      <c r="E969" s="57" t="n"/>
      <c r="F969" s="57" t="n"/>
      <c r="G969" s="57" t="n"/>
      <c r="H969" s="57" t="n"/>
    </row>
    <row r="970" ht="15.75" customHeight="1" s="94">
      <c r="A970" s="57" t="n"/>
      <c r="B970" s="57" t="n"/>
      <c r="C970" s="57" t="n"/>
      <c r="D970" s="57" t="n"/>
      <c r="E970" s="57" t="n"/>
      <c r="F970" s="57" t="n"/>
      <c r="G970" s="57" t="n"/>
      <c r="H970" s="57" t="n"/>
    </row>
    <row r="971" ht="15.75" customHeight="1" s="94">
      <c r="A971" s="57" t="n"/>
      <c r="B971" s="57" t="n"/>
      <c r="C971" s="57" t="n"/>
      <c r="D971" s="57" t="n"/>
      <c r="E971" s="57" t="n"/>
      <c r="F971" s="57" t="n"/>
      <c r="G971" s="57" t="n"/>
      <c r="H971" s="57" t="n"/>
    </row>
    <row r="972" ht="15.75" customHeight="1" s="94">
      <c r="A972" s="57" t="n"/>
      <c r="B972" s="57" t="n"/>
      <c r="C972" s="57" t="n"/>
      <c r="D972" s="57" t="n"/>
      <c r="E972" s="57" t="n"/>
      <c r="F972" s="57" t="n"/>
      <c r="G972" s="57" t="n"/>
      <c r="H972" s="57" t="n"/>
    </row>
    <row r="973" ht="15.75" customHeight="1" s="94">
      <c r="A973" s="57" t="n"/>
      <c r="B973" s="57" t="n"/>
      <c r="C973" s="57" t="n"/>
      <c r="D973" s="57" t="n"/>
      <c r="E973" s="57" t="n"/>
      <c r="F973" s="57" t="n"/>
      <c r="G973" s="57" t="n"/>
      <c r="H973" s="57" t="n"/>
    </row>
    <row r="974" ht="15.75" customHeight="1" s="94">
      <c r="A974" s="57" t="n"/>
      <c r="B974" s="57" t="n"/>
      <c r="C974" s="57" t="n"/>
      <c r="D974" s="57" t="n"/>
      <c r="E974" s="57" t="n"/>
      <c r="F974" s="57" t="n"/>
      <c r="G974" s="57" t="n"/>
      <c r="H974" s="57" t="n"/>
    </row>
    <row r="975" ht="15.75" customHeight="1" s="94">
      <c r="A975" s="57" t="n"/>
      <c r="B975" s="57" t="n"/>
      <c r="C975" s="57" t="n"/>
      <c r="D975" s="57" t="n"/>
      <c r="E975" s="57" t="n"/>
      <c r="F975" s="57" t="n"/>
      <c r="G975" s="57" t="n"/>
      <c r="H975" s="57" t="n"/>
    </row>
    <row r="976" ht="15.75" customHeight="1" s="94">
      <c r="A976" s="57" t="n"/>
      <c r="B976" s="57" t="n"/>
      <c r="C976" s="57" t="n"/>
      <c r="D976" s="57" t="n"/>
      <c r="E976" s="57" t="n"/>
      <c r="F976" s="57" t="n"/>
      <c r="G976" s="57" t="n"/>
      <c r="H976" s="57" t="n"/>
    </row>
    <row r="977" ht="15.75" customHeight="1" s="94">
      <c r="A977" s="57" t="n"/>
      <c r="B977" s="57" t="n"/>
      <c r="C977" s="57" t="n"/>
      <c r="D977" s="57" t="n"/>
      <c r="E977" s="57" t="n"/>
      <c r="F977" s="57" t="n"/>
      <c r="G977" s="57" t="n"/>
      <c r="H977" s="57" t="n"/>
    </row>
    <row r="978" ht="15.75" customHeight="1" s="94">
      <c r="A978" s="57" t="n"/>
      <c r="B978" s="57" t="n"/>
      <c r="C978" s="57" t="n"/>
      <c r="D978" s="57" t="n"/>
      <c r="E978" s="57" t="n"/>
      <c r="F978" s="57" t="n"/>
      <c r="G978" s="57" t="n"/>
      <c r="H978" s="57" t="n"/>
    </row>
    <row r="979" ht="15.75" customHeight="1" s="94">
      <c r="A979" s="57" t="n"/>
      <c r="B979" s="57" t="n"/>
      <c r="C979" s="57" t="n"/>
      <c r="D979" s="57" t="n"/>
      <c r="E979" s="57" t="n"/>
      <c r="F979" s="57" t="n"/>
      <c r="G979" s="57" t="n"/>
      <c r="H979" s="57" t="n"/>
    </row>
    <row r="980" ht="15.75" customHeight="1" s="94">
      <c r="A980" s="57" t="n"/>
      <c r="B980" s="57" t="n"/>
      <c r="C980" s="57" t="n"/>
      <c r="D980" s="57" t="n"/>
      <c r="E980" s="57" t="n"/>
      <c r="F980" s="57" t="n"/>
      <c r="G980" s="57" t="n"/>
      <c r="H980" s="57" t="n"/>
    </row>
    <row r="981" ht="15.75" customHeight="1" s="94">
      <c r="A981" s="57" t="n"/>
      <c r="B981" s="57" t="n"/>
      <c r="C981" s="57" t="n"/>
      <c r="D981" s="57" t="n"/>
      <c r="E981" s="57" t="n"/>
      <c r="F981" s="57" t="n"/>
      <c r="G981" s="57" t="n"/>
      <c r="H981" s="57" t="n"/>
    </row>
    <row r="982" ht="15.75" customHeight="1" s="94">
      <c r="A982" s="57" t="n"/>
      <c r="B982" s="57" t="n"/>
      <c r="C982" s="57" t="n"/>
      <c r="D982" s="57" t="n"/>
      <c r="E982" s="57" t="n"/>
      <c r="F982" s="57" t="n"/>
      <c r="G982" s="57" t="n"/>
      <c r="H982" s="57" t="n"/>
    </row>
    <row r="983" ht="15.75" customHeight="1" s="94">
      <c r="A983" s="57" t="n"/>
      <c r="B983" s="57" t="n"/>
      <c r="C983" s="57" t="n"/>
      <c r="D983" s="57" t="n"/>
      <c r="E983" s="57" t="n"/>
      <c r="F983" s="57" t="n"/>
      <c r="G983" s="57" t="n"/>
      <c r="H983" s="57" t="n"/>
    </row>
    <row r="984" ht="15.75" customHeight="1" s="94">
      <c r="A984" s="57" t="n"/>
      <c r="B984" s="57" t="n"/>
      <c r="C984" s="57" t="n"/>
      <c r="D984" s="57" t="n"/>
      <c r="E984" s="57" t="n"/>
      <c r="F984" s="57" t="n"/>
      <c r="G984" s="57" t="n"/>
      <c r="H984" s="57" t="n"/>
    </row>
    <row r="985" ht="15.75" customHeight="1" s="94">
      <c r="A985" s="57" t="n"/>
      <c r="B985" s="57" t="n"/>
      <c r="C985" s="57" t="n"/>
      <c r="D985" s="57" t="n"/>
      <c r="E985" s="57" t="n"/>
      <c r="F985" s="57" t="n"/>
      <c r="G985" s="57" t="n"/>
      <c r="H985" s="57" t="n"/>
    </row>
    <row r="986" ht="15.75" customHeight="1" s="94">
      <c r="A986" s="57" t="n"/>
      <c r="B986" s="57" t="n"/>
      <c r="C986" s="57" t="n"/>
      <c r="D986" s="57" t="n"/>
      <c r="E986" s="57" t="n"/>
      <c r="F986" s="57" t="n"/>
      <c r="G986" s="57" t="n"/>
      <c r="H986" s="57" t="n"/>
    </row>
    <row r="987" ht="15.75" customHeight="1" s="94">
      <c r="A987" s="57" t="n"/>
      <c r="B987" s="57" t="n"/>
      <c r="C987" s="57" t="n"/>
      <c r="D987" s="57" t="n"/>
      <c r="E987" s="57" t="n"/>
      <c r="F987" s="57" t="n"/>
      <c r="G987" s="57" t="n"/>
      <c r="H987" s="57" t="n"/>
    </row>
    <row r="988" ht="15.75" customHeight="1" s="94">
      <c r="A988" s="57" t="n"/>
      <c r="B988" s="57" t="n"/>
      <c r="C988" s="57" t="n"/>
      <c r="D988" s="57" t="n"/>
      <c r="E988" s="57" t="n"/>
      <c r="F988" s="57" t="n"/>
      <c r="G988" s="57" t="n"/>
      <c r="H988" s="57" t="n"/>
    </row>
    <row r="989" ht="15.75" customHeight="1" s="94">
      <c r="A989" s="57" t="n"/>
      <c r="B989" s="57" t="n"/>
      <c r="C989" s="57" t="n"/>
      <c r="D989" s="57" t="n"/>
      <c r="E989" s="57" t="n"/>
      <c r="F989" s="57" t="n"/>
      <c r="G989" s="57" t="n"/>
      <c r="H989" s="57" t="n"/>
    </row>
    <row r="990" ht="15.75" customHeight="1" s="94">
      <c r="A990" s="57" t="n"/>
      <c r="B990" s="57" t="n"/>
      <c r="C990" s="57" t="n"/>
      <c r="D990" s="57" t="n"/>
      <c r="E990" s="57" t="n"/>
      <c r="F990" s="57" t="n"/>
      <c r="G990" s="57" t="n"/>
      <c r="H990" s="57" t="n"/>
    </row>
    <row r="991" ht="15.75" customHeight="1" s="94">
      <c r="A991" s="57" t="n"/>
      <c r="B991" s="57" t="n"/>
      <c r="C991" s="57" t="n"/>
      <c r="D991" s="57" t="n"/>
      <c r="E991" s="57" t="n"/>
      <c r="F991" s="57" t="n"/>
      <c r="G991" s="57" t="n"/>
      <c r="H991" s="57" t="n"/>
    </row>
    <row r="992" ht="15.75" customHeight="1" s="94">
      <c r="A992" s="57" t="n"/>
      <c r="B992" s="57" t="n"/>
      <c r="C992" s="57" t="n"/>
      <c r="D992" s="57" t="n"/>
      <c r="E992" s="57" t="n"/>
      <c r="F992" s="57" t="n"/>
      <c r="G992" s="57" t="n"/>
      <c r="H992" s="57" t="n"/>
    </row>
    <row r="993" ht="15.75" customHeight="1" s="94">
      <c r="A993" s="57" t="n"/>
      <c r="B993" s="57" t="n"/>
      <c r="C993" s="57" t="n"/>
      <c r="D993" s="57" t="n"/>
      <c r="E993" s="57" t="n"/>
      <c r="F993" s="57" t="n"/>
      <c r="G993" s="57" t="n"/>
      <c r="H993" s="57" t="n"/>
    </row>
    <row r="994" ht="15.75" customHeight="1" s="94">
      <c r="A994" s="57" t="n"/>
      <c r="B994" s="57" t="n"/>
      <c r="C994" s="57" t="n"/>
      <c r="D994" s="57" t="n"/>
      <c r="E994" s="57" t="n"/>
      <c r="F994" s="57" t="n"/>
      <c r="G994" s="57" t="n"/>
      <c r="H994" s="57" t="n"/>
    </row>
    <row r="995" ht="15.75" customHeight="1" s="94">
      <c r="A995" s="57" t="n"/>
      <c r="B995" s="57" t="n"/>
      <c r="C995" s="57" t="n"/>
      <c r="D995" s="57" t="n"/>
      <c r="E995" s="57" t="n"/>
      <c r="F995" s="57" t="n"/>
      <c r="G995" s="57" t="n"/>
      <c r="H995" s="57" t="n"/>
    </row>
    <row r="996" ht="15.75" customHeight="1" s="94">
      <c r="A996" s="57" t="n"/>
      <c r="B996" s="57" t="n"/>
      <c r="C996" s="57" t="n"/>
      <c r="D996" s="57" t="n"/>
      <c r="E996" s="57" t="n"/>
      <c r="F996" s="57" t="n"/>
      <c r="G996" s="57" t="n"/>
      <c r="H996" s="57" t="n"/>
    </row>
    <row r="997" ht="15.75" customHeight="1" s="94">
      <c r="A997" s="57" t="n"/>
      <c r="B997" s="57" t="n"/>
      <c r="C997" s="57" t="n"/>
      <c r="D997" s="57" t="n"/>
      <c r="E997" s="57" t="n"/>
      <c r="F997" s="57" t="n"/>
      <c r="G997" s="57" t="n"/>
      <c r="H997" s="57" t="n"/>
    </row>
    <row r="998" ht="15.75" customHeight="1" s="94">
      <c r="A998" s="57" t="n"/>
      <c r="B998" s="57" t="n"/>
      <c r="C998" s="57" t="n"/>
      <c r="D998" s="57" t="n"/>
      <c r="E998" s="57" t="n"/>
      <c r="F998" s="57" t="n"/>
      <c r="G998" s="57" t="n"/>
      <c r="H998" s="57" t="n"/>
    </row>
    <row r="999" ht="15.75" customHeight="1" s="94">
      <c r="A999" s="57" t="n"/>
      <c r="B999" s="57" t="n"/>
      <c r="C999" s="57" t="n"/>
      <c r="D999" s="57" t="n"/>
      <c r="E999" s="57" t="n"/>
      <c r="F999" s="57" t="n"/>
      <c r="G999" s="57" t="n"/>
      <c r="H999" s="57" t="n"/>
    </row>
    <row r="1000" ht="15.75" customHeight="1" s="94">
      <c r="A1000" s="57" t="n"/>
      <c r="B1000" s="57" t="n"/>
      <c r="C1000" s="57" t="n"/>
      <c r="D1000" s="57" t="n"/>
      <c r="E1000" s="57" t="n"/>
      <c r="F1000" s="57" t="n"/>
      <c r="G1000" s="57" t="n"/>
      <c r="H1000" s="57" t="n"/>
    </row>
  </sheetData>
  <autoFilter ref="$A$4:$H$48"/>
  <mergeCells count="2">
    <mergeCell ref="A2:H2"/>
    <mergeCell ref="A1:H1"/>
  </mergeCells>
  <dataValidations count="1">
    <dataValidation sqref="H5:H48" showDropDown="0" showInputMessage="0" showErrorMessage="0" allowBlank="1" type="list">
      <formula1>"Chưa kiểm thử,Đạt,Không đạt,Cần xác minh"</formula1>
    </dataValidation>
  </dataValidations>
  <printOptions horizontalCentered="1"/>
  <pageMargins left="0.25" right="0.25" top="1" bottom="1" header="0" footer="0"/>
  <pageSetup orientation="landscape"/>
</worksheet>
</file>

<file path=xl/worksheets/sheet18.xml><?xml version="1.0" encoding="utf-8"?>
<worksheet xmlns="http://schemas.openxmlformats.org/spreadsheetml/2006/main">
  <sheetPr>
    <outlinePr summaryBelow="1" summaryRight="1"/>
    <pageSetUpPr fitToPage="1"/>
  </sheetPr>
  <dimension ref="A1:H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12" customWidth="1" style="94" min="1" max="1"/>
    <col width="68" customWidth="1" style="94" min="2" max="2"/>
    <col width="104" customWidth="1" style="94" min="3" max="3"/>
    <col width="36" customWidth="1" style="94" min="4" max="4"/>
    <col width="12" customWidth="1" style="94" min="5" max="5"/>
    <col width="29" customWidth="1" style="94" min="6" max="6"/>
    <col width="23" customWidth="1" style="94" min="7" max="7"/>
    <col width="63" customWidth="1" style="94" min="8" max="8"/>
    <col width="8.710000000000001" customWidth="1" style="94" min="9" max="26"/>
  </cols>
  <sheetData>
    <row r="1" ht="33.75" customHeight="1" s="94">
      <c r="A1" s="86" t="inlineStr">
        <is>
          <t>V4 | ĐIỂM CẦN KIỂM TRA</t>
        </is>
      </c>
    </row>
    <row r="2" ht="27.75" customHeight="1" s="94">
      <c r="A2" s="87" t="inlineStr">
        <is>
          <t>Không phải câu hỏi mới cần điền ngay. Đây là các mâu thuẫn/giới hạn chưa đủ căn cứ trong 117 lựa chọn; cần xử lý trong thiết kế/UAT.</t>
        </is>
      </c>
    </row>
    <row r="3">
      <c r="A3" s="57" t="n"/>
      <c r="B3" s="57" t="n"/>
      <c r="C3" s="57" t="n"/>
      <c r="D3" s="57" t="n"/>
      <c r="E3" s="57" t="n"/>
      <c r="F3" s="57" t="n"/>
      <c r="G3" s="57" t="n"/>
      <c r="H3" s="57" t="n"/>
    </row>
    <row r="4" ht="33" customHeight="1" s="94">
      <c r="A4" s="88" t="inlineStr">
        <is>
          <t>Mã</t>
        </is>
      </c>
      <c r="B4" s="88" t="inlineStr">
        <is>
          <t>Vấn đề cần xử lý</t>
        </is>
      </c>
      <c r="C4" s="88" t="inlineStr">
        <is>
          <t>Đề xuất hoặc giới hạn thông tin đã có</t>
        </is>
      </c>
      <c r="D4" s="88" t="inlineStr">
        <is>
          <t>Đơn vị xác nhận</t>
        </is>
      </c>
      <c r="E4" s="88" t="inlineStr">
        <is>
          <t>Ưu tiên</t>
        </is>
      </c>
      <c r="F4" s="88" t="inlineStr">
        <is>
          <t>Trạng thái hiện tại</t>
        </is>
      </c>
      <c r="G4" s="88" t="inlineStr">
        <is>
          <t>Mã câu V3</t>
        </is>
      </c>
      <c r="H4" s="88" t="inlineStr">
        <is>
          <t>Kết luận duyệt V4 (điền)</t>
        </is>
      </c>
    </row>
    <row r="5" ht="51" customHeight="1" s="94">
      <c r="A5" s="89" t="inlineStr">
        <is>
          <t>RV01</t>
        </is>
      </c>
      <c r="B5" s="90" t="inlineStr">
        <is>
          <t>Giờ cắm/rút chính xác tới giây hay phút? Một phiên 4h00m01s có làm tròn lên 4h15 không?</t>
        </is>
      </c>
      <c r="C5" s="90" t="inlineStr">
        <is>
          <t>ĐỀ XUẤT: form nhận phút, backend dùng timestamp thật, làm tròn theo phần lẻ; chưa có xác nhận về cách xử lý giây.</t>
        </is>
      </c>
      <c r="D5" s="90" t="inlineStr">
        <is>
          <t>Trưởng BP CCKB</t>
        </is>
      </c>
      <c r="E5" s="90" t="inlineStr">
        <is>
          <t>P1</t>
        </is>
      </c>
      <c r="F5" s="90" t="inlineStr">
        <is>
          <t>Chưa chốt kỹ thuật biên</t>
        </is>
      </c>
      <c r="G5" s="90" t="inlineStr">
        <is>
          <t>E09</t>
        </is>
      </c>
      <c r="H5" s="93" t="n"/>
    </row>
    <row r="6" ht="51" customHeight="1" s="94">
      <c r="A6" s="91" t="inlineStr">
        <is>
          <t>RV02</t>
        </is>
      </c>
      <c r="B6" s="92" t="inlineStr">
        <is>
          <t>Phiên điện 0 phút hoặc dưới 1 phút tính tối thiểu bao nhiêu?</t>
        </is>
      </c>
      <c r="C6" s="92" t="inlineStr">
        <is>
          <t>ĐỀ XUẤT: thời lượng &gt;0 tính tối thiểu 15 phút; bằng 0 là dữ liệu chưa hợp lệ, yêu cầu giải trình.</t>
        </is>
      </c>
      <c r="D6" s="92" t="inlineStr">
        <is>
          <t>Trưởng BP CCKB</t>
        </is>
      </c>
      <c r="E6" s="92" t="inlineStr">
        <is>
          <t>P1</t>
        </is>
      </c>
      <c r="F6" s="92" t="inlineStr">
        <is>
          <t>Chưa chốt kỹ thuật biên</t>
        </is>
      </c>
      <c r="G6" s="92" t="inlineStr">
        <is>
          <t>E10</t>
        </is>
      </c>
      <c r="H6" s="93" t="n"/>
    </row>
    <row r="7" ht="51" customHeight="1" s="94">
      <c r="A7" s="89" t="inlineStr">
        <is>
          <t>RV03</t>
        </is>
      </c>
      <c r="B7" s="90" t="inlineStr">
        <is>
          <t>Giá điện thay đổi giữa phiên, lấy giá lúc bắt đầu hay lúc rút?</t>
        </is>
      </c>
      <c r="C7" s="90" t="inlineStr">
        <is>
          <t>E13 chọn B nhưng ghi chú tùy A/B. Chưa định luật giá mặc định; cần ngày hiệu lực rõ, lịch sử giá.</t>
        </is>
      </c>
      <c r="D7" s="90" t="inlineStr">
        <is>
          <t>Quản trị / CCKB</t>
        </is>
      </c>
      <c r="E7" s="90" t="inlineStr">
        <is>
          <t>P0</t>
        </is>
      </c>
      <c r="F7" s="90" t="inlineStr">
        <is>
          <t>Cần duyệt rõ</t>
        </is>
      </c>
      <c r="G7" s="90" t="inlineStr">
        <is>
          <t>E13</t>
        </is>
      </c>
      <c r="H7" s="93" t="n"/>
    </row>
    <row r="8" ht="51" customHeight="1" s="94">
      <c r="A8" s="91" t="inlineStr">
        <is>
          <t>RV04</t>
        </is>
      </c>
      <c r="B8" s="92" t="inlineStr">
        <is>
          <t>Đơn giá phí lưu thay đổi khi cont còn trong bãi, tính theo giờ vào hay từng kỳ đêm?</t>
        </is>
      </c>
      <c r="C8" s="92" t="inlineStr">
        <is>
          <t>L09 chọn B nhưng ghi chú A/B linh hoạt; yêu cầu chốt nguyên tắc hiệu lực chính sách.</t>
        </is>
      </c>
      <c r="D8" s="92" t="inlineStr">
        <is>
          <t>An ninh / Quản trị</t>
        </is>
      </c>
      <c r="E8" s="92" t="inlineStr">
        <is>
          <t>P1</t>
        </is>
      </c>
      <c r="F8" s="92" t="inlineStr">
        <is>
          <t>Cần duyệt rõ</t>
        </is>
      </c>
      <c r="G8" s="92" t="inlineStr">
        <is>
          <t>L09</t>
        </is>
      </c>
      <c r="H8" s="93" t="n"/>
    </row>
    <row r="9" ht="51" customHeight="1" s="94">
      <c r="A9" s="89" t="inlineStr">
        <is>
          <t>RV05</t>
        </is>
      </c>
      <c r="B9" s="90" t="inlineStr">
        <is>
          <t>CCKB cho ra khi điện vẫn báo Đang cắm nhưng thực tế đã rút, quy trình ghi nhật ký và khắc phục ra sao?</t>
        </is>
      </c>
      <c r="C9" s="90" t="inlineStr">
        <is>
          <t>E07 chọn A nhưng diễn giải ưu tiên linh hoạt. Thiết kế cảnh báo + CCKB xác nhận thủ công, cần phê duyệt tiêu chí sử dụng ngoại lệ.</t>
        </is>
      </c>
      <c r="D9" s="90" t="inlineStr">
        <is>
          <t>Trưởng BP CCKB</t>
        </is>
      </c>
      <c r="E9" s="90" t="inlineStr">
        <is>
          <t>P0</t>
        </is>
      </c>
      <c r="F9" s="90" t="inlineStr">
        <is>
          <t>Cần nghiệm thu tình huống</t>
        </is>
      </c>
      <c r="G9" s="90" t="inlineStr">
        <is>
          <t>E07,T08,OUT01</t>
        </is>
      </c>
      <c r="H9" s="93" t="n"/>
    </row>
    <row r="10" ht="51" customHeight="1" s="94">
      <c r="A10" s="91" t="inlineStr">
        <is>
          <t>RV06</t>
        </is>
      </c>
      <c r="B10" s="92" t="inlineStr">
        <is>
          <t>Tại bước An ninh ghi giờ ra và tính phí lưu, có cho ra với phí lưu chưa thu theo cơ chế ngoại lệ CCKB không?</t>
        </is>
      </c>
      <c r="C10" s="92" t="inlineStr">
        <is>
          <t>T08/OUT01 cho CCKB duyệt nợ nhưng chưa chỉ ra rõ có áp dụng phí lưu phát sinh đúng giờ ra hay không.</t>
        </is>
      </c>
      <c r="D10" s="92" t="inlineStr">
        <is>
          <t>Trưởng BP An ninh/CCKB</t>
        </is>
      </c>
      <c r="E10" s="92" t="inlineStr">
        <is>
          <t>P0</t>
        </is>
      </c>
      <c r="F10" s="92" t="inlineStr">
        <is>
          <t>Cần xác nhận trách nhiệm</t>
        </is>
      </c>
      <c r="G10" s="92" t="inlineStr">
        <is>
          <t>CNT01,T08,OUT01</t>
        </is>
      </c>
      <c r="H10" s="93" t="n"/>
    </row>
    <row r="11" ht="51" customHeight="1" s="94">
      <c r="A11" s="89" t="inlineStr">
        <is>
          <t>RV07</t>
        </is>
      </c>
      <c r="B11" s="90" t="inlineStr">
        <is>
          <t>Xe cont thường/cont lạnh sử dụng một mã nội bộ CONT_LANH hay đổi mã chung XE_CONTAINER?</t>
        </is>
      </c>
      <c r="C11" s="90" t="inlineStr">
        <is>
          <t>V03 ghi chỉ xe cont 250k và đầu kéo trống 0đ. Đề xuất đổi nhãn hiển thị “Xe container”, không tự thay khóa giá gốc.</t>
        </is>
      </c>
      <c r="D11" s="90" t="inlineStr">
        <is>
          <t>An ninh / Quản trị</t>
        </is>
      </c>
      <c r="E11" s="90" t="inlineStr">
        <is>
          <t>P1</t>
        </is>
      </c>
      <c r="F11" s="90" t="inlineStr">
        <is>
          <t>Cần duyệt hiển thị</t>
        </is>
      </c>
      <c r="G11" s="90" t="inlineStr">
        <is>
          <t>V03</t>
        </is>
      </c>
      <c r="H11" s="93" t="n"/>
    </row>
    <row r="12" ht="51" customHeight="1" s="94">
      <c r="A12" s="91" t="inlineStr">
        <is>
          <t>RV08</t>
        </is>
      </c>
      <c r="B12" s="92" t="inlineStr">
        <is>
          <t>Có cần vai trò Kế toán hoạt động V1 hay chỉ khai báo để giai đoạn sau sử dụng?</t>
        </is>
      </c>
      <c r="C12" s="92" t="inlineStr">
        <is>
          <t>P01 chọn thêm Kế toán; INV02 chỉ lưu dữ liệu hóa đơn chưa tích hợp; đề xuất tài khoản Kế toán quyền xem danh sách khi sẵn sàng.</t>
        </is>
      </c>
      <c r="D12" s="92" t="inlineStr">
        <is>
          <t>Kế toán / Quản trị</t>
        </is>
      </c>
      <c r="E12" s="92" t="inlineStr">
        <is>
          <t>P1</t>
        </is>
      </c>
      <c r="F12" s="92" t="inlineStr">
        <is>
          <t>Chưa chốt phạm vi</t>
        </is>
      </c>
      <c r="G12" s="92" t="inlineStr">
        <is>
          <t>P01,INV01,INV02</t>
        </is>
      </c>
      <c r="H12" s="93" t="n"/>
    </row>
    <row r="13" ht="51" customHeight="1" s="94">
      <c r="A13" s="89" t="inlineStr">
        <is>
          <t>RV09</t>
        </is>
      </c>
      <c r="B13" s="90" t="inlineStr">
        <is>
          <t>Bốt An ninh dùng chung tài khoản/thiết bị: xác định người chịu trách nhiệm mỗi thao tác bằng cơ chế nào?</t>
        </is>
      </c>
      <c r="C13" s="90" t="inlineStr">
        <is>
          <t>P07 yêu cầu giai đoạn đầu máy bốt cố định, nhưng báo cáo nhân viên/audit cần người thực hiện; đề xuất PIN ca/đổi người thao tác.</t>
        </is>
      </c>
      <c r="D13" s="90" t="inlineStr">
        <is>
          <t>Trưởng BP An ninh / CNTT</t>
        </is>
      </c>
      <c r="E13" s="90" t="inlineStr">
        <is>
          <t>P0</t>
        </is>
      </c>
      <c r="F13" s="90" t="inlineStr">
        <is>
          <t>Cần thiết kế bảo mật</t>
        </is>
      </c>
      <c r="G13" s="90" t="inlineStr">
        <is>
          <t>P07,P08</t>
        </is>
      </c>
      <c r="H13" s="93" t="n"/>
    </row>
    <row r="14" ht="51" customHeight="1" s="94">
      <c r="A14" s="91" t="inlineStr">
        <is>
          <t>RV10</t>
        </is>
      </c>
      <c r="B14" s="92" t="inlineStr">
        <is>
          <t>Các dữ liệu legacy sau chuyển được đánh dấu đúng trạng thái và không tự tính công nợ khi giờ ra đang thiếu.</t>
        </is>
      </c>
      <c r="C14" s="92" t="inlineStr">
        <is>
          <t>M03 không muốn đối soát toàn bộ tiền cũ, nhiều xe bỏ sót giờ ra; đề xuất nhóm dữ liệu cần kiểm tra và không phát sinh nghĩa vụ phải thu tự động.</t>
        </is>
      </c>
      <c r="D14" s="92" t="inlineStr">
        <is>
          <t>CNTT / An ninh / CCKB</t>
        </is>
      </c>
      <c r="E14" s="92" t="inlineStr">
        <is>
          <t>P0</t>
        </is>
      </c>
      <c r="F14" s="92" t="inlineStr">
        <is>
          <t>Cần nghiệm thu kỹ thuật</t>
        </is>
      </c>
      <c r="G14" s="92" t="inlineStr">
        <is>
          <t>M01,M03,M04</t>
        </is>
      </c>
      <c r="H14" s="93" t="n"/>
    </row>
    <row r="15" ht="51" customHeight="1" s="94">
      <c r="A15" s="89" t="inlineStr">
        <is>
          <t>RV11</t>
        </is>
      </c>
      <c r="B15" s="90" t="inlineStr">
        <is>
          <t>Tự động gửi Zalo và lưu ảnh/chứng từ đến mức nào trong V1?</t>
        </is>
      </c>
      <c r="C15" s="90" t="inlineStr">
        <is>
          <t>K09 ghi A/B/C nhưng nhu cầu thực tế Zalo thủ công; đề xuất app có thông báo nội bộ trước, Zalo tích hợp để fase sau.</t>
        </is>
      </c>
      <c r="D15" s="90" t="inlineStr">
        <is>
          <t>CNTT / CCKB</t>
        </is>
      </c>
      <c r="E15" s="90" t="inlineStr">
        <is>
          <t>P2</t>
        </is>
      </c>
      <c r="F15" s="90" t="inlineStr">
        <is>
          <t>Định hướng giai đoạn</t>
        </is>
      </c>
      <c r="G15" s="90" t="inlineStr">
        <is>
          <t>K09,K06</t>
        </is>
      </c>
      <c r="H15" s="93" t="n"/>
    </row>
    <row r="16" ht="51" customHeight="1" s="94">
      <c r="A16" s="91" t="inlineStr">
        <is>
          <t>RV12</t>
        </is>
      </c>
      <c r="B16" s="92" t="inlineStr">
        <is>
          <t>Thời điểm khóa chốt doanh thu ca có cố định 06–18 hay linh hoạt theo thời điểm nộp tiền?</t>
        </is>
      </c>
      <c r="C16" s="92" t="inlineStr">
        <is>
          <t>T14 cho giờ chốt tiền khác ca làm việc; đề xuất tách ca làm việc, ca thu tiền và mốc báo cáo.</t>
        </is>
      </c>
      <c r="D16" s="92" t="inlineStr">
        <is>
          <t>Trưởng BP An ninh / CCKB</t>
        </is>
      </c>
      <c r="E16" s="92" t="inlineStr">
        <is>
          <t>P1</t>
        </is>
      </c>
      <c r="F16" s="92" t="inlineStr">
        <is>
          <t>Thiết kế biểu mẫu</t>
        </is>
      </c>
      <c r="G16" s="92" t="inlineStr">
        <is>
          <t>T14</t>
        </is>
      </c>
      <c r="H16" s="93" t="n"/>
    </row>
    <row r="17">
      <c r="A17" s="57" t="n"/>
      <c r="B17" s="57" t="n"/>
      <c r="C17" s="57" t="n"/>
      <c r="D17" s="57" t="n"/>
      <c r="E17" s="57" t="n"/>
      <c r="F17" s="57" t="n"/>
      <c r="G17" s="57" t="n"/>
      <c r="H17" s="57" t="n"/>
    </row>
    <row r="18">
      <c r="A18" s="57" t="n"/>
      <c r="B18" s="57" t="n"/>
      <c r="C18" s="57" t="n"/>
      <c r="D18" s="57" t="n"/>
      <c r="E18" s="57" t="n"/>
      <c r="F18" s="57" t="n"/>
      <c r="G18" s="57" t="n"/>
      <c r="H18" s="57" t="n"/>
    </row>
    <row r="19">
      <c r="A19" s="57" t="n"/>
      <c r="B19" s="57" t="n"/>
      <c r="C19" s="57" t="n"/>
      <c r="D19" s="57" t="n"/>
      <c r="E19" s="57" t="n"/>
      <c r="F19" s="57" t="n"/>
      <c r="G19" s="57" t="n"/>
      <c r="H19" s="57" t="n"/>
    </row>
    <row r="20">
      <c r="A20" s="57" t="n"/>
      <c r="B20" s="57" t="n"/>
      <c r="C20" s="57" t="n"/>
      <c r="D20" s="57" t="n"/>
      <c r="E20" s="57" t="n"/>
      <c r="F20" s="57" t="n"/>
      <c r="G20" s="57" t="n"/>
      <c r="H20" s="57" t="n"/>
    </row>
    <row r="21" ht="15.75" customHeight="1" s="94">
      <c r="A21" s="57" t="n"/>
      <c r="B21" s="57" t="n"/>
      <c r="C21" s="57" t="n"/>
      <c r="D21" s="57" t="n"/>
      <c r="E21" s="57" t="n"/>
      <c r="F21" s="57" t="n"/>
      <c r="G21" s="57" t="n"/>
      <c r="H21" s="57" t="n"/>
    </row>
    <row r="22" ht="15.75" customHeight="1" s="94">
      <c r="A22" s="57" t="n"/>
      <c r="B22" s="57" t="n"/>
      <c r="C22" s="57" t="n"/>
      <c r="D22" s="57" t="n"/>
      <c r="E22" s="57" t="n"/>
      <c r="F22" s="57" t="n"/>
      <c r="G22" s="57" t="n"/>
      <c r="H22" s="57" t="n"/>
    </row>
    <row r="23" ht="15.75" customHeight="1" s="94">
      <c r="A23" s="57" t="n"/>
      <c r="B23" s="57" t="n"/>
      <c r="C23" s="57" t="n"/>
      <c r="D23" s="57" t="n"/>
      <c r="E23" s="57" t="n"/>
      <c r="F23" s="57" t="n"/>
      <c r="G23" s="57" t="n"/>
      <c r="H23" s="57" t="n"/>
    </row>
    <row r="24" ht="15.75" customHeight="1" s="94">
      <c r="A24" s="57" t="n"/>
      <c r="B24" s="57" t="n"/>
      <c r="C24" s="57" t="n"/>
      <c r="D24" s="57" t="n"/>
      <c r="E24" s="57" t="n"/>
      <c r="F24" s="57" t="n"/>
      <c r="G24" s="57" t="n"/>
      <c r="H24" s="57" t="n"/>
    </row>
    <row r="25" ht="15.75" customHeight="1" s="94">
      <c r="A25" s="57" t="n"/>
      <c r="B25" s="57" t="n"/>
      <c r="C25" s="57" t="n"/>
      <c r="D25" s="57" t="n"/>
      <c r="E25" s="57" t="n"/>
      <c r="F25" s="57" t="n"/>
      <c r="G25" s="57" t="n"/>
      <c r="H25" s="57" t="n"/>
    </row>
    <row r="26" ht="15.75" customHeight="1" s="94">
      <c r="A26" s="57" t="n"/>
      <c r="B26" s="57" t="n"/>
      <c r="C26" s="57" t="n"/>
      <c r="D26" s="57" t="n"/>
      <c r="E26" s="57" t="n"/>
      <c r="F26" s="57" t="n"/>
      <c r="G26" s="57" t="n"/>
      <c r="H26" s="57" t="n"/>
    </row>
    <row r="27" ht="15.75" customHeight="1" s="94">
      <c r="A27" s="57" t="n"/>
      <c r="B27" s="57" t="n"/>
      <c r="C27" s="57" t="n"/>
      <c r="D27" s="57" t="n"/>
      <c r="E27" s="57" t="n"/>
      <c r="F27" s="57" t="n"/>
      <c r="G27" s="57" t="n"/>
      <c r="H27" s="57" t="n"/>
    </row>
    <row r="28" ht="15.75" customHeight="1" s="94">
      <c r="A28" s="57" t="n"/>
      <c r="B28" s="57" t="n"/>
      <c r="C28" s="57" t="n"/>
      <c r="D28" s="57" t="n"/>
      <c r="E28" s="57" t="n"/>
      <c r="F28" s="57" t="n"/>
      <c r="G28" s="57" t="n"/>
      <c r="H28" s="57" t="n"/>
    </row>
    <row r="29" ht="15.75" customHeight="1" s="94">
      <c r="A29" s="57" t="n"/>
      <c r="B29" s="57" t="n"/>
      <c r="C29" s="57" t="n"/>
      <c r="D29" s="57" t="n"/>
      <c r="E29" s="57" t="n"/>
      <c r="F29" s="57" t="n"/>
      <c r="G29" s="57" t="n"/>
      <c r="H29" s="57" t="n"/>
    </row>
    <row r="30" ht="15.75" customHeight="1" s="94">
      <c r="A30" s="57" t="n"/>
      <c r="B30" s="57" t="n"/>
      <c r="C30" s="57" t="n"/>
      <c r="D30" s="57" t="n"/>
      <c r="E30" s="57" t="n"/>
      <c r="F30" s="57" t="n"/>
      <c r="G30" s="57" t="n"/>
      <c r="H30" s="57" t="n"/>
    </row>
    <row r="31" ht="15.75" customHeight="1" s="94">
      <c r="A31" s="57" t="n"/>
      <c r="B31" s="57" t="n"/>
      <c r="C31" s="57" t="n"/>
      <c r="D31" s="57" t="n"/>
      <c r="E31" s="57" t="n"/>
      <c r="F31" s="57" t="n"/>
      <c r="G31" s="57" t="n"/>
      <c r="H31" s="57" t="n"/>
    </row>
    <row r="32" ht="15.75" customHeight="1" s="94">
      <c r="A32" s="57" t="n"/>
      <c r="B32" s="57" t="n"/>
      <c r="C32" s="57" t="n"/>
      <c r="D32" s="57" t="n"/>
      <c r="E32" s="57" t="n"/>
      <c r="F32" s="57" t="n"/>
      <c r="G32" s="57" t="n"/>
      <c r="H32" s="57" t="n"/>
    </row>
    <row r="33" ht="15.75" customHeight="1" s="94">
      <c r="A33" s="57" t="n"/>
      <c r="B33" s="57" t="n"/>
      <c r="C33" s="57" t="n"/>
      <c r="D33" s="57" t="n"/>
      <c r="E33" s="57" t="n"/>
      <c r="F33" s="57" t="n"/>
      <c r="G33" s="57" t="n"/>
      <c r="H33" s="57" t="n"/>
    </row>
    <row r="34" ht="15.75" customHeight="1" s="94">
      <c r="A34" s="57" t="n"/>
      <c r="B34" s="57" t="n"/>
      <c r="C34" s="57" t="n"/>
      <c r="D34" s="57" t="n"/>
      <c r="E34" s="57" t="n"/>
      <c r="F34" s="57" t="n"/>
      <c r="G34" s="57" t="n"/>
      <c r="H34" s="57" t="n"/>
    </row>
    <row r="35" ht="15.75" customHeight="1" s="94">
      <c r="A35" s="57" t="n"/>
      <c r="B35" s="57" t="n"/>
      <c r="C35" s="57" t="n"/>
      <c r="D35" s="57" t="n"/>
      <c r="E35" s="57" t="n"/>
      <c r="F35" s="57" t="n"/>
      <c r="G35" s="57" t="n"/>
      <c r="H35" s="57" t="n"/>
    </row>
    <row r="36" ht="15.75" customHeight="1" s="94">
      <c r="A36" s="57" t="n"/>
      <c r="B36" s="57" t="n"/>
      <c r="C36" s="57" t="n"/>
      <c r="D36" s="57" t="n"/>
      <c r="E36" s="57" t="n"/>
      <c r="F36" s="57" t="n"/>
      <c r="G36" s="57" t="n"/>
      <c r="H36" s="57" t="n"/>
    </row>
    <row r="37" ht="15.75" customHeight="1" s="94">
      <c r="A37" s="57" t="n"/>
      <c r="B37" s="57" t="n"/>
      <c r="C37" s="57" t="n"/>
      <c r="D37" s="57" t="n"/>
      <c r="E37" s="57" t="n"/>
      <c r="F37" s="57" t="n"/>
      <c r="G37" s="57" t="n"/>
      <c r="H37" s="57" t="n"/>
    </row>
    <row r="38" ht="15.75" customHeight="1" s="94">
      <c r="A38" s="57" t="n"/>
      <c r="B38" s="57" t="n"/>
      <c r="C38" s="57" t="n"/>
      <c r="D38" s="57" t="n"/>
      <c r="E38" s="57" t="n"/>
      <c r="F38" s="57" t="n"/>
      <c r="G38" s="57" t="n"/>
      <c r="H38" s="57" t="n"/>
    </row>
    <row r="39" ht="15.75" customHeight="1" s="94">
      <c r="A39" s="57" t="n"/>
      <c r="B39" s="57" t="n"/>
      <c r="C39" s="57" t="n"/>
      <c r="D39" s="57" t="n"/>
      <c r="E39" s="57" t="n"/>
      <c r="F39" s="57" t="n"/>
      <c r="G39" s="57" t="n"/>
      <c r="H39" s="57" t="n"/>
    </row>
    <row r="40" ht="15.75" customHeight="1" s="94">
      <c r="A40" s="57" t="n"/>
      <c r="B40" s="57" t="n"/>
      <c r="C40" s="57" t="n"/>
      <c r="D40" s="57" t="n"/>
      <c r="E40" s="57" t="n"/>
      <c r="F40" s="57" t="n"/>
      <c r="G40" s="57" t="n"/>
      <c r="H40" s="57" t="n"/>
    </row>
    <row r="41" ht="15.75" customHeight="1" s="94">
      <c r="A41" s="57" t="n"/>
      <c r="B41" s="57" t="n"/>
      <c r="C41" s="57" t="n"/>
      <c r="D41" s="57" t="n"/>
      <c r="E41" s="57" t="n"/>
      <c r="F41" s="57" t="n"/>
      <c r="G41" s="57" t="n"/>
      <c r="H41" s="57" t="n"/>
    </row>
    <row r="42" ht="15.75" customHeight="1" s="94">
      <c r="A42" s="57" t="n"/>
      <c r="B42" s="57" t="n"/>
      <c r="C42" s="57" t="n"/>
      <c r="D42" s="57" t="n"/>
      <c r="E42" s="57" t="n"/>
      <c r="F42" s="57" t="n"/>
      <c r="G42" s="57" t="n"/>
      <c r="H42" s="57" t="n"/>
    </row>
    <row r="43" ht="15.75" customHeight="1" s="94">
      <c r="A43" s="57" t="n"/>
      <c r="B43" s="57" t="n"/>
      <c r="C43" s="57" t="n"/>
      <c r="D43" s="57" t="n"/>
      <c r="E43" s="57" t="n"/>
      <c r="F43" s="57" t="n"/>
      <c r="G43" s="57" t="n"/>
      <c r="H43" s="57" t="n"/>
    </row>
    <row r="44" ht="15.75" customHeight="1" s="94">
      <c r="A44" s="57" t="n"/>
      <c r="B44" s="57" t="n"/>
      <c r="C44" s="57" t="n"/>
      <c r="D44" s="57" t="n"/>
      <c r="E44" s="57" t="n"/>
      <c r="F44" s="57" t="n"/>
      <c r="G44" s="57" t="n"/>
      <c r="H44" s="57" t="n"/>
    </row>
    <row r="45" ht="15.75" customHeight="1" s="94">
      <c r="A45" s="57" t="n"/>
      <c r="B45" s="57" t="n"/>
      <c r="C45" s="57" t="n"/>
      <c r="D45" s="57" t="n"/>
      <c r="E45" s="57" t="n"/>
      <c r="F45" s="57" t="n"/>
      <c r="G45" s="57" t="n"/>
      <c r="H45" s="57" t="n"/>
    </row>
    <row r="46" ht="15.75" customHeight="1" s="94">
      <c r="A46" s="57" t="n"/>
      <c r="B46" s="57" t="n"/>
      <c r="C46" s="57" t="n"/>
      <c r="D46" s="57" t="n"/>
      <c r="E46" s="57" t="n"/>
      <c r="F46" s="57" t="n"/>
      <c r="G46" s="57" t="n"/>
      <c r="H46" s="57" t="n"/>
    </row>
    <row r="47" ht="15.75" customHeight="1" s="94">
      <c r="A47" s="57" t="n"/>
      <c r="B47" s="57" t="n"/>
      <c r="C47" s="57" t="n"/>
      <c r="D47" s="57" t="n"/>
      <c r="E47" s="57" t="n"/>
      <c r="F47" s="57" t="n"/>
      <c r="G47" s="57" t="n"/>
      <c r="H47" s="57" t="n"/>
    </row>
    <row r="48" ht="15.75" customHeight="1" s="94">
      <c r="A48" s="57" t="n"/>
      <c r="B48" s="57" t="n"/>
      <c r="C48" s="57" t="n"/>
      <c r="D48" s="57" t="n"/>
      <c r="E48" s="57" t="n"/>
      <c r="F48" s="57" t="n"/>
      <c r="G48" s="57" t="n"/>
      <c r="H48" s="57" t="n"/>
    </row>
    <row r="49" ht="15.75" customHeight="1" s="94">
      <c r="A49" s="57" t="n"/>
      <c r="B49" s="57" t="n"/>
      <c r="C49" s="57" t="n"/>
      <c r="D49" s="57" t="n"/>
      <c r="E49" s="57" t="n"/>
      <c r="F49" s="57" t="n"/>
      <c r="G49" s="57" t="n"/>
      <c r="H49" s="57" t="n"/>
    </row>
    <row r="50" ht="15.75" customHeight="1" s="94">
      <c r="A50" s="57" t="n"/>
      <c r="B50" s="57" t="n"/>
      <c r="C50" s="57" t="n"/>
      <c r="D50" s="57" t="n"/>
      <c r="E50" s="57" t="n"/>
      <c r="F50" s="57" t="n"/>
      <c r="G50" s="57" t="n"/>
      <c r="H50" s="57" t="n"/>
    </row>
    <row r="51" ht="15.75" customHeight="1" s="94">
      <c r="A51" s="57" t="n"/>
      <c r="B51" s="57" t="n"/>
      <c r="C51" s="57" t="n"/>
      <c r="D51" s="57" t="n"/>
      <c r="E51" s="57" t="n"/>
      <c r="F51" s="57" t="n"/>
      <c r="G51" s="57" t="n"/>
      <c r="H51" s="57" t="n"/>
    </row>
    <row r="52" ht="15.75" customHeight="1" s="94">
      <c r="A52" s="57" t="n"/>
      <c r="B52" s="57" t="n"/>
      <c r="C52" s="57" t="n"/>
      <c r="D52" s="57" t="n"/>
      <c r="E52" s="57" t="n"/>
      <c r="F52" s="57" t="n"/>
      <c r="G52" s="57" t="n"/>
      <c r="H52" s="57" t="n"/>
    </row>
    <row r="53" ht="15.75" customHeight="1" s="94">
      <c r="A53" s="57" t="n"/>
      <c r="B53" s="57" t="n"/>
      <c r="C53" s="57" t="n"/>
      <c r="D53" s="57" t="n"/>
      <c r="E53" s="57" t="n"/>
      <c r="F53" s="57" t="n"/>
      <c r="G53" s="57" t="n"/>
      <c r="H53" s="57" t="n"/>
    </row>
    <row r="54" ht="15.75" customHeight="1" s="94">
      <c r="A54" s="57" t="n"/>
      <c r="B54" s="57" t="n"/>
      <c r="C54" s="57" t="n"/>
      <c r="D54" s="57" t="n"/>
      <c r="E54" s="57" t="n"/>
      <c r="F54" s="57" t="n"/>
      <c r="G54" s="57" t="n"/>
      <c r="H54" s="57" t="n"/>
    </row>
    <row r="55" ht="15.75" customHeight="1" s="94">
      <c r="A55" s="57" t="n"/>
      <c r="B55" s="57" t="n"/>
      <c r="C55" s="57" t="n"/>
      <c r="D55" s="57" t="n"/>
      <c r="E55" s="57" t="n"/>
      <c r="F55" s="57" t="n"/>
      <c r="G55" s="57" t="n"/>
      <c r="H55" s="57" t="n"/>
    </row>
    <row r="56" ht="15.75" customHeight="1" s="94">
      <c r="A56" s="57" t="n"/>
      <c r="B56" s="57" t="n"/>
      <c r="C56" s="57" t="n"/>
      <c r="D56" s="57" t="n"/>
      <c r="E56" s="57" t="n"/>
      <c r="F56" s="57" t="n"/>
      <c r="G56" s="57" t="n"/>
      <c r="H56" s="57" t="n"/>
    </row>
    <row r="57" ht="15.75" customHeight="1" s="94">
      <c r="A57" s="57" t="n"/>
      <c r="B57" s="57" t="n"/>
      <c r="C57" s="57" t="n"/>
      <c r="D57" s="57" t="n"/>
      <c r="E57" s="57" t="n"/>
      <c r="F57" s="57" t="n"/>
      <c r="G57" s="57" t="n"/>
      <c r="H57" s="57" t="n"/>
    </row>
    <row r="58" ht="15.75" customHeight="1" s="94">
      <c r="A58" s="57" t="n"/>
      <c r="B58" s="57" t="n"/>
      <c r="C58" s="57" t="n"/>
      <c r="D58" s="57" t="n"/>
      <c r="E58" s="57" t="n"/>
      <c r="F58" s="57" t="n"/>
      <c r="G58" s="57" t="n"/>
      <c r="H58" s="57" t="n"/>
    </row>
    <row r="59" ht="15.75" customHeight="1" s="94">
      <c r="A59" s="57" t="n"/>
      <c r="B59" s="57" t="n"/>
      <c r="C59" s="57" t="n"/>
      <c r="D59" s="57" t="n"/>
      <c r="E59" s="57" t="n"/>
      <c r="F59" s="57" t="n"/>
      <c r="G59" s="57" t="n"/>
      <c r="H59" s="57" t="n"/>
    </row>
    <row r="60" ht="15.75" customHeight="1" s="94">
      <c r="A60" s="57" t="n"/>
      <c r="B60" s="57" t="n"/>
      <c r="C60" s="57" t="n"/>
      <c r="D60" s="57" t="n"/>
      <c r="E60" s="57" t="n"/>
      <c r="F60" s="57" t="n"/>
      <c r="G60" s="57" t="n"/>
      <c r="H60" s="57" t="n"/>
    </row>
    <row r="61" ht="15.75" customHeight="1" s="94">
      <c r="A61" s="57" t="n"/>
      <c r="B61" s="57" t="n"/>
      <c r="C61" s="57" t="n"/>
      <c r="D61" s="57" t="n"/>
      <c r="E61" s="57" t="n"/>
      <c r="F61" s="57" t="n"/>
      <c r="G61" s="57" t="n"/>
      <c r="H61" s="57" t="n"/>
    </row>
    <row r="62" ht="15.75" customHeight="1" s="94">
      <c r="A62" s="57" t="n"/>
      <c r="B62" s="57" t="n"/>
      <c r="C62" s="57" t="n"/>
      <c r="D62" s="57" t="n"/>
      <c r="E62" s="57" t="n"/>
      <c r="F62" s="57" t="n"/>
      <c r="G62" s="57" t="n"/>
      <c r="H62" s="57" t="n"/>
    </row>
    <row r="63" ht="15.75" customHeight="1" s="94">
      <c r="A63" s="57" t="n"/>
      <c r="B63" s="57" t="n"/>
      <c r="C63" s="57" t="n"/>
      <c r="D63" s="57" t="n"/>
      <c r="E63" s="57" t="n"/>
      <c r="F63" s="57" t="n"/>
      <c r="G63" s="57" t="n"/>
      <c r="H63" s="57" t="n"/>
    </row>
    <row r="64" ht="15.75" customHeight="1" s="94">
      <c r="A64" s="57" t="n"/>
      <c r="B64" s="57" t="n"/>
      <c r="C64" s="57" t="n"/>
      <c r="D64" s="57" t="n"/>
      <c r="E64" s="57" t="n"/>
      <c r="F64" s="57" t="n"/>
      <c r="G64" s="57" t="n"/>
      <c r="H64" s="57" t="n"/>
    </row>
    <row r="65" ht="15.75" customHeight="1" s="94">
      <c r="A65" s="57" t="n"/>
      <c r="B65" s="57" t="n"/>
      <c r="C65" s="57" t="n"/>
      <c r="D65" s="57" t="n"/>
      <c r="E65" s="57" t="n"/>
      <c r="F65" s="57" t="n"/>
      <c r="G65" s="57" t="n"/>
      <c r="H65" s="57" t="n"/>
    </row>
    <row r="66" ht="15.75" customHeight="1" s="94">
      <c r="A66" s="57" t="n"/>
      <c r="B66" s="57" t="n"/>
      <c r="C66" s="57" t="n"/>
      <c r="D66" s="57" t="n"/>
      <c r="E66" s="57" t="n"/>
      <c r="F66" s="57" t="n"/>
      <c r="G66" s="57" t="n"/>
      <c r="H66" s="57" t="n"/>
    </row>
    <row r="67" ht="15.75" customHeight="1" s="94">
      <c r="A67" s="57" t="n"/>
      <c r="B67" s="57" t="n"/>
      <c r="C67" s="57" t="n"/>
      <c r="D67" s="57" t="n"/>
      <c r="E67" s="57" t="n"/>
      <c r="F67" s="57" t="n"/>
      <c r="G67" s="57" t="n"/>
      <c r="H67" s="57" t="n"/>
    </row>
    <row r="68" ht="15.75" customHeight="1" s="94">
      <c r="A68" s="57" t="n"/>
      <c r="B68" s="57" t="n"/>
      <c r="C68" s="57" t="n"/>
      <c r="D68" s="57" t="n"/>
      <c r="E68" s="57" t="n"/>
      <c r="F68" s="57" t="n"/>
      <c r="G68" s="57" t="n"/>
      <c r="H68" s="57" t="n"/>
    </row>
    <row r="69" ht="15.75" customHeight="1" s="94">
      <c r="A69" s="57" t="n"/>
      <c r="B69" s="57" t="n"/>
      <c r="C69" s="57" t="n"/>
      <c r="D69" s="57" t="n"/>
      <c r="E69" s="57" t="n"/>
      <c r="F69" s="57" t="n"/>
      <c r="G69" s="57" t="n"/>
      <c r="H69" s="57" t="n"/>
    </row>
    <row r="70" ht="15.75" customHeight="1" s="94">
      <c r="A70" s="57" t="n"/>
      <c r="B70" s="57" t="n"/>
      <c r="C70" s="57" t="n"/>
      <c r="D70" s="57" t="n"/>
      <c r="E70" s="57" t="n"/>
      <c r="F70" s="57" t="n"/>
      <c r="G70" s="57" t="n"/>
      <c r="H70" s="57" t="n"/>
    </row>
    <row r="71" ht="15.75" customHeight="1" s="94">
      <c r="A71" s="57" t="n"/>
      <c r="B71" s="57" t="n"/>
      <c r="C71" s="57" t="n"/>
      <c r="D71" s="57" t="n"/>
      <c r="E71" s="57" t="n"/>
      <c r="F71" s="57" t="n"/>
      <c r="G71" s="57" t="n"/>
      <c r="H71" s="57" t="n"/>
    </row>
    <row r="72" ht="15.75" customHeight="1" s="94">
      <c r="A72" s="57" t="n"/>
      <c r="B72" s="57" t="n"/>
      <c r="C72" s="57" t="n"/>
      <c r="D72" s="57" t="n"/>
      <c r="E72" s="57" t="n"/>
      <c r="F72" s="57" t="n"/>
      <c r="G72" s="57" t="n"/>
      <c r="H72" s="57" t="n"/>
    </row>
    <row r="73" ht="15.75" customHeight="1" s="94">
      <c r="A73" s="57" t="n"/>
      <c r="B73" s="57" t="n"/>
      <c r="C73" s="57" t="n"/>
      <c r="D73" s="57" t="n"/>
      <c r="E73" s="57" t="n"/>
      <c r="F73" s="57" t="n"/>
      <c r="G73" s="57" t="n"/>
      <c r="H73" s="57" t="n"/>
    </row>
    <row r="74" ht="15.75" customHeight="1" s="94">
      <c r="A74" s="57" t="n"/>
      <c r="B74" s="57" t="n"/>
      <c r="C74" s="57" t="n"/>
      <c r="D74" s="57" t="n"/>
      <c r="E74" s="57" t="n"/>
      <c r="F74" s="57" t="n"/>
      <c r="G74" s="57" t="n"/>
      <c r="H74" s="57" t="n"/>
    </row>
    <row r="75" ht="15.75" customHeight="1" s="94">
      <c r="A75" s="57" t="n"/>
      <c r="B75" s="57" t="n"/>
      <c r="C75" s="57" t="n"/>
      <c r="D75" s="57" t="n"/>
      <c r="E75" s="57" t="n"/>
      <c r="F75" s="57" t="n"/>
      <c r="G75" s="57" t="n"/>
      <c r="H75" s="57" t="n"/>
    </row>
    <row r="76" ht="15.75" customHeight="1" s="94">
      <c r="A76" s="57" t="n"/>
      <c r="B76" s="57" t="n"/>
      <c r="C76" s="57" t="n"/>
      <c r="D76" s="57" t="n"/>
      <c r="E76" s="57" t="n"/>
      <c r="F76" s="57" t="n"/>
      <c r="G76" s="57" t="n"/>
      <c r="H76" s="57" t="n"/>
    </row>
    <row r="77" ht="15.75" customHeight="1" s="94">
      <c r="A77" s="57" t="n"/>
      <c r="B77" s="57" t="n"/>
      <c r="C77" s="57" t="n"/>
      <c r="D77" s="57" t="n"/>
      <c r="E77" s="57" t="n"/>
      <c r="F77" s="57" t="n"/>
      <c r="G77" s="57" t="n"/>
      <c r="H77" s="57" t="n"/>
    </row>
    <row r="78" ht="15.75" customHeight="1" s="94">
      <c r="A78" s="57" t="n"/>
      <c r="B78" s="57" t="n"/>
      <c r="C78" s="57" t="n"/>
      <c r="D78" s="57" t="n"/>
      <c r="E78" s="57" t="n"/>
      <c r="F78" s="57" t="n"/>
      <c r="G78" s="57" t="n"/>
      <c r="H78" s="57" t="n"/>
    </row>
    <row r="79" ht="15.75" customHeight="1" s="94">
      <c r="A79" s="57" t="n"/>
      <c r="B79" s="57" t="n"/>
      <c r="C79" s="57" t="n"/>
      <c r="D79" s="57" t="n"/>
      <c r="E79" s="57" t="n"/>
      <c r="F79" s="57" t="n"/>
      <c r="G79" s="57" t="n"/>
      <c r="H79" s="57" t="n"/>
    </row>
    <row r="80" ht="15.75" customHeight="1" s="94">
      <c r="A80" s="57" t="n"/>
      <c r="B80" s="57" t="n"/>
      <c r="C80" s="57" t="n"/>
      <c r="D80" s="57" t="n"/>
      <c r="E80" s="57" t="n"/>
      <c r="F80" s="57" t="n"/>
      <c r="G80" s="57" t="n"/>
      <c r="H80" s="57" t="n"/>
    </row>
    <row r="81" ht="15.75" customHeight="1" s="94">
      <c r="A81" s="57" t="n"/>
      <c r="B81" s="57" t="n"/>
      <c r="C81" s="57" t="n"/>
      <c r="D81" s="57" t="n"/>
      <c r="E81" s="57" t="n"/>
      <c r="F81" s="57" t="n"/>
      <c r="G81" s="57" t="n"/>
      <c r="H81" s="57" t="n"/>
    </row>
    <row r="82" ht="15.75" customHeight="1" s="94">
      <c r="A82" s="57" t="n"/>
      <c r="B82" s="57" t="n"/>
      <c r="C82" s="57" t="n"/>
      <c r="D82" s="57" t="n"/>
      <c r="E82" s="57" t="n"/>
      <c r="F82" s="57" t="n"/>
      <c r="G82" s="57" t="n"/>
      <c r="H82" s="57" t="n"/>
    </row>
    <row r="83" ht="15.75" customHeight="1" s="94">
      <c r="A83" s="57" t="n"/>
      <c r="B83" s="57" t="n"/>
      <c r="C83" s="57" t="n"/>
      <c r="D83" s="57" t="n"/>
      <c r="E83" s="57" t="n"/>
      <c r="F83" s="57" t="n"/>
      <c r="G83" s="57" t="n"/>
      <c r="H83" s="57" t="n"/>
    </row>
    <row r="84" ht="15.75" customHeight="1" s="94">
      <c r="A84" s="57" t="n"/>
      <c r="B84" s="57" t="n"/>
      <c r="C84" s="57" t="n"/>
      <c r="D84" s="57" t="n"/>
      <c r="E84" s="57" t="n"/>
      <c r="F84" s="57" t="n"/>
      <c r="G84" s="57" t="n"/>
      <c r="H84" s="57" t="n"/>
    </row>
    <row r="85" ht="15.75" customHeight="1" s="94">
      <c r="A85" s="57" t="n"/>
      <c r="B85" s="57" t="n"/>
      <c r="C85" s="57" t="n"/>
      <c r="D85" s="57" t="n"/>
      <c r="E85" s="57" t="n"/>
      <c r="F85" s="57" t="n"/>
      <c r="G85" s="57" t="n"/>
      <c r="H85" s="57" t="n"/>
    </row>
    <row r="86" ht="15.75" customHeight="1" s="94">
      <c r="A86" s="57" t="n"/>
      <c r="B86" s="57" t="n"/>
      <c r="C86" s="57" t="n"/>
      <c r="D86" s="57" t="n"/>
      <c r="E86" s="57" t="n"/>
      <c r="F86" s="57" t="n"/>
      <c r="G86" s="57" t="n"/>
      <c r="H86" s="57" t="n"/>
    </row>
    <row r="87" ht="15.75" customHeight="1" s="94">
      <c r="A87" s="57" t="n"/>
      <c r="B87" s="57" t="n"/>
      <c r="C87" s="57" t="n"/>
      <c r="D87" s="57" t="n"/>
      <c r="E87" s="57" t="n"/>
      <c r="F87" s="57" t="n"/>
      <c r="G87" s="57" t="n"/>
      <c r="H87" s="57" t="n"/>
    </row>
    <row r="88" ht="15.75" customHeight="1" s="94">
      <c r="A88" s="57" t="n"/>
      <c r="B88" s="57" t="n"/>
      <c r="C88" s="57" t="n"/>
      <c r="D88" s="57" t="n"/>
      <c r="E88" s="57" t="n"/>
      <c r="F88" s="57" t="n"/>
      <c r="G88" s="57" t="n"/>
      <c r="H88" s="57" t="n"/>
    </row>
    <row r="89" ht="15.75" customHeight="1" s="94">
      <c r="A89" s="57" t="n"/>
      <c r="B89" s="57" t="n"/>
      <c r="C89" s="57" t="n"/>
      <c r="D89" s="57" t="n"/>
      <c r="E89" s="57" t="n"/>
      <c r="F89" s="57" t="n"/>
      <c r="G89" s="57" t="n"/>
      <c r="H89" s="57" t="n"/>
    </row>
    <row r="90" ht="15.75" customHeight="1" s="94">
      <c r="A90" s="57" t="n"/>
      <c r="B90" s="57" t="n"/>
      <c r="C90" s="57" t="n"/>
      <c r="D90" s="57" t="n"/>
      <c r="E90" s="57" t="n"/>
      <c r="F90" s="57" t="n"/>
      <c r="G90" s="57" t="n"/>
      <c r="H90" s="57" t="n"/>
    </row>
    <row r="91" ht="15.75" customHeight="1" s="94">
      <c r="A91" s="57" t="n"/>
      <c r="B91" s="57" t="n"/>
      <c r="C91" s="57" t="n"/>
      <c r="D91" s="57" t="n"/>
      <c r="E91" s="57" t="n"/>
      <c r="F91" s="57" t="n"/>
      <c r="G91" s="57" t="n"/>
      <c r="H91" s="57" t="n"/>
    </row>
    <row r="92" ht="15.75" customHeight="1" s="94">
      <c r="A92" s="57" t="n"/>
      <c r="B92" s="57" t="n"/>
      <c r="C92" s="57" t="n"/>
      <c r="D92" s="57" t="n"/>
      <c r="E92" s="57" t="n"/>
      <c r="F92" s="57" t="n"/>
      <c r="G92" s="57" t="n"/>
      <c r="H92" s="57" t="n"/>
    </row>
    <row r="93" ht="15.75" customHeight="1" s="94">
      <c r="A93" s="57" t="n"/>
      <c r="B93" s="57" t="n"/>
      <c r="C93" s="57" t="n"/>
      <c r="D93" s="57" t="n"/>
      <c r="E93" s="57" t="n"/>
      <c r="F93" s="57" t="n"/>
      <c r="G93" s="57" t="n"/>
      <c r="H93" s="57" t="n"/>
    </row>
    <row r="94" ht="15.75" customHeight="1" s="94">
      <c r="A94" s="57" t="n"/>
      <c r="B94" s="57" t="n"/>
      <c r="C94" s="57" t="n"/>
      <c r="D94" s="57" t="n"/>
      <c r="E94" s="57" t="n"/>
      <c r="F94" s="57" t="n"/>
      <c r="G94" s="57" t="n"/>
      <c r="H94" s="57" t="n"/>
    </row>
    <row r="95" ht="15.75" customHeight="1" s="94">
      <c r="A95" s="57" t="n"/>
      <c r="B95" s="57" t="n"/>
      <c r="C95" s="57" t="n"/>
      <c r="D95" s="57" t="n"/>
      <c r="E95" s="57" t="n"/>
      <c r="F95" s="57" t="n"/>
      <c r="G95" s="57" t="n"/>
      <c r="H95" s="57" t="n"/>
    </row>
    <row r="96" ht="15.75" customHeight="1" s="94">
      <c r="A96" s="57" t="n"/>
      <c r="B96" s="57" t="n"/>
      <c r="C96" s="57" t="n"/>
      <c r="D96" s="57" t="n"/>
      <c r="E96" s="57" t="n"/>
      <c r="F96" s="57" t="n"/>
      <c r="G96" s="57" t="n"/>
      <c r="H96" s="57" t="n"/>
    </row>
    <row r="97" ht="15.75" customHeight="1" s="94">
      <c r="A97" s="57" t="n"/>
      <c r="B97" s="57" t="n"/>
      <c r="C97" s="57" t="n"/>
      <c r="D97" s="57" t="n"/>
      <c r="E97" s="57" t="n"/>
      <c r="F97" s="57" t="n"/>
      <c r="G97" s="57" t="n"/>
      <c r="H97" s="57" t="n"/>
    </row>
    <row r="98" ht="15.75" customHeight="1" s="94">
      <c r="A98" s="57" t="n"/>
      <c r="B98" s="57" t="n"/>
      <c r="C98" s="57" t="n"/>
      <c r="D98" s="57" t="n"/>
      <c r="E98" s="57" t="n"/>
      <c r="F98" s="57" t="n"/>
      <c r="G98" s="57" t="n"/>
      <c r="H98" s="57" t="n"/>
    </row>
    <row r="99" ht="15.75" customHeight="1" s="94">
      <c r="A99" s="57" t="n"/>
      <c r="B99" s="57" t="n"/>
      <c r="C99" s="57" t="n"/>
      <c r="D99" s="57" t="n"/>
      <c r="E99" s="57" t="n"/>
      <c r="F99" s="57" t="n"/>
      <c r="G99" s="57" t="n"/>
      <c r="H99" s="57" t="n"/>
    </row>
    <row r="100" ht="15.75" customHeight="1" s="94">
      <c r="A100" s="57" t="n"/>
      <c r="B100" s="57" t="n"/>
      <c r="C100" s="57" t="n"/>
      <c r="D100" s="57" t="n"/>
      <c r="E100" s="57" t="n"/>
      <c r="F100" s="57" t="n"/>
      <c r="G100" s="57" t="n"/>
      <c r="H100" s="57" t="n"/>
    </row>
    <row r="101" ht="15.75" customHeight="1" s="94">
      <c r="A101" s="57" t="n"/>
      <c r="B101" s="57" t="n"/>
      <c r="C101" s="57" t="n"/>
      <c r="D101" s="57" t="n"/>
      <c r="E101" s="57" t="n"/>
      <c r="F101" s="57" t="n"/>
      <c r="G101" s="57" t="n"/>
      <c r="H101" s="57" t="n"/>
    </row>
    <row r="102" ht="15.75" customHeight="1" s="94">
      <c r="A102" s="57" t="n"/>
      <c r="B102" s="57" t="n"/>
      <c r="C102" s="57" t="n"/>
      <c r="D102" s="57" t="n"/>
      <c r="E102" s="57" t="n"/>
      <c r="F102" s="57" t="n"/>
      <c r="G102" s="57" t="n"/>
      <c r="H102" s="57" t="n"/>
    </row>
    <row r="103" ht="15.75" customHeight="1" s="94">
      <c r="A103" s="57" t="n"/>
      <c r="B103" s="57" t="n"/>
      <c r="C103" s="57" t="n"/>
      <c r="D103" s="57" t="n"/>
      <c r="E103" s="57" t="n"/>
      <c r="F103" s="57" t="n"/>
      <c r="G103" s="57" t="n"/>
      <c r="H103" s="57" t="n"/>
    </row>
    <row r="104" ht="15.75" customHeight="1" s="94">
      <c r="A104" s="57" t="n"/>
      <c r="B104" s="57" t="n"/>
      <c r="C104" s="57" t="n"/>
      <c r="D104" s="57" t="n"/>
      <c r="E104" s="57" t="n"/>
      <c r="F104" s="57" t="n"/>
      <c r="G104" s="57" t="n"/>
      <c r="H104" s="57" t="n"/>
    </row>
    <row r="105" ht="15.75" customHeight="1" s="94">
      <c r="A105" s="57" t="n"/>
      <c r="B105" s="57" t="n"/>
      <c r="C105" s="57" t="n"/>
      <c r="D105" s="57" t="n"/>
      <c r="E105" s="57" t="n"/>
      <c r="F105" s="57" t="n"/>
      <c r="G105" s="57" t="n"/>
      <c r="H105" s="57" t="n"/>
    </row>
    <row r="106" ht="15.75" customHeight="1" s="94">
      <c r="A106" s="57" t="n"/>
      <c r="B106" s="57" t="n"/>
      <c r="C106" s="57" t="n"/>
      <c r="D106" s="57" t="n"/>
      <c r="E106" s="57" t="n"/>
      <c r="F106" s="57" t="n"/>
      <c r="G106" s="57" t="n"/>
      <c r="H106" s="57" t="n"/>
    </row>
    <row r="107" ht="15.75" customHeight="1" s="94">
      <c r="A107" s="57" t="n"/>
      <c r="B107" s="57" t="n"/>
      <c r="C107" s="57" t="n"/>
      <c r="D107" s="57" t="n"/>
      <c r="E107" s="57" t="n"/>
      <c r="F107" s="57" t="n"/>
      <c r="G107" s="57" t="n"/>
      <c r="H107" s="57" t="n"/>
    </row>
    <row r="108" ht="15.75" customHeight="1" s="94">
      <c r="A108" s="57" t="n"/>
      <c r="B108" s="57" t="n"/>
      <c r="C108" s="57" t="n"/>
      <c r="D108" s="57" t="n"/>
      <c r="E108" s="57" t="n"/>
      <c r="F108" s="57" t="n"/>
      <c r="G108" s="57" t="n"/>
      <c r="H108" s="57" t="n"/>
    </row>
    <row r="109" ht="15.75" customHeight="1" s="94">
      <c r="A109" s="57" t="n"/>
      <c r="B109" s="57" t="n"/>
      <c r="C109" s="57" t="n"/>
      <c r="D109" s="57" t="n"/>
      <c r="E109" s="57" t="n"/>
      <c r="F109" s="57" t="n"/>
      <c r="G109" s="57" t="n"/>
      <c r="H109" s="57" t="n"/>
    </row>
    <row r="110" ht="15.75" customHeight="1" s="94">
      <c r="A110" s="57" t="n"/>
      <c r="B110" s="57" t="n"/>
      <c r="C110" s="57" t="n"/>
      <c r="D110" s="57" t="n"/>
      <c r="E110" s="57" t="n"/>
      <c r="F110" s="57" t="n"/>
      <c r="G110" s="57" t="n"/>
      <c r="H110" s="57" t="n"/>
    </row>
    <row r="111" ht="15.75" customHeight="1" s="94">
      <c r="A111" s="57" t="n"/>
      <c r="B111" s="57" t="n"/>
      <c r="C111" s="57" t="n"/>
      <c r="D111" s="57" t="n"/>
      <c r="E111" s="57" t="n"/>
      <c r="F111" s="57" t="n"/>
      <c r="G111" s="57" t="n"/>
      <c r="H111" s="57" t="n"/>
    </row>
    <row r="112" ht="15.75" customHeight="1" s="94">
      <c r="A112" s="57" t="n"/>
      <c r="B112" s="57" t="n"/>
      <c r="C112" s="57" t="n"/>
      <c r="D112" s="57" t="n"/>
      <c r="E112" s="57" t="n"/>
      <c r="F112" s="57" t="n"/>
      <c r="G112" s="57" t="n"/>
      <c r="H112" s="57" t="n"/>
    </row>
    <row r="113" ht="15.75" customHeight="1" s="94">
      <c r="A113" s="57" t="n"/>
      <c r="B113" s="57" t="n"/>
      <c r="C113" s="57" t="n"/>
      <c r="D113" s="57" t="n"/>
      <c r="E113" s="57" t="n"/>
      <c r="F113" s="57" t="n"/>
      <c r="G113" s="57" t="n"/>
      <c r="H113" s="57" t="n"/>
    </row>
    <row r="114" ht="15.75" customHeight="1" s="94">
      <c r="A114" s="57" t="n"/>
      <c r="B114" s="57" t="n"/>
      <c r="C114" s="57" t="n"/>
      <c r="D114" s="57" t="n"/>
      <c r="E114" s="57" t="n"/>
      <c r="F114" s="57" t="n"/>
      <c r="G114" s="57" t="n"/>
      <c r="H114" s="57" t="n"/>
    </row>
    <row r="115" ht="15.75" customHeight="1" s="94">
      <c r="A115" s="57" t="n"/>
      <c r="B115" s="57" t="n"/>
      <c r="C115" s="57" t="n"/>
      <c r="D115" s="57" t="n"/>
      <c r="E115" s="57" t="n"/>
      <c r="F115" s="57" t="n"/>
      <c r="G115" s="57" t="n"/>
      <c r="H115" s="57" t="n"/>
    </row>
    <row r="116" ht="15.75" customHeight="1" s="94">
      <c r="A116" s="57" t="n"/>
      <c r="B116" s="57" t="n"/>
      <c r="C116" s="57" t="n"/>
      <c r="D116" s="57" t="n"/>
      <c r="E116" s="57" t="n"/>
      <c r="F116" s="57" t="n"/>
      <c r="G116" s="57" t="n"/>
      <c r="H116" s="57" t="n"/>
    </row>
    <row r="117" ht="15.75" customHeight="1" s="94">
      <c r="A117" s="57" t="n"/>
      <c r="B117" s="57" t="n"/>
      <c r="C117" s="57" t="n"/>
      <c r="D117" s="57" t="n"/>
      <c r="E117" s="57" t="n"/>
      <c r="F117" s="57" t="n"/>
      <c r="G117" s="57" t="n"/>
      <c r="H117" s="57" t="n"/>
    </row>
    <row r="118" ht="15.75" customHeight="1" s="94">
      <c r="A118" s="57" t="n"/>
      <c r="B118" s="57" t="n"/>
      <c r="C118" s="57" t="n"/>
      <c r="D118" s="57" t="n"/>
      <c r="E118" s="57" t="n"/>
      <c r="F118" s="57" t="n"/>
      <c r="G118" s="57" t="n"/>
      <c r="H118" s="57" t="n"/>
    </row>
    <row r="119" ht="15.75" customHeight="1" s="94">
      <c r="A119" s="57" t="n"/>
      <c r="B119" s="57" t="n"/>
      <c r="C119" s="57" t="n"/>
      <c r="D119" s="57" t="n"/>
      <c r="E119" s="57" t="n"/>
      <c r="F119" s="57" t="n"/>
      <c r="G119" s="57" t="n"/>
      <c r="H119" s="57" t="n"/>
    </row>
    <row r="120" ht="15.75" customHeight="1" s="94">
      <c r="A120" s="57" t="n"/>
      <c r="B120" s="57" t="n"/>
      <c r="C120" s="57" t="n"/>
      <c r="D120" s="57" t="n"/>
      <c r="E120" s="57" t="n"/>
      <c r="F120" s="57" t="n"/>
      <c r="G120" s="57" t="n"/>
      <c r="H120" s="57" t="n"/>
    </row>
    <row r="121" ht="15.75" customHeight="1" s="94">
      <c r="A121" s="57" t="n"/>
      <c r="B121" s="57" t="n"/>
      <c r="C121" s="57" t="n"/>
      <c r="D121" s="57" t="n"/>
      <c r="E121" s="57" t="n"/>
      <c r="F121" s="57" t="n"/>
      <c r="G121" s="57" t="n"/>
      <c r="H121" s="57" t="n"/>
    </row>
    <row r="122" ht="15.75" customHeight="1" s="94">
      <c r="A122" s="57" t="n"/>
      <c r="B122" s="57" t="n"/>
      <c r="C122" s="57" t="n"/>
      <c r="D122" s="57" t="n"/>
      <c r="E122" s="57" t="n"/>
      <c r="F122" s="57" t="n"/>
      <c r="G122" s="57" t="n"/>
      <c r="H122" s="57" t="n"/>
    </row>
    <row r="123" ht="15.75" customHeight="1" s="94">
      <c r="A123" s="57" t="n"/>
      <c r="B123" s="57" t="n"/>
      <c r="C123" s="57" t="n"/>
      <c r="D123" s="57" t="n"/>
      <c r="E123" s="57" t="n"/>
      <c r="F123" s="57" t="n"/>
      <c r="G123" s="57" t="n"/>
      <c r="H123" s="57" t="n"/>
    </row>
    <row r="124" ht="15.75" customHeight="1" s="94">
      <c r="A124" s="57" t="n"/>
      <c r="B124" s="57" t="n"/>
      <c r="C124" s="57" t="n"/>
      <c r="D124" s="57" t="n"/>
      <c r="E124" s="57" t="n"/>
      <c r="F124" s="57" t="n"/>
      <c r="G124" s="57" t="n"/>
      <c r="H124" s="57" t="n"/>
    </row>
    <row r="125" ht="15.75" customHeight="1" s="94">
      <c r="A125" s="57" t="n"/>
      <c r="B125" s="57" t="n"/>
      <c r="C125" s="57" t="n"/>
      <c r="D125" s="57" t="n"/>
      <c r="E125" s="57" t="n"/>
      <c r="F125" s="57" t="n"/>
      <c r="G125" s="57" t="n"/>
      <c r="H125" s="57" t="n"/>
    </row>
    <row r="126" ht="15.75" customHeight="1" s="94">
      <c r="A126" s="57" t="n"/>
      <c r="B126" s="57" t="n"/>
      <c r="C126" s="57" t="n"/>
      <c r="D126" s="57" t="n"/>
      <c r="E126" s="57" t="n"/>
      <c r="F126" s="57" t="n"/>
      <c r="G126" s="57" t="n"/>
      <c r="H126" s="57" t="n"/>
    </row>
    <row r="127" ht="15.75" customHeight="1" s="94">
      <c r="A127" s="57" t="n"/>
      <c r="B127" s="57" t="n"/>
      <c r="C127" s="57" t="n"/>
      <c r="D127" s="57" t="n"/>
      <c r="E127" s="57" t="n"/>
      <c r="F127" s="57" t="n"/>
      <c r="G127" s="57" t="n"/>
      <c r="H127" s="57" t="n"/>
    </row>
    <row r="128" ht="15.75" customHeight="1" s="94">
      <c r="A128" s="57" t="n"/>
      <c r="B128" s="57" t="n"/>
      <c r="C128" s="57" t="n"/>
      <c r="D128" s="57" t="n"/>
      <c r="E128" s="57" t="n"/>
      <c r="F128" s="57" t="n"/>
      <c r="G128" s="57" t="n"/>
      <c r="H128" s="57" t="n"/>
    </row>
    <row r="129" ht="15.75" customHeight="1" s="94">
      <c r="A129" s="57" t="n"/>
      <c r="B129" s="57" t="n"/>
      <c r="C129" s="57" t="n"/>
      <c r="D129" s="57" t="n"/>
      <c r="E129" s="57" t="n"/>
      <c r="F129" s="57" t="n"/>
      <c r="G129" s="57" t="n"/>
      <c r="H129" s="57" t="n"/>
    </row>
    <row r="130" ht="15.75" customHeight="1" s="94">
      <c r="A130" s="57" t="n"/>
      <c r="B130" s="57" t="n"/>
      <c r="C130" s="57" t="n"/>
      <c r="D130" s="57" t="n"/>
      <c r="E130" s="57" t="n"/>
      <c r="F130" s="57" t="n"/>
      <c r="G130" s="57" t="n"/>
      <c r="H130" s="57" t="n"/>
    </row>
    <row r="131" ht="15.75" customHeight="1" s="94">
      <c r="A131" s="57" t="n"/>
      <c r="B131" s="57" t="n"/>
      <c r="C131" s="57" t="n"/>
      <c r="D131" s="57" t="n"/>
      <c r="E131" s="57" t="n"/>
      <c r="F131" s="57" t="n"/>
      <c r="G131" s="57" t="n"/>
      <c r="H131" s="57" t="n"/>
    </row>
    <row r="132" ht="15.75" customHeight="1" s="94">
      <c r="A132" s="57" t="n"/>
      <c r="B132" s="57" t="n"/>
      <c r="C132" s="57" t="n"/>
      <c r="D132" s="57" t="n"/>
      <c r="E132" s="57" t="n"/>
      <c r="F132" s="57" t="n"/>
      <c r="G132" s="57" t="n"/>
      <c r="H132" s="57" t="n"/>
    </row>
    <row r="133" ht="15.75" customHeight="1" s="94">
      <c r="A133" s="57" t="n"/>
      <c r="B133" s="57" t="n"/>
      <c r="C133" s="57" t="n"/>
      <c r="D133" s="57" t="n"/>
      <c r="E133" s="57" t="n"/>
      <c r="F133" s="57" t="n"/>
      <c r="G133" s="57" t="n"/>
      <c r="H133" s="57" t="n"/>
    </row>
    <row r="134" ht="15.75" customHeight="1" s="94">
      <c r="A134" s="57" t="n"/>
      <c r="B134" s="57" t="n"/>
      <c r="C134" s="57" t="n"/>
      <c r="D134" s="57" t="n"/>
      <c r="E134" s="57" t="n"/>
      <c r="F134" s="57" t="n"/>
      <c r="G134" s="57" t="n"/>
      <c r="H134" s="57" t="n"/>
    </row>
    <row r="135" ht="15.75" customHeight="1" s="94">
      <c r="A135" s="57" t="n"/>
      <c r="B135" s="57" t="n"/>
      <c r="C135" s="57" t="n"/>
      <c r="D135" s="57" t="n"/>
      <c r="E135" s="57" t="n"/>
      <c r="F135" s="57" t="n"/>
      <c r="G135" s="57" t="n"/>
      <c r="H135" s="57" t="n"/>
    </row>
    <row r="136" ht="15.75" customHeight="1" s="94">
      <c r="A136" s="57" t="n"/>
      <c r="B136" s="57" t="n"/>
      <c r="C136" s="57" t="n"/>
      <c r="D136" s="57" t="n"/>
      <c r="E136" s="57" t="n"/>
      <c r="F136" s="57" t="n"/>
      <c r="G136" s="57" t="n"/>
      <c r="H136" s="57" t="n"/>
    </row>
    <row r="137" ht="15.75" customHeight="1" s="94">
      <c r="A137" s="57" t="n"/>
      <c r="B137" s="57" t="n"/>
      <c r="C137" s="57" t="n"/>
      <c r="D137" s="57" t="n"/>
      <c r="E137" s="57" t="n"/>
      <c r="F137" s="57" t="n"/>
      <c r="G137" s="57" t="n"/>
      <c r="H137" s="57" t="n"/>
    </row>
    <row r="138" ht="15.75" customHeight="1" s="94">
      <c r="A138" s="57" t="n"/>
      <c r="B138" s="57" t="n"/>
      <c r="C138" s="57" t="n"/>
      <c r="D138" s="57" t="n"/>
      <c r="E138" s="57" t="n"/>
      <c r="F138" s="57" t="n"/>
      <c r="G138" s="57" t="n"/>
      <c r="H138" s="57" t="n"/>
    </row>
    <row r="139" ht="15.75" customHeight="1" s="94">
      <c r="A139" s="57" t="n"/>
      <c r="B139" s="57" t="n"/>
      <c r="C139" s="57" t="n"/>
      <c r="D139" s="57" t="n"/>
      <c r="E139" s="57" t="n"/>
      <c r="F139" s="57" t="n"/>
      <c r="G139" s="57" t="n"/>
      <c r="H139" s="57" t="n"/>
    </row>
    <row r="140" ht="15.75" customHeight="1" s="94">
      <c r="A140" s="57" t="n"/>
      <c r="B140" s="57" t="n"/>
      <c r="C140" s="57" t="n"/>
      <c r="D140" s="57" t="n"/>
      <c r="E140" s="57" t="n"/>
      <c r="F140" s="57" t="n"/>
      <c r="G140" s="57" t="n"/>
      <c r="H140" s="57" t="n"/>
    </row>
    <row r="141" ht="15.75" customHeight="1" s="94">
      <c r="A141" s="57" t="n"/>
      <c r="B141" s="57" t="n"/>
      <c r="C141" s="57" t="n"/>
      <c r="D141" s="57" t="n"/>
      <c r="E141" s="57" t="n"/>
      <c r="F141" s="57" t="n"/>
      <c r="G141" s="57" t="n"/>
      <c r="H141" s="57" t="n"/>
    </row>
    <row r="142" ht="15.75" customHeight="1" s="94">
      <c r="A142" s="57" t="n"/>
      <c r="B142" s="57" t="n"/>
      <c r="C142" s="57" t="n"/>
      <c r="D142" s="57" t="n"/>
      <c r="E142" s="57" t="n"/>
      <c r="F142" s="57" t="n"/>
      <c r="G142" s="57" t="n"/>
      <c r="H142" s="57" t="n"/>
    </row>
    <row r="143" ht="15.75" customHeight="1" s="94">
      <c r="A143" s="57" t="n"/>
      <c r="B143" s="57" t="n"/>
      <c r="C143" s="57" t="n"/>
      <c r="D143" s="57" t="n"/>
      <c r="E143" s="57" t="n"/>
      <c r="F143" s="57" t="n"/>
      <c r="G143" s="57" t="n"/>
      <c r="H143" s="57" t="n"/>
    </row>
    <row r="144" ht="15.75" customHeight="1" s="94">
      <c r="A144" s="57" t="n"/>
      <c r="B144" s="57" t="n"/>
      <c r="C144" s="57" t="n"/>
      <c r="D144" s="57" t="n"/>
      <c r="E144" s="57" t="n"/>
      <c r="F144" s="57" t="n"/>
      <c r="G144" s="57" t="n"/>
      <c r="H144" s="57" t="n"/>
    </row>
    <row r="145" ht="15.75" customHeight="1" s="94">
      <c r="A145" s="57" t="n"/>
      <c r="B145" s="57" t="n"/>
      <c r="C145" s="57" t="n"/>
      <c r="D145" s="57" t="n"/>
      <c r="E145" s="57" t="n"/>
      <c r="F145" s="57" t="n"/>
      <c r="G145" s="57" t="n"/>
      <c r="H145" s="57" t="n"/>
    </row>
    <row r="146" ht="15.75" customHeight="1" s="94">
      <c r="A146" s="57" t="n"/>
      <c r="B146" s="57" t="n"/>
      <c r="C146" s="57" t="n"/>
      <c r="D146" s="57" t="n"/>
      <c r="E146" s="57" t="n"/>
      <c r="F146" s="57" t="n"/>
      <c r="G146" s="57" t="n"/>
      <c r="H146" s="57" t="n"/>
    </row>
    <row r="147" ht="15.75" customHeight="1" s="94">
      <c r="A147" s="57" t="n"/>
      <c r="B147" s="57" t="n"/>
      <c r="C147" s="57" t="n"/>
      <c r="D147" s="57" t="n"/>
      <c r="E147" s="57" t="n"/>
      <c r="F147" s="57" t="n"/>
      <c r="G147" s="57" t="n"/>
      <c r="H147" s="57" t="n"/>
    </row>
    <row r="148" ht="15.75" customHeight="1" s="94">
      <c r="A148" s="57" t="n"/>
      <c r="B148" s="57" t="n"/>
      <c r="C148" s="57" t="n"/>
      <c r="D148" s="57" t="n"/>
      <c r="E148" s="57" t="n"/>
      <c r="F148" s="57" t="n"/>
      <c r="G148" s="57" t="n"/>
      <c r="H148" s="57" t="n"/>
    </row>
    <row r="149" ht="15.75" customHeight="1" s="94">
      <c r="A149" s="57" t="n"/>
      <c r="B149" s="57" t="n"/>
      <c r="C149" s="57" t="n"/>
      <c r="D149" s="57" t="n"/>
      <c r="E149" s="57" t="n"/>
      <c r="F149" s="57" t="n"/>
      <c r="G149" s="57" t="n"/>
      <c r="H149" s="57" t="n"/>
    </row>
    <row r="150" ht="15.75" customHeight="1" s="94">
      <c r="A150" s="57" t="n"/>
      <c r="B150" s="57" t="n"/>
      <c r="C150" s="57" t="n"/>
      <c r="D150" s="57" t="n"/>
      <c r="E150" s="57" t="n"/>
      <c r="F150" s="57" t="n"/>
      <c r="G150" s="57" t="n"/>
      <c r="H150" s="57" t="n"/>
    </row>
    <row r="151" ht="15.75" customHeight="1" s="94">
      <c r="A151" s="57" t="n"/>
      <c r="B151" s="57" t="n"/>
      <c r="C151" s="57" t="n"/>
      <c r="D151" s="57" t="n"/>
      <c r="E151" s="57" t="n"/>
      <c r="F151" s="57" t="n"/>
      <c r="G151" s="57" t="n"/>
      <c r="H151" s="57" t="n"/>
    </row>
    <row r="152" ht="15.75" customHeight="1" s="94">
      <c r="A152" s="57" t="n"/>
      <c r="B152" s="57" t="n"/>
      <c r="C152" s="57" t="n"/>
      <c r="D152" s="57" t="n"/>
      <c r="E152" s="57" t="n"/>
      <c r="F152" s="57" t="n"/>
      <c r="G152" s="57" t="n"/>
      <c r="H152" s="57" t="n"/>
    </row>
    <row r="153" ht="15.75" customHeight="1" s="94">
      <c r="A153" s="57" t="n"/>
      <c r="B153" s="57" t="n"/>
      <c r="C153" s="57" t="n"/>
      <c r="D153" s="57" t="n"/>
      <c r="E153" s="57" t="n"/>
      <c r="F153" s="57" t="n"/>
      <c r="G153" s="57" t="n"/>
      <c r="H153" s="57" t="n"/>
    </row>
    <row r="154" ht="15.75" customHeight="1" s="94">
      <c r="A154" s="57" t="n"/>
      <c r="B154" s="57" t="n"/>
      <c r="C154" s="57" t="n"/>
      <c r="D154" s="57" t="n"/>
      <c r="E154" s="57" t="n"/>
      <c r="F154" s="57" t="n"/>
      <c r="G154" s="57" t="n"/>
      <c r="H154" s="57" t="n"/>
    </row>
    <row r="155" ht="15.75" customHeight="1" s="94">
      <c r="A155" s="57" t="n"/>
      <c r="B155" s="57" t="n"/>
      <c r="C155" s="57" t="n"/>
      <c r="D155" s="57" t="n"/>
      <c r="E155" s="57" t="n"/>
      <c r="F155" s="57" t="n"/>
      <c r="G155" s="57" t="n"/>
      <c r="H155" s="57" t="n"/>
    </row>
    <row r="156" ht="15.75" customHeight="1" s="94">
      <c r="A156" s="57" t="n"/>
      <c r="B156" s="57" t="n"/>
      <c r="C156" s="57" t="n"/>
      <c r="D156" s="57" t="n"/>
      <c r="E156" s="57" t="n"/>
      <c r="F156" s="57" t="n"/>
      <c r="G156" s="57" t="n"/>
      <c r="H156" s="57" t="n"/>
    </row>
    <row r="157" ht="15.75" customHeight="1" s="94">
      <c r="A157" s="57" t="n"/>
      <c r="B157" s="57" t="n"/>
      <c r="C157" s="57" t="n"/>
      <c r="D157" s="57" t="n"/>
      <c r="E157" s="57" t="n"/>
      <c r="F157" s="57" t="n"/>
      <c r="G157" s="57" t="n"/>
      <c r="H157" s="57" t="n"/>
    </row>
    <row r="158" ht="15.75" customHeight="1" s="94">
      <c r="A158" s="57" t="n"/>
      <c r="B158" s="57" t="n"/>
      <c r="C158" s="57" t="n"/>
      <c r="D158" s="57" t="n"/>
      <c r="E158" s="57" t="n"/>
      <c r="F158" s="57" t="n"/>
      <c r="G158" s="57" t="n"/>
      <c r="H158" s="57" t="n"/>
    </row>
    <row r="159" ht="15.75" customHeight="1" s="94">
      <c r="A159" s="57" t="n"/>
      <c r="B159" s="57" t="n"/>
      <c r="C159" s="57" t="n"/>
      <c r="D159" s="57" t="n"/>
      <c r="E159" s="57" t="n"/>
      <c r="F159" s="57" t="n"/>
      <c r="G159" s="57" t="n"/>
      <c r="H159" s="57" t="n"/>
    </row>
    <row r="160" ht="15.75" customHeight="1" s="94">
      <c r="A160" s="57" t="n"/>
      <c r="B160" s="57" t="n"/>
      <c r="C160" s="57" t="n"/>
      <c r="D160" s="57" t="n"/>
      <c r="E160" s="57" t="n"/>
      <c r="F160" s="57" t="n"/>
      <c r="G160" s="57" t="n"/>
      <c r="H160" s="57" t="n"/>
    </row>
    <row r="161" ht="15.75" customHeight="1" s="94">
      <c r="A161" s="57" t="n"/>
      <c r="B161" s="57" t="n"/>
      <c r="C161" s="57" t="n"/>
      <c r="D161" s="57" t="n"/>
      <c r="E161" s="57" t="n"/>
      <c r="F161" s="57" t="n"/>
      <c r="G161" s="57" t="n"/>
      <c r="H161" s="57" t="n"/>
    </row>
    <row r="162" ht="15.75" customHeight="1" s="94">
      <c r="A162" s="57" t="n"/>
      <c r="B162" s="57" t="n"/>
      <c r="C162" s="57" t="n"/>
      <c r="D162" s="57" t="n"/>
      <c r="E162" s="57" t="n"/>
      <c r="F162" s="57" t="n"/>
      <c r="G162" s="57" t="n"/>
      <c r="H162" s="57" t="n"/>
    </row>
    <row r="163" ht="15.75" customHeight="1" s="94">
      <c r="A163" s="57" t="n"/>
      <c r="B163" s="57" t="n"/>
      <c r="C163" s="57" t="n"/>
      <c r="D163" s="57" t="n"/>
      <c r="E163" s="57" t="n"/>
      <c r="F163" s="57" t="n"/>
      <c r="G163" s="57" t="n"/>
      <c r="H163" s="57" t="n"/>
    </row>
    <row r="164" ht="15.75" customHeight="1" s="94">
      <c r="A164" s="57" t="n"/>
      <c r="B164" s="57" t="n"/>
      <c r="C164" s="57" t="n"/>
      <c r="D164" s="57" t="n"/>
      <c r="E164" s="57" t="n"/>
      <c r="F164" s="57" t="n"/>
      <c r="G164" s="57" t="n"/>
      <c r="H164" s="57" t="n"/>
    </row>
    <row r="165" ht="15.75" customHeight="1" s="94">
      <c r="A165" s="57" t="n"/>
      <c r="B165" s="57" t="n"/>
      <c r="C165" s="57" t="n"/>
      <c r="D165" s="57" t="n"/>
      <c r="E165" s="57" t="n"/>
      <c r="F165" s="57" t="n"/>
      <c r="G165" s="57" t="n"/>
      <c r="H165" s="57" t="n"/>
    </row>
    <row r="166" ht="15.75" customHeight="1" s="94">
      <c r="A166" s="57" t="n"/>
      <c r="B166" s="57" t="n"/>
      <c r="C166" s="57" t="n"/>
      <c r="D166" s="57" t="n"/>
      <c r="E166" s="57" t="n"/>
      <c r="F166" s="57" t="n"/>
      <c r="G166" s="57" t="n"/>
      <c r="H166" s="57" t="n"/>
    </row>
    <row r="167" ht="15.75" customHeight="1" s="94">
      <c r="A167" s="57" t="n"/>
      <c r="B167" s="57" t="n"/>
      <c r="C167" s="57" t="n"/>
      <c r="D167" s="57" t="n"/>
      <c r="E167" s="57" t="n"/>
      <c r="F167" s="57" t="n"/>
      <c r="G167" s="57" t="n"/>
      <c r="H167" s="57" t="n"/>
    </row>
    <row r="168" ht="15.75" customHeight="1" s="94">
      <c r="A168" s="57" t="n"/>
      <c r="B168" s="57" t="n"/>
      <c r="C168" s="57" t="n"/>
      <c r="D168" s="57" t="n"/>
      <c r="E168" s="57" t="n"/>
      <c r="F168" s="57" t="n"/>
      <c r="G168" s="57" t="n"/>
      <c r="H168" s="57" t="n"/>
    </row>
    <row r="169" ht="15.75" customHeight="1" s="94">
      <c r="A169" s="57" t="n"/>
      <c r="B169" s="57" t="n"/>
      <c r="C169" s="57" t="n"/>
      <c r="D169" s="57" t="n"/>
      <c r="E169" s="57" t="n"/>
      <c r="F169" s="57" t="n"/>
      <c r="G169" s="57" t="n"/>
      <c r="H169" s="57" t="n"/>
    </row>
    <row r="170" ht="15.75" customHeight="1" s="94">
      <c r="A170" s="57" t="n"/>
      <c r="B170" s="57" t="n"/>
      <c r="C170" s="57" t="n"/>
      <c r="D170" s="57" t="n"/>
      <c r="E170" s="57" t="n"/>
      <c r="F170" s="57" t="n"/>
      <c r="G170" s="57" t="n"/>
      <c r="H170" s="57" t="n"/>
    </row>
    <row r="171" ht="15.75" customHeight="1" s="94">
      <c r="A171" s="57" t="n"/>
      <c r="B171" s="57" t="n"/>
      <c r="C171" s="57" t="n"/>
      <c r="D171" s="57" t="n"/>
      <c r="E171" s="57" t="n"/>
      <c r="F171" s="57" t="n"/>
      <c r="G171" s="57" t="n"/>
      <c r="H171" s="57" t="n"/>
    </row>
    <row r="172" ht="15.75" customHeight="1" s="94">
      <c r="A172" s="57" t="n"/>
      <c r="B172" s="57" t="n"/>
      <c r="C172" s="57" t="n"/>
      <c r="D172" s="57" t="n"/>
      <c r="E172" s="57" t="n"/>
      <c r="F172" s="57" t="n"/>
      <c r="G172" s="57" t="n"/>
      <c r="H172" s="57" t="n"/>
    </row>
    <row r="173" ht="15.75" customHeight="1" s="94">
      <c r="A173" s="57" t="n"/>
      <c r="B173" s="57" t="n"/>
      <c r="C173" s="57" t="n"/>
      <c r="D173" s="57" t="n"/>
      <c r="E173" s="57" t="n"/>
      <c r="F173" s="57" t="n"/>
      <c r="G173" s="57" t="n"/>
      <c r="H173" s="57" t="n"/>
    </row>
    <row r="174" ht="15.75" customHeight="1" s="94">
      <c r="A174" s="57" t="n"/>
      <c r="B174" s="57" t="n"/>
      <c r="C174" s="57" t="n"/>
      <c r="D174" s="57" t="n"/>
      <c r="E174" s="57" t="n"/>
      <c r="F174" s="57" t="n"/>
      <c r="G174" s="57" t="n"/>
      <c r="H174" s="57" t="n"/>
    </row>
    <row r="175" ht="15.75" customHeight="1" s="94">
      <c r="A175" s="57" t="n"/>
      <c r="B175" s="57" t="n"/>
      <c r="C175" s="57" t="n"/>
      <c r="D175" s="57" t="n"/>
      <c r="E175" s="57" t="n"/>
      <c r="F175" s="57" t="n"/>
      <c r="G175" s="57" t="n"/>
      <c r="H175" s="57" t="n"/>
    </row>
    <row r="176" ht="15.75" customHeight="1" s="94">
      <c r="A176" s="57" t="n"/>
      <c r="B176" s="57" t="n"/>
      <c r="C176" s="57" t="n"/>
      <c r="D176" s="57" t="n"/>
      <c r="E176" s="57" t="n"/>
      <c r="F176" s="57" t="n"/>
      <c r="G176" s="57" t="n"/>
      <c r="H176" s="57" t="n"/>
    </row>
    <row r="177" ht="15.75" customHeight="1" s="94">
      <c r="A177" s="57" t="n"/>
      <c r="B177" s="57" t="n"/>
      <c r="C177" s="57" t="n"/>
      <c r="D177" s="57" t="n"/>
      <c r="E177" s="57" t="n"/>
      <c r="F177" s="57" t="n"/>
      <c r="G177" s="57" t="n"/>
      <c r="H177" s="57" t="n"/>
    </row>
    <row r="178" ht="15.75" customHeight="1" s="94">
      <c r="A178" s="57" t="n"/>
      <c r="B178" s="57" t="n"/>
      <c r="C178" s="57" t="n"/>
      <c r="D178" s="57" t="n"/>
      <c r="E178" s="57" t="n"/>
      <c r="F178" s="57" t="n"/>
      <c r="G178" s="57" t="n"/>
      <c r="H178" s="57" t="n"/>
    </row>
    <row r="179" ht="15.75" customHeight="1" s="94">
      <c r="A179" s="57" t="n"/>
      <c r="B179" s="57" t="n"/>
      <c r="C179" s="57" t="n"/>
      <c r="D179" s="57" t="n"/>
      <c r="E179" s="57" t="n"/>
      <c r="F179" s="57" t="n"/>
      <c r="G179" s="57" t="n"/>
      <c r="H179" s="57" t="n"/>
    </row>
    <row r="180" ht="15.75" customHeight="1" s="94">
      <c r="A180" s="57" t="n"/>
      <c r="B180" s="57" t="n"/>
      <c r="C180" s="57" t="n"/>
      <c r="D180" s="57" t="n"/>
      <c r="E180" s="57" t="n"/>
      <c r="F180" s="57" t="n"/>
      <c r="G180" s="57" t="n"/>
      <c r="H180" s="57" t="n"/>
    </row>
    <row r="181" ht="15.75" customHeight="1" s="94">
      <c r="A181" s="57" t="n"/>
      <c r="B181" s="57" t="n"/>
      <c r="C181" s="57" t="n"/>
      <c r="D181" s="57" t="n"/>
      <c r="E181" s="57" t="n"/>
      <c r="F181" s="57" t="n"/>
      <c r="G181" s="57" t="n"/>
      <c r="H181" s="57" t="n"/>
    </row>
    <row r="182" ht="15.75" customHeight="1" s="94">
      <c r="A182" s="57" t="n"/>
      <c r="B182" s="57" t="n"/>
      <c r="C182" s="57" t="n"/>
      <c r="D182" s="57" t="n"/>
      <c r="E182" s="57" t="n"/>
      <c r="F182" s="57" t="n"/>
      <c r="G182" s="57" t="n"/>
      <c r="H182" s="57" t="n"/>
    </row>
    <row r="183" ht="15.75" customHeight="1" s="94">
      <c r="A183" s="57" t="n"/>
      <c r="B183" s="57" t="n"/>
      <c r="C183" s="57" t="n"/>
      <c r="D183" s="57" t="n"/>
      <c r="E183" s="57" t="n"/>
      <c r="F183" s="57" t="n"/>
      <c r="G183" s="57" t="n"/>
      <c r="H183" s="57" t="n"/>
    </row>
    <row r="184" ht="15.75" customHeight="1" s="94">
      <c r="A184" s="57" t="n"/>
      <c r="B184" s="57" t="n"/>
      <c r="C184" s="57" t="n"/>
      <c r="D184" s="57" t="n"/>
      <c r="E184" s="57" t="n"/>
      <c r="F184" s="57" t="n"/>
      <c r="G184" s="57" t="n"/>
      <c r="H184" s="57" t="n"/>
    </row>
    <row r="185" ht="15.75" customHeight="1" s="94">
      <c r="A185" s="57" t="n"/>
      <c r="B185" s="57" t="n"/>
      <c r="C185" s="57" t="n"/>
      <c r="D185" s="57" t="n"/>
      <c r="E185" s="57" t="n"/>
      <c r="F185" s="57" t="n"/>
      <c r="G185" s="57" t="n"/>
      <c r="H185" s="57" t="n"/>
    </row>
    <row r="186" ht="15.75" customHeight="1" s="94">
      <c r="A186" s="57" t="n"/>
      <c r="B186" s="57" t="n"/>
      <c r="C186" s="57" t="n"/>
      <c r="D186" s="57" t="n"/>
      <c r="E186" s="57" t="n"/>
      <c r="F186" s="57" t="n"/>
      <c r="G186" s="57" t="n"/>
      <c r="H186" s="57" t="n"/>
    </row>
    <row r="187" ht="15.75" customHeight="1" s="94">
      <c r="A187" s="57" t="n"/>
      <c r="B187" s="57" t="n"/>
      <c r="C187" s="57" t="n"/>
      <c r="D187" s="57" t="n"/>
      <c r="E187" s="57" t="n"/>
      <c r="F187" s="57" t="n"/>
      <c r="G187" s="57" t="n"/>
      <c r="H187" s="57" t="n"/>
    </row>
    <row r="188" ht="15.75" customHeight="1" s="94">
      <c r="A188" s="57" t="n"/>
      <c r="B188" s="57" t="n"/>
      <c r="C188" s="57" t="n"/>
      <c r="D188" s="57" t="n"/>
      <c r="E188" s="57" t="n"/>
      <c r="F188" s="57" t="n"/>
      <c r="G188" s="57" t="n"/>
      <c r="H188" s="57" t="n"/>
    </row>
    <row r="189" ht="15.75" customHeight="1" s="94">
      <c r="A189" s="57" t="n"/>
      <c r="B189" s="57" t="n"/>
      <c r="C189" s="57" t="n"/>
      <c r="D189" s="57" t="n"/>
      <c r="E189" s="57" t="n"/>
      <c r="F189" s="57" t="n"/>
      <c r="G189" s="57" t="n"/>
      <c r="H189" s="57" t="n"/>
    </row>
    <row r="190" ht="15.75" customHeight="1" s="94">
      <c r="A190" s="57" t="n"/>
      <c r="B190" s="57" t="n"/>
      <c r="C190" s="57" t="n"/>
      <c r="D190" s="57" t="n"/>
      <c r="E190" s="57" t="n"/>
      <c r="F190" s="57" t="n"/>
      <c r="G190" s="57" t="n"/>
      <c r="H190" s="57" t="n"/>
    </row>
    <row r="191" ht="15.75" customHeight="1" s="94">
      <c r="A191" s="57" t="n"/>
      <c r="B191" s="57" t="n"/>
      <c r="C191" s="57" t="n"/>
      <c r="D191" s="57" t="n"/>
      <c r="E191" s="57" t="n"/>
      <c r="F191" s="57" t="n"/>
      <c r="G191" s="57" t="n"/>
      <c r="H191" s="57" t="n"/>
    </row>
    <row r="192" ht="15.75" customHeight="1" s="94">
      <c r="A192" s="57" t="n"/>
      <c r="B192" s="57" t="n"/>
      <c r="C192" s="57" t="n"/>
      <c r="D192" s="57" t="n"/>
      <c r="E192" s="57" t="n"/>
      <c r="F192" s="57" t="n"/>
      <c r="G192" s="57" t="n"/>
      <c r="H192" s="57" t="n"/>
    </row>
    <row r="193" ht="15.75" customHeight="1" s="94">
      <c r="A193" s="57" t="n"/>
      <c r="B193" s="57" t="n"/>
      <c r="C193" s="57" t="n"/>
      <c r="D193" s="57" t="n"/>
      <c r="E193" s="57" t="n"/>
      <c r="F193" s="57" t="n"/>
      <c r="G193" s="57" t="n"/>
      <c r="H193" s="57" t="n"/>
    </row>
    <row r="194" ht="15.75" customHeight="1" s="94">
      <c r="A194" s="57" t="n"/>
      <c r="B194" s="57" t="n"/>
      <c r="C194" s="57" t="n"/>
      <c r="D194" s="57" t="n"/>
      <c r="E194" s="57" t="n"/>
      <c r="F194" s="57" t="n"/>
      <c r="G194" s="57" t="n"/>
      <c r="H194" s="57" t="n"/>
    </row>
    <row r="195" ht="15.75" customHeight="1" s="94">
      <c r="A195" s="57" t="n"/>
      <c r="B195" s="57" t="n"/>
      <c r="C195" s="57" t="n"/>
      <c r="D195" s="57" t="n"/>
      <c r="E195" s="57" t="n"/>
      <c r="F195" s="57" t="n"/>
      <c r="G195" s="57" t="n"/>
      <c r="H195" s="57" t="n"/>
    </row>
    <row r="196" ht="15.75" customHeight="1" s="94">
      <c r="A196" s="57" t="n"/>
      <c r="B196" s="57" t="n"/>
      <c r="C196" s="57" t="n"/>
      <c r="D196" s="57" t="n"/>
      <c r="E196" s="57" t="n"/>
      <c r="F196" s="57" t="n"/>
      <c r="G196" s="57" t="n"/>
      <c r="H196" s="57" t="n"/>
    </row>
    <row r="197" ht="15.75" customHeight="1" s="94">
      <c r="A197" s="57" t="n"/>
      <c r="B197" s="57" t="n"/>
      <c r="C197" s="57" t="n"/>
      <c r="D197" s="57" t="n"/>
      <c r="E197" s="57" t="n"/>
      <c r="F197" s="57" t="n"/>
      <c r="G197" s="57" t="n"/>
      <c r="H197" s="57" t="n"/>
    </row>
    <row r="198" ht="15.75" customHeight="1" s="94">
      <c r="A198" s="57" t="n"/>
      <c r="B198" s="57" t="n"/>
      <c r="C198" s="57" t="n"/>
      <c r="D198" s="57" t="n"/>
      <c r="E198" s="57" t="n"/>
      <c r="F198" s="57" t="n"/>
      <c r="G198" s="57" t="n"/>
      <c r="H198" s="57" t="n"/>
    </row>
    <row r="199" ht="15.75" customHeight="1" s="94">
      <c r="A199" s="57" t="n"/>
      <c r="B199" s="57" t="n"/>
      <c r="C199" s="57" t="n"/>
      <c r="D199" s="57" t="n"/>
      <c r="E199" s="57" t="n"/>
      <c r="F199" s="57" t="n"/>
      <c r="G199" s="57" t="n"/>
      <c r="H199" s="57" t="n"/>
    </row>
    <row r="200" ht="15.75" customHeight="1" s="94">
      <c r="A200" s="57" t="n"/>
      <c r="B200" s="57" t="n"/>
      <c r="C200" s="57" t="n"/>
      <c r="D200" s="57" t="n"/>
      <c r="E200" s="57" t="n"/>
      <c r="F200" s="57" t="n"/>
      <c r="G200" s="57" t="n"/>
      <c r="H200" s="57" t="n"/>
    </row>
    <row r="201" ht="15.75" customHeight="1" s="94">
      <c r="A201" s="57" t="n"/>
      <c r="B201" s="57" t="n"/>
      <c r="C201" s="57" t="n"/>
      <c r="D201" s="57" t="n"/>
      <c r="E201" s="57" t="n"/>
      <c r="F201" s="57" t="n"/>
      <c r="G201" s="57" t="n"/>
      <c r="H201" s="57" t="n"/>
    </row>
    <row r="202" ht="15.75" customHeight="1" s="94">
      <c r="A202" s="57" t="n"/>
      <c r="B202" s="57" t="n"/>
      <c r="C202" s="57" t="n"/>
      <c r="D202" s="57" t="n"/>
      <c r="E202" s="57" t="n"/>
      <c r="F202" s="57" t="n"/>
      <c r="G202" s="57" t="n"/>
      <c r="H202" s="57" t="n"/>
    </row>
    <row r="203" ht="15.75" customHeight="1" s="94">
      <c r="A203" s="57" t="n"/>
      <c r="B203" s="57" t="n"/>
      <c r="C203" s="57" t="n"/>
      <c r="D203" s="57" t="n"/>
      <c r="E203" s="57" t="n"/>
      <c r="F203" s="57" t="n"/>
      <c r="G203" s="57" t="n"/>
      <c r="H203" s="57" t="n"/>
    </row>
    <row r="204" ht="15.75" customHeight="1" s="94">
      <c r="A204" s="57" t="n"/>
      <c r="B204" s="57" t="n"/>
      <c r="C204" s="57" t="n"/>
      <c r="D204" s="57" t="n"/>
      <c r="E204" s="57" t="n"/>
      <c r="F204" s="57" t="n"/>
      <c r="G204" s="57" t="n"/>
      <c r="H204" s="57" t="n"/>
    </row>
    <row r="205" ht="15.75" customHeight="1" s="94">
      <c r="A205" s="57" t="n"/>
      <c r="B205" s="57" t="n"/>
      <c r="C205" s="57" t="n"/>
      <c r="D205" s="57" t="n"/>
      <c r="E205" s="57" t="n"/>
      <c r="F205" s="57" t="n"/>
      <c r="G205" s="57" t="n"/>
      <c r="H205" s="57" t="n"/>
    </row>
    <row r="206" ht="15.75" customHeight="1" s="94">
      <c r="A206" s="57" t="n"/>
      <c r="B206" s="57" t="n"/>
      <c r="C206" s="57" t="n"/>
      <c r="D206" s="57" t="n"/>
      <c r="E206" s="57" t="n"/>
      <c r="F206" s="57" t="n"/>
      <c r="G206" s="57" t="n"/>
      <c r="H206" s="57" t="n"/>
    </row>
    <row r="207" ht="15.75" customHeight="1" s="94">
      <c r="A207" s="57" t="n"/>
      <c r="B207" s="57" t="n"/>
      <c r="C207" s="57" t="n"/>
      <c r="D207" s="57" t="n"/>
      <c r="E207" s="57" t="n"/>
      <c r="F207" s="57" t="n"/>
      <c r="G207" s="57" t="n"/>
      <c r="H207" s="57" t="n"/>
    </row>
    <row r="208" ht="15.75" customHeight="1" s="94">
      <c r="A208" s="57" t="n"/>
      <c r="B208" s="57" t="n"/>
      <c r="C208" s="57" t="n"/>
      <c r="D208" s="57" t="n"/>
      <c r="E208" s="57" t="n"/>
      <c r="F208" s="57" t="n"/>
      <c r="G208" s="57" t="n"/>
      <c r="H208" s="57" t="n"/>
    </row>
    <row r="209" ht="15.75" customHeight="1" s="94">
      <c r="A209" s="57" t="n"/>
      <c r="B209" s="57" t="n"/>
      <c r="C209" s="57" t="n"/>
      <c r="D209" s="57" t="n"/>
      <c r="E209" s="57" t="n"/>
      <c r="F209" s="57" t="n"/>
      <c r="G209" s="57" t="n"/>
      <c r="H209" s="57" t="n"/>
    </row>
    <row r="210" ht="15.75" customHeight="1" s="94">
      <c r="A210" s="57" t="n"/>
      <c r="B210" s="57" t="n"/>
      <c r="C210" s="57" t="n"/>
      <c r="D210" s="57" t="n"/>
      <c r="E210" s="57" t="n"/>
      <c r="F210" s="57" t="n"/>
      <c r="G210" s="57" t="n"/>
      <c r="H210" s="57" t="n"/>
    </row>
    <row r="211" ht="15.75" customHeight="1" s="94">
      <c r="A211" s="57" t="n"/>
      <c r="B211" s="57" t="n"/>
      <c r="C211" s="57" t="n"/>
      <c r="D211" s="57" t="n"/>
      <c r="E211" s="57" t="n"/>
      <c r="F211" s="57" t="n"/>
      <c r="G211" s="57" t="n"/>
      <c r="H211" s="57" t="n"/>
    </row>
    <row r="212" ht="15.75" customHeight="1" s="94">
      <c r="A212" s="57" t="n"/>
      <c r="B212" s="57" t="n"/>
      <c r="C212" s="57" t="n"/>
      <c r="D212" s="57" t="n"/>
      <c r="E212" s="57" t="n"/>
      <c r="F212" s="57" t="n"/>
      <c r="G212" s="57" t="n"/>
      <c r="H212" s="57" t="n"/>
    </row>
    <row r="213" ht="15.75" customHeight="1" s="94">
      <c r="A213" s="57" t="n"/>
      <c r="B213" s="57" t="n"/>
      <c r="C213" s="57" t="n"/>
      <c r="D213" s="57" t="n"/>
      <c r="E213" s="57" t="n"/>
      <c r="F213" s="57" t="n"/>
      <c r="G213" s="57" t="n"/>
      <c r="H213" s="57" t="n"/>
    </row>
    <row r="214" ht="15.75" customHeight="1" s="94">
      <c r="A214" s="57" t="n"/>
      <c r="B214" s="57" t="n"/>
      <c r="C214" s="57" t="n"/>
      <c r="D214" s="57" t="n"/>
      <c r="E214" s="57" t="n"/>
      <c r="F214" s="57" t="n"/>
      <c r="G214" s="57" t="n"/>
      <c r="H214" s="57" t="n"/>
    </row>
    <row r="215" ht="15.75" customHeight="1" s="94">
      <c r="A215" s="57" t="n"/>
      <c r="B215" s="57" t="n"/>
      <c r="C215" s="57" t="n"/>
      <c r="D215" s="57" t="n"/>
      <c r="E215" s="57" t="n"/>
      <c r="F215" s="57" t="n"/>
      <c r="G215" s="57" t="n"/>
      <c r="H215" s="57" t="n"/>
    </row>
    <row r="216" ht="15.75" customHeight="1" s="94">
      <c r="A216" s="57" t="n"/>
      <c r="B216" s="57" t="n"/>
      <c r="C216" s="57" t="n"/>
      <c r="D216" s="57" t="n"/>
      <c r="E216" s="57" t="n"/>
      <c r="F216" s="57" t="n"/>
      <c r="G216" s="57" t="n"/>
      <c r="H216" s="57" t="n"/>
    </row>
    <row r="217" ht="15.75" customHeight="1" s="94">
      <c r="A217" s="57" t="n"/>
      <c r="B217" s="57" t="n"/>
      <c r="C217" s="57" t="n"/>
      <c r="D217" s="57" t="n"/>
      <c r="E217" s="57" t="n"/>
      <c r="F217" s="57" t="n"/>
      <c r="G217" s="57" t="n"/>
      <c r="H217" s="57" t="n"/>
    </row>
    <row r="218" ht="15.75" customHeight="1" s="94">
      <c r="A218" s="57" t="n"/>
      <c r="B218" s="57" t="n"/>
      <c r="C218" s="57" t="n"/>
      <c r="D218" s="57" t="n"/>
      <c r="E218" s="57" t="n"/>
      <c r="F218" s="57" t="n"/>
      <c r="G218" s="57" t="n"/>
      <c r="H218" s="57" t="n"/>
    </row>
    <row r="219" ht="15.75" customHeight="1" s="94">
      <c r="A219" s="57" t="n"/>
      <c r="B219" s="57" t="n"/>
      <c r="C219" s="57" t="n"/>
      <c r="D219" s="57" t="n"/>
      <c r="E219" s="57" t="n"/>
      <c r="F219" s="57" t="n"/>
      <c r="G219" s="57" t="n"/>
      <c r="H219" s="57" t="n"/>
    </row>
    <row r="220" ht="15.75" customHeight="1" s="94">
      <c r="A220" s="57" t="n"/>
      <c r="B220" s="57" t="n"/>
      <c r="C220" s="57" t="n"/>
      <c r="D220" s="57" t="n"/>
      <c r="E220" s="57" t="n"/>
      <c r="F220" s="57" t="n"/>
      <c r="G220" s="57" t="n"/>
      <c r="H220" s="57" t="n"/>
    </row>
    <row r="221" ht="15.75" customHeight="1" s="94">
      <c r="A221" s="57" t="n"/>
      <c r="B221" s="57" t="n"/>
      <c r="C221" s="57" t="n"/>
      <c r="D221" s="57" t="n"/>
      <c r="E221" s="57" t="n"/>
      <c r="F221" s="57" t="n"/>
      <c r="G221" s="57" t="n"/>
      <c r="H221" s="57" t="n"/>
    </row>
    <row r="222" ht="15.75" customHeight="1" s="94">
      <c r="A222" s="57" t="n"/>
      <c r="B222" s="57" t="n"/>
      <c r="C222" s="57" t="n"/>
      <c r="D222" s="57" t="n"/>
      <c r="E222" s="57" t="n"/>
      <c r="F222" s="57" t="n"/>
      <c r="G222" s="57" t="n"/>
      <c r="H222" s="57" t="n"/>
    </row>
    <row r="223" ht="15.75" customHeight="1" s="94">
      <c r="A223" s="57" t="n"/>
      <c r="B223" s="57" t="n"/>
      <c r="C223" s="57" t="n"/>
      <c r="D223" s="57" t="n"/>
      <c r="E223" s="57" t="n"/>
      <c r="F223" s="57" t="n"/>
      <c r="G223" s="57" t="n"/>
      <c r="H223" s="57" t="n"/>
    </row>
    <row r="224" ht="15.75" customHeight="1" s="94">
      <c r="A224" s="57" t="n"/>
      <c r="B224" s="57" t="n"/>
      <c r="C224" s="57" t="n"/>
      <c r="D224" s="57" t="n"/>
      <c r="E224" s="57" t="n"/>
      <c r="F224" s="57" t="n"/>
      <c r="G224" s="57" t="n"/>
      <c r="H224" s="57" t="n"/>
    </row>
    <row r="225" ht="15.75" customHeight="1" s="94">
      <c r="A225" s="57" t="n"/>
      <c r="B225" s="57" t="n"/>
      <c r="C225" s="57" t="n"/>
      <c r="D225" s="57" t="n"/>
      <c r="E225" s="57" t="n"/>
      <c r="F225" s="57" t="n"/>
      <c r="G225" s="57" t="n"/>
      <c r="H225" s="57" t="n"/>
    </row>
    <row r="226" ht="15.75" customHeight="1" s="94">
      <c r="A226" s="57" t="n"/>
      <c r="B226" s="57" t="n"/>
      <c r="C226" s="57" t="n"/>
      <c r="D226" s="57" t="n"/>
      <c r="E226" s="57" t="n"/>
      <c r="F226" s="57" t="n"/>
      <c r="G226" s="57" t="n"/>
      <c r="H226" s="57" t="n"/>
    </row>
    <row r="227" ht="15.75" customHeight="1" s="94">
      <c r="A227" s="57" t="n"/>
      <c r="B227" s="57" t="n"/>
      <c r="C227" s="57" t="n"/>
      <c r="D227" s="57" t="n"/>
      <c r="E227" s="57" t="n"/>
      <c r="F227" s="57" t="n"/>
      <c r="G227" s="57" t="n"/>
      <c r="H227" s="57" t="n"/>
    </row>
    <row r="228" ht="15.75" customHeight="1" s="94">
      <c r="A228" s="57" t="n"/>
      <c r="B228" s="57" t="n"/>
      <c r="C228" s="57" t="n"/>
      <c r="D228" s="57" t="n"/>
      <c r="E228" s="57" t="n"/>
      <c r="F228" s="57" t="n"/>
      <c r="G228" s="57" t="n"/>
      <c r="H228" s="57" t="n"/>
    </row>
    <row r="229" ht="15.75" customHeight="1" s="94">
      <c r="A229" s="57" t="n"/>
      <c r="B229" s="57" t="n"/>
      <c r="C229" s="57" t="n"/>
      <c r="D229" s="57" t="n"/>
      <c r="E229" s="57" t="n"/>
      <c r="F229" s="57" t="n"/>
      <c r="G229" s="57" t="n"/>
      <c r="H229" s="57" t="n"/>
    </row>
    <row r="230" ht="15.75" customHeight="1" s="94">
      <c r="A230" s="57" t="n"/>
      <c r="B230" s="57" t="n"/>
      <c r="C230" s="57" t="n"/>
      <c r="D230" s="57" t="n"/>
      <c r="E230" s="57" t="n"/>
      <c r="F230" s="57" t="n"/>
      <c r="G230" s="57" t="n"/>
      <c r="H230" s="57" t="n"/>
    </row>
    <row r="231" ht="15.75" customHeight="1" s="94">
      <c r="A231" s="57" t="n"/>
      <c r="B231" s="57" t="n"/>
      <c r="C231" s="57" t="n"/>
      <c r="D231" s="57" t="n"/>
      <c r="E231" s="57" t="n"/>
      <c r="F231" s="57" t="n"/>
      <c r="G231" s="57" t="n"/>
      <c r="H231" s="57" t="n"/>
    </row>
    <row r="232" ht="15.75" customHeight="1" s="94">
      <c r="A232" s="57" t="n"/>
      <c r="B232" s="57" t="n"/>
      <c r="C232" s="57" t="n"/>
      <c r="D232" s="57" t="n"/>
      <c r="E232" s="57" t="n"/>
      <c r="F232" s="57" t="n"/>
      <c r="G232" s="57" t="n"/>
      <c r="H232" s="57" t="n"/>
    </row>
    <row r="233" ht="15.75" customHeight="1" s="94">
      <c r="A233" s="57" t="n"/>
      <c r="B233" s="57" t="n"/>
      <c r="C233" s="57" t="n"/>
      <c r="D233" s="57" t="n"/>
      <c r="E233" s="57" t="n"/>
      <c r="F233" s="57" t="n"/>
      <c r="G233" s="57" t="n"/>
      <c r="H233" s="57" t="n"/>
    </row>
    <row r="234" ht="15.75" customHeight="1" s="94">
      <c r="A234" s="57" t="n"/>
      <c r="B234" s="57" t="n"/>
      <c r="C234" s="57" t="n"/>
      <c r="D234" s="57" t="n"/>
      <c r="E234" s="57" t="n"/>
      <c r="F234" s="57" t="n"/>
      <c r="G234" s="57" t="n"/>
      <c r="H234" s="57" t="n"/>
    </row>
    <row r="235" ht="15.75" customHeight="1" s="94">
      <c r="A235" s="57" t="n"/>
      <c r="B235" s="57" t="n"/>
      <c r="C235" s="57" t="n"/>
      <c r="D235" s="57" t="n"/>
      <c r="E235" s="57" t="n"/>
      <c r="F235" s="57" t="n"/>
      <c r="G235" s="57" t="n"/>
      <c r="H235" s="57" t="n"/>
    </row>
    <row r="236" ht="15.75" customHeight="1" s="94">
      <c r="A236" s="57" t="n"/>
      <c r="B236" s="57" t="n"/>
      <c r="C236" s="57" t="n"/>
      <c r="D236" s="57" t="n"/>
      <c r="E236" s="57" t="n"/>
      <c r="F236" s="57" t="n"/>
      <c r="G236" s="57" t="n"/>
      <c r="H236" s="57" t="n"/>
    </row>
    <row r="237" ht="15.75" customHeight="1" s="94">
      <c r="A237" s="57" t="n"/>
      <c r="B237" s="57" t="n"/>
      <c r="C237" s="57" t="n"/>
      <c r="D237" s="57" t="n"/>
      <c r="E237" s="57" t="n"/>
      <c r="F237" s="57" t="n"/>
      <c r="G237" s="57" t="n"/>
      <c r="H237" s="57" t="n"/>
    </row>
    <row r="238" ht="15.75" customHeight="1" s="94">
      <c r="A238" s="57" t="n"/>
      <c r="B238" s="57" t="n"/>
      <c r="C238" s="57" t="n"/>
      <c r="D238" s="57" t="n"/>
      <c r="E238" s="57" t="n"/>
      <c r="F238" s="57" t="n"/>
      <c r="G238" s="57" t="n"/>
      <c r="H238" s="57" t="n"/>
    </row>
    <row r="239" ht="15.75" customHeight="1" s="94">
      <c r="A239" s="57" t="n"/>
      <c r="B239" s="57" t="n"/>
      <c r="C239" s="57" t="n"/>
      <c r="D239" s="57" t="n"/>
      <c r="E239" s="57" t="n"/>
      <c r="F239" s="57" t="n"/>
      <c r="G239" s="57" t="n"/>
      <c r="H239" s="57" t="n"/>
    </row>
    <row r="240" ht="15.75" customHeight="1" s="94">
      <c r="A240" s="57" t="n"/>
      <c r="B240" s="57" t="n"/>
      <c r="C240" s="57" t="n"/>
      <c r="D240" s="57" t="n"/>
      <c r="E240" s="57" t="n"/>
      <c r="F240" s="57" t="n"/>
      <c r="G240" s="57" t="n"/>
      <c r="H240" s="57" t="n"/>
    </row>
    <row r="241" ht="15.75" customHeight="1" s="94">
      <c r="A241" s="57" t="n"/>
      <c r="B241" s="57" t="n"/>
      <c r="C241" s="57" t="n"/>
      <c r="D241" s="57" t="n"/>
      <c r="E241" s="57" t="n"/>
      <c r="F241" s="57" t="n"/>
      <c r="G241" s="57" t="n"/>
      <c r="H241" s="57" t="n"/>
    </row>
    <row r="242" ht="15.75" customHeight="1" s="94">
      <c r="A242" s="57" t="n"/>
      <c r="B242" s="57" t="n"/>
      <c r="C242" s="57" t="n"/>
      <c r="D242" s="57" t="n"/>
      <c r="E242" s="57" t="n"/>
      <c r="F242" s="57" t="n"/>
      <c r="G242" s="57" t="n"/>
      <c r="H242" s="57" t="n"/>
    </row>
    <row r="243" ht="15.75" customHeight="1" s="94">
      <c r="A243" s="57" t="n"/>
      <c r="B243" s="57" t="n"/>
      <c r="C243" s="57" t="n"/>
      <c r="D243" s="57" t="n"/>
      <c r="E243" s="57" t="n"/>
      <c r="F243" s="57" t="n"/>
      <c r="G243" s="57" t="n"/>
      <c r="H243" s="57" t="n"/>
    </row>
    <row r="244" ht="15.75" customHeight="1" s="94">
      <c r="A244" s="57" t="n"/>
      <c r="B244" s="57" t="n"/>
      <c r="C244" s="57" t="n"/>
      <c r="D244" s="57" t="n"/>
      <c r="E244" s="57" t="n"/>
      <c r="F244" s="57" t="n"/>
      <c r="G244" s="57" t="n"/>
      <c r="H244" s="57" t="n"/>
    </row>
    <row r="245" ht="15.75" customHeight="1" s="94">
      <c r="A245" s="57" t="n"/>
      <c r="B245" s="57" t="n"/>
      <c r="C245" s="57" t="n"/>
      <c r="D245" s="57" t="n"/>
      <c r="E245" s="57" t="n"/>
      <c r="F245" s="57" t="n"/>
      <c r="G245" s="57" t="n"/>
      <c r="H245" s="57" t="n"/>
    </row>
    <row r="246" ht="15.75" customHeight="1" s="94">
      <c r="A246" s="57" t="n"/>
      <c r="B246" s="57" t="n"/>
      <c r="C246" s="57" t="n"/>
      <c r="D246" s="57" t="n"/>
      <c r="E246" s="57" t="n"/>
      <c r="F246" s="57" t="n"/>
      <c r="G246" s="57" t="n"/>
      <c r="H246" s="57" t="n"/>
    </row>
    <row r="247" ht="15.75" customHeight="1" s="94">
      <c r="A247" s="57" t="n"/>
      <c r="B247" s="57" t="n"/>
      <c r="C247" s="57" t="n"/>
      <c r="D247" s="57" t="n"/>
      <c r="E247" s="57" t="n"/>
      <c r="F247" s="57" t="n"/>
      <c r="G247" s="57" t="n"/>
      <c r="H247" s="57" t="n"/>
    </row>
    <row r="248" ht="15.75" customHeight="1" s="94">
      <c r="A248" s="57" t="n"/>
      <c r="B248" s="57" t="n"/>
      <c r="C248" s="57" t="n"/>
      <c r="D248" s="57" t="n"/>
      <c r="E248" s="57" t="n"/>
      <c r="F248" s="57" t="n"/>
      <c r="G248" s="57" t="n"/>
      <c r="H248" s="57" t="n"/>
    </row>
    <row r="249" ht="15.75" customHeight="1" s="94">
      <c r="A249" s="57" t="n"/>
      <c r="B249" s="57" t="n"/>
      <c r="C249" s="57" t="n"/>
      <c r="D249" s="57" t="n"/>
      <c r="E249" s="57" t="n"/>
      <c r="F249" s="57" t="n"/>
      <c r="G249" s="57" t="n"/>
      <c r="H249" s="57" t="n"/>
    </row>
    <row r="250" ht="15.75" customHeight="1" s="94">
      <c r="A250" s="57" t="n"/>
      <c r="B250" s="57" t="n"/>
      <c r="C250" s="57" t="n"/>
      <c r="D250" s="57" t="n"/>
      <c r="E250" s="57" t="n"/>
      <c r="F250" s="57" t="n"/>
      <c r="G250" s="57" t="n"/>
      <c r="H250" s="57" t="n"/>
    </row>
    <row r="251" ht="15.75" customHeight="1" s="94">
      <c r="A251" s="57" t="n"/>
      <c r="B251" s="57" t="n"/>
      <c r="C251" s="57" t="n"/>
      <c r="D251" s="57" t="n"/>
      <c r="E251" s="57" t="n"/>
      <c r="F251" s="57" t="n"/>
      <c r="G251" s="57" t="n"/>
      <c r="H251" s="57" t="n"/>
    </row>
    <row r="252" ht="15.75" customHeight="1" s="94">
      <c r="A252" s="57" t="n"/>
      <c r="B252" s="57" t="n"/>
      <c r="C252" s="57" t="n"/>
      <c r="D252" s="57" t="n"/>
      <c r="E252" s="57" t="n"/>
      <c r="F252" s="57" t="n"/>
      <c r="G252" s="57" t="n"/>
      <c r="H252" s="57" t="n"/>
    </row>
    <row r="253" ht="15.75" customHeight="1" s="94">
      <c r="A253" s="57" t="n"/>
      <c r="B253" s="57" t="n"/>
      <c r="C253" s="57" t="n"/>
      <c r="D253" s="57" t="n"/>
      <c r="E253" s="57" t="n"/>
      <c r="F253" s="57" t="n"/>
      <c r="G253" s="57" t="n"/>
      <c r="H253" s="57" t="n"/>
    </row>
    <row r="254" ht="15.75" customHeight="1" s="94">
      <c r="A254" s="57" t="n"/>
      <c r="B254" s="57" t="n"/>
      <c r="C254" s="57" t="n"/>
      <c r="D254" s="57" t="n"/>
      <c r="E254" s="57" t="n"/>
      <c r="F254" s="57" t="n"/>
      <c r="G254" s="57" t="n"/>
      <c r="H254" s="57" t="n"/>
    </row>
    <row r="255" ht="15.75" customHeight="1" s="94">
      <c r="A255" s="57" t="n"/>
      <c r="B255" s="57" t="n"/>
      <c r="C255" s="57" t="n"/>
      <c r="D255" s="57" t="n"/>
      <c r="E255" s="57" t="n"/>
      <c r="F255" s="57" t="n"/>
      <c r="G255" s="57" t="n"/>
      <c r="H255" s="57" t="n"/>
    </row>
    <row r="256" ht="15.75" customHeight="1" s="94">
      <c r="A256" s="57" t="n"/>
      <c r="B256" s="57" t="n"/>
      <c r="C256" s="57" t="n"/>
      <c r="D256" s="57" t="n"/>
      <c r="E256" s="57" t="n"/>
      <c r="F256" s="57" t="n"/>
      <c r="G256" s="57" t="n"/>
      <c r="H256" s="57" t="n"/>
    </row>
    <row r="257" ht="15.75" customHeight="1" s="94">
      <c r="A257" s="57" t="n"/>
      <c r="B257" s="57" t="n"/>
      <c r="C257" s="57" t="n"/>
      <c r="D257" s="57" t="n"/>
      <c r="E257" s="57" t="n"/>
      <c r="F257" s="57" t="n"/>
      <c r="G257" s="57" t="n"/>
      <c r="H257" s="57" t="n"/>
    </row>
    <row r="258" ht="15.75" customHeight="1" s="94">
      <c r="A258" s="57" t="n"/>
      <c r="B258" s="57" t="n"/>
      <c r="C258" s="57" t="n"/>
      <c r="D258" s="57" t="n"/>
      <c r="E258" s="57" t="n"/>
      <c r="F258" s="57" t="n"/>
      <c r="G258" s="57" t="n"/>
      <c r="H258" s="57" t="n"/>
    </row>
    <row r="259" ht="15.75" customHeight="1" s="94">
      <c r="A259" s="57" t="n"/>
      <c r="B259" s="57" t="n"/>
      <c r="C259" s="57" t="n"/>
      <c r="D259" s="57" t="n"/>
      <c r="E259" s="57" t="n"/>
      <c r="F259" s="57" t="n"/>
      <c r="G259" s="57" t="n"/>
      <c r="H259" s="57" t="n"/>
    </row>
    <row r="260" ht="15.75" customHeight="1" s="94">
      <c r="A260" s="57" t="n"/>
      <c r="B260" s="57" t="n"/>
      <c r="C260" s="57" t="n"/>
      <c r="D260" s="57" t="n"/>
      <c r="E260" s="57" t="n"/>
      <c r="F260" s="57" t="n"/>
      <c r="G260" s="57" t="n"/>
      <c r="H260" s="57" t="n"/>
    </row>
    <row r="261" ht="15.75" customHeight="1" s="94">
      <c r="A261" s="57" t="n"/>
      <c r="B261" s="57" t="n"/>
      <c r="C261" s="57" t="n"/>
      <c r="D261" s="57" t="n"/>
      <c r="E261" s="57" t="n"/>
      <c r="F261" s="57" t="n"/>
      <c r="G261" s="57" t="n"/>
      <c r="H261" s="57" t="n"/>
    </row>
    <row r="262" ht="15.75" customHeight="1" s="94">
      <c r="A262" s="57" t="n"/>
      <c r="B262" s="57" t="n"/>
      <c r="C262" s="57" t="n"/>
      <c r="D262" s="57" t="n"/>
      <c r="E262" s="57" t="n"/>
      <c r="F262" s="57" t="n"/>
      <c r="G262" s="57" t="n"/>
      <c r="H262" s="57" t="n"/>
    </row>
    <row r="263" ht="15.75" customHeight="1" s="94">
      <c r="A263" s="57" t="n"/>
      <c r="B263" s="57" t="n"/>
      <c r="C263" s="57" t="n"/>
      <c r="D263" s="57" t="n"/>
      <c r="E263" s="57" t="n"/>
      <c r="F263" s="57" t="n"/>
      <c r="G263" s="57" t="n"/>
      <c r="H263" s="57" t="n"/>
    </row>
    <row r="264" ht="15.75" customHeight="1" s="94">
      <c r="A264" s="57" t="n"/>
      <c r="B264" s="57" t="n"/>
      <c r="C264" s="57" t="n"/>
      <c r="D264" s="57" t="n"/>
      <c r="E264" s="57" t="n"/>
      <c r="F264" s="57" t="n"/>
      <c r="G264" s="57" t="n"/>
      <c r="H264" s="57" t="n"/>
    </row>
    <row r="265" ht="15.75" customHeight="1" s="94">
      <c r="A265" s="57" t="n"/>
      <c r="B265" s="57" t="n"/>
      <c r="C265" s="57" t="n"/>
      <c r="D265" s="57" t="n"/>
      <c r="E265" s="57" t="n"/>
      <c r="F265" s="57" t="n"/>
      <c r="G265" s="57" t="n"/>
      <c r="H265" s="57" t="n"/>
    </row>
    <row r="266" ht="15.75" customHeight="1" s="94">
      <c r="A266" s="57" t="n"/>
      <c r="B266" s="57" t="n"/>
      <c r="C266" s="57" t="n"/>
      <c r="D266" s="57" t="n"/>
      <c r="E266" s="57" t="n"/>
      <c r="F266" s="57" t="n"/>
      <c r="G266" s="57" t="n"/>
      <c r="H266" s="57" t="n"/>
    </row>
    <row r="267" ht="15.75" customHeight="1" s="94">
      <c r="A267" s="57" t="n"/>
      <c r="B267" s="57" t="n"/>
      <c r="C267" s="57" t="n"/>
      <c r="D267" s="57" t="n"/>
      <c r="E267" s="57" t="n"/>
      <c r="F267" s="57" t="n"/>
      <c r="G267" s="57" t="n"/>
      <c r="H267" s="57" t="n"/>
    </row>
    <row r="268" ht="15.75" customHeight="1" s="94">
      <c r="A268" s="57" t="n"/>
      <c r="B268" s="57" t="n"/>
      <c r="C268" s="57" t="n"/>
      <c r="D268" s="57" t="n"/>
      <c r="E268" s="57" t="n"/>
      <c r="F268" s="57" t="n"/>
      <c r="G268" s="57" t="n"/>
      <c r="H268" s="57" t="n"/>
    </row>
    <row r="269" ht="15.75" customHeight="1" s="94">
      <c r="A269" s="57" t="n"/>
      <c r="B269" s="57" t="n"/>
      <c r="C269" s="57" t="n"/>
      <c r="D269" s="57" t="n"/>
      <c r="E269" s="57" t="n"/>
      <c r="F269" s="57" t="n"/>
      <c r="G269" s="57" t="n"/>
      <c r="H269" s="57" t="n"/>
    </row>
    <row r="270" ht="15.75" customHeight="1" s="94">
      <c r="A270" s="57" t="n"/>
      <c r="B270" s="57" t="n"/>
      <c r="C270" s="57" t="n"/>
      <c r="D270" s="57" t="n"/>
      <c r="E270" s="57" t="n"/>
      <c r="F270" s="57" t="n"/>
      <c r="G270" s="57" t="n"/>
      <c r="H270" s="57" t="n"/>
    </row>
    <row r="271" ht="15.75" customHeight="1" s="94">
      <c r="A271" s="57" t="n"/>
      <c r="B271" s="57" t="n"/>
      <c r="C271" s="57" t="n"/>
      <c r="D271" s="57" t="n"/>
      <c r="E271" s="57" t="n"/>
      <c r="F271" s="57" t="n"/>
      <c r="G271" s="57" t="n"/>
      <c r="H271" s="57" t="n"/>
    </row>
    <row r="272" ht="15.75" customHeight="1" s="94">
      <c r="A272" s="57" t="n"/>
      <c r="B272" s="57" t="n"/>
      <c r="C272" s="57" t="n"/>
      <c r="D272" s="57" t="n"/>
      <c r="E272" s="57" t="n"/>
      <c r="F272" s="57" t="n"/>
      <c r="G272" s="57" t="n"/>
      <c r="H272" s="57" t="n"/>
    </row>
    <row r="273" ht="15.75" customHeight="1" s="94">
      <c r="A273" s="57" t="n"/>
      <c r="B273" s="57" t="n"/>
      <c r="C273" s="57" t="n"/>
      <c r="D273" s="57" t="n"/>
      <c r="E273" s="57" t="n"/>
      <c r="F273" s="57" t="n"/>
      <c r="G273" s="57" t="n"/>
      <c r="H273" s="57" t="n"/>
    </row>
    <row r="274" ht="15.75" customHeight="1" s="94">
      <c r="A274" s="57" t="n"/>
      <c r="B274" s="57" t="n"/>
      <c r="C274" s="57" t="n"/>
      <c r="D274" s="57" t="n"/>
      <c r="E274" s="57" t="n"/>
      <c r="F274" s="57" t="n"/>
      <c r="G274" s="57" t="n"/>
      <c r="H274" s="57" t="n"/>
    </row>
    <row r="275" ht="15.75" customHeight="1" s="94">
      <c r="A275" s="57" t="n"/>
      <c r="B275" s="57" t="n"/>
      <c r="C275" s="57" t="n"/>
      <c r="D275" s="57" t="n"/>
      <c r="E275" s="57" t="n"/>
      <c r="F275" s="57" t="n"/>
      <c r="G275" s="57" t="n"/>
      <c r="H275" s="57" t="n"/>
    </row>
    <row r="276" ht="15.75" customHeight="1" s="94">
      <c r="A276" s="57" t="n"/>
      <c r="B276" s="57" t="n"/>
      <c r="C276" s="57" t="n"/>
      <c r="D276" s="57" t="n"/>
      <c r="E276" s="57" t="n"/>
      <c r="F276" s="57" t="n"/>
      <c r="G276" s="57" t="n"/>
      <c r="H276" s="57" t="n"/>
    </row>
    <row r="277" ht="15.75" customHeight="1" s="94">
      <c r="A277" s="57" t="n"/>
      <c r="B277" s="57" t="n"/>
      <c r="C277" s="57" t="n"/>
      <c r="D277" s="57" t="n"/>
      <c r="E277" s="57" t="n"/>
      <c r="F277" s="57" t="n"/>
      <c r="G277" s="57" t="n"/>
      <c r="H277" s="57" t="n"/>
    </row>
    <row r="278" ht="15.75" customHeight="1" s="94">
      <c r="A278" s="57" t="n"/>
      <c r="B278" s="57" t="n"/>
      <c r="C278" s="57" t="n"/>
      <c r="D278" s="57" t="n"/>
      <c r="E278" s="57" t="n"/>
      <c r="F278" s="57" t="n"/>
      <c r="G278" s="57" t="n"/>
      <c r="H278" s="57" t="n"/>
    </row>
    <row r="279" ht="15.75" customHeight="1" s="94">
      <c r="A279" s="57" t="n"/>
      <c r="B279" s="57" t="n"/>
      <c r="C279" s="57" t="n"/>
      <c r="D279" s="57" t="n"/>
      <c r="E279" s="57" t="n"/>
      <c r="F279" s="57" t="n"/>
      <c r="G279" s="57" t="n"/>
      <c r="H279" s="57" t="n"/>
    </row>
    <row r="280" ht="15.75" customHeight="1" s="94">
      <c r="A280" s="57" t="n"/>
      <c r="B280" s="57" t="n"/>
      <c r="C280" s="57" t="n"/>
      <c r="D280" s="57" t="n"/>
      <c r="E280" s="57" t="n"/>
      <c r="F280" s="57" t="n"/>
      <c r="G280" s="57" t="n"/>
      <c r="H280" s="57" t="n"/>
    </row>
    <row r="281" ht="15.75" customHeight="1" s="94">
      <c r="A281" s="57" t="n"/>
      <c r="B281" s="57" t="n"/>
      <c r="C281" s="57" t="n"/>
      <c r="D281" s="57" t="n"/>
      <c r="E281" s="57" t="n"/>
      <c r="F281" s="57" t="n"/>
      <c r="G281" s="57" t="n"/>
      <c r="H281" s="57" t="n"/>
    </row>
    <row r="282" ht="15.75" customHeight="1" s="94">
      <c r="A282" s="57" t="n"/>
      <c r="B282" s="57" t="n"/>
      <c r="C282" s="57" t="n"/>
      <c r="D282" s="57" t="n"/>
      <c r="E282" s="57" t="n"/>
      <c r="F282" s="57" t="n"/>
      <c r="G282" s="57" t="n"/>
      <c r="H282" s="57" t="n"/>
    </row>
    <row r="283" ht="15.75" customHeight="1" s="94">
      <c r="A283" s="57" t="n"/>
      <c r="B283" s="57" t="n"/>
      <c r="C283" s="57" t="n"/>
      <c r="D283" s="57" t="n"/>
      <c r="E283" s="57" t="n"/>
      <c r="F283" s="57" t="n"/>
      <c r="G283" s="57" t="n"/>
      <c r="H283" s="57" t="n"/>
    </row>
    <row r="284" ht="15.75" customHeight="1" s="94">
      <c r="A284" s="57" t="n"/>
      <c r="B284" s="57" t="n"/>
      <c r="C284" s="57" t="n"/>
      <c r="D284" s="57" t="n"/>
      <c r="E284" s="57" t="n"/>
      <c r="F284" s="57" t="n"/>
      <c r="G284" s="57" t="n"/>
      <c r="H284" s="57" t="n"/>
    </row>
    <row r="285" ht="15.75" customHeight="1" s="94">
      <c r="A285" s="57" t="n"/>
      <c r="B285" s="57" t="n"/>
      <c r="C285" s="57" t="n"/>
      <c r="D285" s="57" t="n"/>
      <c r="E285" s="57" t="n"/>
      <c r="F285" s="57" t="n"/>
      <c r="G285" s="57" t="n"/>
      <c r="H285" s="57" t="n"/>
    </row>
    <row r="286" ht="15.75" customHeight="1" s="94">
      <c r="A286" s="57" t="n"/>
      <c r="B286" s="57" t="n"/>
      <c r="C286" s="57" t="n"/>
      <c r="D286" s="57" t="n"/>
      <c r="E286" s="57" t="n"/>
      <c r="F286" s="57" t="n"/>
      <c r="G286" s="57" t="n"/>
      <c r="H286" s="57" t="n"/>
    </row>
    <row r="287" ht="15.75" customHeight="1" s="94">
      <c r="A287" s="57" t="n"/>
      <c r="B287" s="57" t="n"/>
      <c r="C287" s="57" t="n"/>
      <c r="D287" s="57" t="n"/>
      <c r="E287" s="57" t="n"/>
      <c r="F287" s="57" t="n"/>
      <c r="G287" s="57" t="n"/>
      <c r="H287" s="57" t="n"/>
    </row>
    <row r="288" ht="15.75" customHeight="1" s="94">
      <c r="A288" s="57" t="n"/>
      <c r="B288" s="57" t="n"/>
      <c r="C288" s="57" t="n"/>
      <c r="D288" s="57" t="n"/>
      <c r="E288" s="57" t="n"/>
      <c r="F288" s="57" t="n"/>
      <c r="G288" s="57" t="n"/>
      <c r="H288" s="57" t="n"/>
    </row>
    <row r="289" ht="15.75" customHeight="1" s="94">
      <c r="A289" s="57" t="n"/>
      <c r="B289" s="57" t="n"/>
      <c r="C289" s="57" t="n"/>
      <c r="D289" s="57" t="n"/>
      <c r="E289" s="57" t="n"/>
      <c r="F289" s="57" t="n"/>
      <c r="G289" s="57" t="n"/>
      <c r="H289" s="57" t="n"/>
    </row>
    <row r="290" ht="15.75" customHeight="1" s="94">
      <c r="A290" s="57" t="n"/>
      <c r="B290" s="57" t="n"/>
      <c r="C290" s="57" t="n"/>
      <c r="D290" s="57" t="n"/>
      <c r="E290" s="57" t="n"/>
      <c r="F290" s="57" t="n"/>
      <c r="G290" s="57" t="n"/>
      <c r="H290" s="57" t="n"/>
    </row>
    <row r="291" ht="15.75" customHeight="1" s="94">
      <c r="A291" s="57" t="n"/>
      <c r="B291" s="57" t="n"/>
      <c r="C291" s="57" t="n"/>
      <c r="D291" s="57" t="n"/>
      <c r="E291" s="57" t="n"/>
      <c r="F291" s="57" t="n"/>
      <c r="G291" s="57" t="n"/>
      <c r="H291" s="57" t="n"/>
    </row>
    <row r="292" ht="15.75" customHeight="1" s="94">
      <c r="A292" s="57" t="n"/>
      <c r="B292" s="57" t="n"/>
      <c r="C292" s="57" t="n"/>
      <c r="D292" s="57" t="n"/>
      <c r="E292" s="57" t="n"/>
      <c r="F292" s="57" t="n"/>
      <c r="G292" s="57" t="n"/>
      <c r="H292" s="57" t="n"/>
    </row>
    <row r="293" ht="15.75" customHeight="1" s="94">
      <c r="A293" s="57" t="n"/>
      <c r="B293" s="57" t="n"/>
      <c r="C293" s="57" t="n"/>
      <c r="D293" s="57" t="n"/>
      <c r="E293" s="57" t="n"/>
      <c r="F293" s="57" t="n"/>
      <c r="G293" s="57" t="n"/>
      <c r="H293" s="57" t="n"/>
    </row>
    <row r="294" ht="15.75" customHeight="1" s="94">
      <c r="A294" s="57" t="n"/>
      <c r="B294" s="57" t="n"/>
      <c r="C294" s="57" t="n"/>
      <c r="D294" s="57" t="n"/>
      <c r="E294" s="57" t="n"/>
      <c r="F294" s="57" t="n"/>
      <c r="G294" s="57" t="n"/>
      <c r="H294" s="57" t="n"/>
    </row>
    <row r="295" ht="15.75" customHeight="1" s="94">
      <c r="A295" s="57" t="n"/>
      <c r="B295" s="57" t="n"/>
      <c r="C295" s="57" t="n"/>
      <c r="D295" s="57" t="n"/>
      <c r="E295" s="57" t="n"/>
      <c r="F295" s="57" t="n"/>
      <c r="G295" s="57" t="n"/>
      <c r="H295" s="57" t="n"/>
    </row>
    <row r="296" ht="15.75" customHeight="1" s="94">
      <c r="A296" s="57" t="n"/>
      <c r="B296" s="57" t="n"/>
      <c r="C296" s="57" t="n"/>
      <c r="D296" s="57" t="n"/>
      <c r="E296" s="57" t="n"/>
      <c r="F296" s="57" t="n"/>
      <c r="G296" s="57" t="n"/>
      <c r="H296" s="57" t="n"/>
    </row>
    <row r="297" ht="15.75" customHeight="1" s="94">
      <c r="A297" s="57" t="n"/>
      <c r="B297" s="57" t="n"/>
      <c r="C297" s="57" t="n"/>
      <c r="D297" s="57" t="n"/>
      <c r="E297" s="57" t="n"/>
      <c r="F297" s="57" t="n"/>
      <c r="G297" s="57" t="n"/>
      <c r="H297" s="57" t="n"/>
    </row>
    <row r="298" ht="15.75" customHeight="1" s="94">
      <c r="A298" s="57" t="n"/>
      <c r="B298" s="57" t="n"/>
      <c r="C298" s="57" t="n"/>
      <c r="D298" s="57" t="n"/>
      <c r="E298" s="57" t="n"/>
      <c r="F298" s="57" t="n"/>
      <c r="G298" s="57" t="n"/>
      <c r="H298" s="57" t="n"/>
    </row>
    <row r="299" ht="15.75" customHeight="1" s="94">
      <c r="A299" s="57" t="n"/>
      <c r="B299" s="57" t="n"/>
      <c r="C299" s="57" t="n"/>
      <c r="D299" s="57" t="n"/>
      <c r="E299" s="57" t="n"/>
      <c r="F299" s="57" t="n"/>
      <c r="G299" s="57" t="n"/>
      <c r="H299" s="57" t="n"/>
    </row>
    <row r="300" ht="15.75" customHeight="1" s="94">
      <c r="A300" s="57" t="n"/>
      <c r="B300" s="57" t="n"/>
      <c r="C300" s="57" t="n"/>
      <c r="D300" s="57" t="n"/>
      <c r="E300" s="57" t="n"/>
      <c r="F300" s="57" t="n"/>
      <c r="G300" s="57" t="n"/>
      <c r="H300" s="57" t="n"/>
    </row>
    <row r="301" ht="15.75" customHeight="1" s="94">
      <c r="A301" s="57" t="n"/>
      <c r="B301" s="57" t="n"/>
      <c r="C301" s="57" t="n"/>
      <c r="D301" s="57" t="n"/>
      <c r="E301" s="57" t="n"/>
      <c r="F301" s="57" t="n"/>
      <c r="G301" s="57" t="n"/>
      <c r="H301" s="57" t="n"/>
    </row>
    <row r="302" ht="15.75" customHeight="1" s="94">
      <c r="A302" s="57" t="n"/>
      <c r="B302" s="57" t="n"/>
      <c r="C302" s="57" t="n"/>
      <c r="D302" s="57" t="n"/>
      <c r="E302" s="57" t="n"/>
      <c r="F302" s="57" t="n"/>
      <c r="G302" s="57" t="n"/>
      <c r="H302" s="57" t="n"/>
    </row>
    <row r="303" ht="15.75" customHeight="1" s="94">
      <c r="A303" s="57" t="n"/>
      <c r="B303" s="57" t="n"/>
      <c r="C303" s="57" t="n"/>
      <c r="D303" s="57" t="n"/>
      <c r="E303" s="57" t="n"/>
      <c r="F303" s="57" t="n"/>
      <c r="G303" s="57" t="n"/>
      <c r="H303" s="57" t="n"/>
    </row>
    <row r="304" ht="15.75" customHeight="1" s="94">
      <c r="A304" s="57" t="n"/>
      <c r="B304" s="57" t="n"/>
      <c r="C304" s="57" t="n"/>
      <c r="D304" s="57" t="n"/>
      <c r="E304" s="57" t="n"/>
      <c r="F304" s="57" t="n"/>
      <c r="G304" s="57" t="n"/>
      <c r="H304" s="57" t="n"/>
    </row>
    <row r="305" ht="15.75" customHeight="1" s="94">
      <c r="A305" s="57" t="n"/>
      <c r="B305" s="57" t="n"/>
      <c r="C305" s="57" t="n"/>
      <c r="D305" s="57" t="n"/>
      <c r="E305" s="57" t="n"/>
      <c r="F305" s="57" t="n"/>
      <c r="G305" s="57" t="n"/>
      <c r="H305" s="57" t="n"/>
    </row>
    <row r="306" ht="15.75" customHeight="1" s="94">
      <c r="A306" s="57" t="n"/>
      <c r="B306" s="57" t="n"/>
      <c r="C306" s="57" t="n"/>
      <c r="D306" s="57" t="n"/>
      <c r="E306" s="57" t="n"/>
      <c r="F306" s="57" t="n"/>
      <c r="G306" s="57" t="n"/>
      <c r="H306" s="57" t="n"/>
    </row>
    <row r="307" ht="15.75" customHeight="1" s="94">
      <c r="A307" s="57" t="n"/>
      <c r="B307" s="57" t="n"/>
      <c r="C307" s="57" t="n"/>
      <c r="D307" s="57" t="n"/>
      <c r="E307" s="57" t="n"/>
      <c r="F307" s="57" t="n"/>
      <c r="G307" s="57" t="n"/>
      <c r="H307" s="57" t="n"/>
    </row>
    <row r="308" ht="15.75" customHeight="1" s="94">
      <c r="A308" s="57" t="n"/>
      <c r="B308" s="57" t="n"/>
      <c r="C308" s="57" t="n"/>
      <c r="D308" s="57" t="n"/>
      <c r="E308" s="57" t="n"/>
      <c r="F308" s="57" t="n"/>
      <c r="G308" s="57" t="n"/>
      <c r="H308" s="57" t="n"/>
    </row>
    <row r="309" ht="15.75" customHeight="1" s="94">
      <c r="A309" s="57" t="n"/>
      <c r="B309" s="57" t="n"/>
      <c r="C309" s="57" t="n"/>
      <c r="D309" s="57" t="n"/>
      <c r="E309" s="57" t="n"/>
      <c r="F309" s="57" t="n"/>
      <c r="G309" s="57" t="n"/>
      <c r="H309" s="57" t="n"/>
    </row>
    <row r="310" ht="15.75" customHeight="1" s="94">
      <c r="A310" s="57" t="n"/>
      <c r="B310" s="57" t="n"/>
      <c r="C310" s="57" t="n"/>
      <c r="D310" s="57" t="n"/>
      <c r="E310" s="57" t="n"/>
      <c r="F310" s="57" t="n"/>
      <c r="G310" s="57" t="n"/>
      <c r="H310" s="57" t="n"/>
    </row>
    <row r="311" ht="15.75" customHeight="1" s="94">
      <c r="A311" s="57" t="n"/>
      <c r="B311" s="57" t="n"/>
      <c r="C311" s="57" t="n"/>
      <c r="D311" s="57" t="n"/>
      <c r="E311" s="57" t="n"/>
      <c r="F311" s="57" t="n"/>
      <c r="G311" s="57" t="n"/>
      <c r="H311" s="57" t="n"/>
    </row>
    <row r="312" ht="15.75" customHeight="1" s="94">
      <c r="A312" s="57" t="n"/>
      <c r="B312" s="57" t="n"/>
      <c r="C312" s="57" t="n"/>
      <c r="D312" s="57" t="n"/>
      <c r="E312" s="57" t="n"/>
      <c r="F312" s="57" t="n"/>
      <c r="G312" s="57" t="n"/>
      <c r="H312" s="57" t="n"/>
    </row>
    <row r="313" ht="15.75" customHeight="1" s="94">
      <c r="A313" s="57" t="n"/>
      <c r="B313" s="57" t="n"/>
      <c r="C313" s="57" t="n"/>
      <c r="D313" s="57" t="n"/>
      <c r="E313" s="57" t="n"/>
      <c r="F313" s="57" t="n"/>
      <c r="G313" s="57" t="n"/>
      <c r="H313" s="57" t="n"/>
    </row>
    <row r="314" ht="15.75" customHeight="1" s="94">
      <c r="A314" s="57" t="n"/>
      <c r="B314" s="57" t="n"/>
      <c r="C314" s="57" t="n"/>
      <c r="D314" s="57" t="n"/>
      <c r="E314" s="57" t="n"/>
      <c r="F314" s="57" t="n"/>
      <c r="G314" s="57" t="n"/>
      <c r="H314" s="57" t="n"/>
    </row>
    <row r="315" ht="15.75" customHeight="1" s="94">
      <c r="A315" s="57" t="n"/>
      <c r="B315" s="57" t="n"/>
      <c r="C315" s="57" t="n"/>
      <c r="D315" s="57" t="n"/>
      <c r="E315" s="57" t="n"/>
      <c r="F315" s="57" t="n"/>
      <c r="G315" s="57" t="n"/>
      <c r="H315" s="57" t="n"/>
    </row>
    <row r="316" ht="15.75" customHeight="1" s="94">
      <c r="A316" s="57" t="n"/>
      <c r="B316" s="57" t="n"/>
      <c r="C316" s="57" t="n"/>
      <c r="D316" s="57" t="n"/>
      <c r="E316" s="57" t="n"/>
      <c r="F316" s="57" t="n"/>
      <c r="G316" s="57" t="n"/>
      <c r="H316" s="57" t="n"/>
    </row>
    <row r="317" ht="15.75" customHeight="1" s="94">
      <c r="A317" s="57" t="n"/>
      <c r="B317" s="57" t="n"/>
      <c r="C317" s="57" t="n"/>
      <c r="D317" s="57" t="n"/>
      <c r="E317" s="57" t="n"/>
      <c r="F317" s="57" t="n"/>
      <c r="G317" s="57" t="n"/>
      <c r="H317" s="57" t="n"/>
    </row>
    <row r="318" ht="15.75" customHeight="1" s="94">
      <c r="A318" s="57" t="n"/>
      <c r="B318" s="57" t="n"/>
      <c r="C318" s="57" t="n"/>
      <c r="D318" s="57" t="n"/>
      <c r="E318" s="57" t="n"/>
      <c r="F318" s="57" t="n"/>
      <c r="G318" s="57" t="n"/>
      <c r="H318" s="57" t="n"/>
    </row>
    <row r="319" ht="15.75" customHeight="1" s="94">
      <c r="A319" s="57" t="n"/>
      <c r="B319" s="57" t="n"/>
      <c r="C319" s="57" t="n"/>
      <c r="D319" s="57" t="n"/>
      <c r="E319" s="57" t="n"/>
      <c r="F319" s="57" t="n"/>
      <c r="G319" s="57" t="n"/>
      <c r="H319" s="57" t="n"/>
    </row>
    <row r="320" ht="15.75" customHeight="1" s="94">
      <c r="A320" s="57" t="n"/>
      <c r="B320" s="57" t="n"/>
      <c r="C320" s="57" t="n"/>
      <c r="D320" s="57" t="n"/>
      <c r="E320" s="57" t="n"/>
      <c r="F320" s="57" t="n"/>
      <c r="G320" s="57" t="n"/>
      <c r="H320" s="57" t="n"/>
    </row>
    <row r="321" ht="15.75" customHeight="1" s="94">
      <c r="A321" s="57" t="n"/>
      <c r="B321" s="57" t="n"/>
      <c r="C321" s="57" t="n"/>
      <c r="D321" s="57" t="n"/>
      <c r="E321" s="57" t="n"/>
      <c r="F321" s="57" t="n"/>
      <c r="G321" s="57" t="n"/>
      <c r="H321" s="57" t="n"/>
    </row>
    <row r="322" ht="15.75" customHeight="1" s="94">
      <c r="A322" s="57" t="n"/>
      <c r="B322" s="57" t="n"/>
      <c r="C322" s="57" t="n"/>
      <c r="D322" s="57" t="n"/>
      <c r="E322" s="57" t="n"/>
      <c r="F322" s="57" t="n"/>
      <c r="G322" s="57" t="n"/>
      <c r="H322" s="57" t="n"/>
    </row>
    <row r="323" ht="15.75" customHeight="1" s="94">
      <c r="A323" s="57" t="n"/>
      <c r="B323" s="57" t="n"/>
      <c r="C323" s="57" t="n"/>
      <c r="D323" s="57" t="n"/>
      <c r="E323" s="57" t="n"/>
      <c r="F323" s="57" t="n"/>
      <c r="G323" s="57" t="n"/>
      <c r="H323" s="57" t="n"/>
    </row>
    <row r="324" ht="15.75" customHeight="1" s="94">
      <c r="A324" s="57" t="n"/>
      <c r="B324" s="57" t="n"/>
      <c r="C324" s="57" t="n"/>
      <c r="D324" s="57" t="n"/>
      <c r="E324" s="57" t="n"/>
      <c r="F324" s="57" t="n"/>
      <c r="G324" s="57" t="n"/>
      <c r="H324" s="57" t="n"/>
    </row>
    <row r="325" ht="15.75" customHeight="1" s="94">
      <c r="A325" s="57" t="n"/>
      <c r="B325" s="57" t="n"/>
      <c r="C325" s="57" t="n"/>
      <c r="D325" s="57" t="n"/>
      <c r="E325" s="57" t="n"/>
      <c r="F325" s="57" t="n"/>
      <c r="G325" s="57" t="n"/>
      <c r="H325" s="57" t="n"/>
    </row>
    <row r="326" ht="15.75" customHeight="1" s="94">
      <c r="A326" s="57" t="n"/>
      <c r="B326" s="57" t="n"/>
      <c r="C326" s="57" t="n"/>
      <c r="D326" s="57" t="n"/>
      <c r="E326" s="57" t="n"/>
      <c r="F326" s="57" t="n"/>
      <c r="G326" s="57" t="n"/>
      <c r="H326" s="57" t="n"/>
    </row>
    <row r="327" ht="15.75" customHeight="1" s="94">
      <c r="A327" s="57" t="n"/>
      <c r="B327" s="57" t="n"/>
      <c r="C327" s="57" t="n"/>
      <c r="D327" s="57" t="n"/>
      <c r="E327" s="57" t="n"/>
      <c r="F327" s="57" t="n"/>
      <c r="G327" s="57" t="n"/>
      <c r="H327" s="57" t="n"/>
    </row>
    <row r="328" ht="15.75" customHeight="1" s="94">
      <c r="A328" s="57" t="n"/>
      <c r="B328" s="57" t="n"/>
      <c r="C328" s="57" t="n"/>
      <c r="D328" s="57" t="n"/>
      <c r="E328" s="57" t="n"/>
      <c r="F328" s="57" t="n"/>
      <c r="G328" s="57" t="n"/>
      <c r="H328" s="57" t="n"/>
    </row>
    <row r="329" ht="15.75" customHeight="1" s="94">
      <c r="A329" s="57" t="n"/>
      <c r="B329" s="57" t="n"/>
      <c r="C329" s="57" t="n"/>
      <c r="D329" s="57" t="n"/>
      <c r="E329" s="57" t="n"/>
      <c r="F329" s="57" t="n"/>
      <c r="G329" s="57" t="n"/>
      <c r="H329" s="57" t="n"/>
    </row>
    <row r="330" ht="15.75" customHeight="1" s="94">
      <c r="A330" s="57" t="n"/>
      <c r="B330" s="57" t="n"/>
      <c r="C330" s="57" t="n"/>
      <c r="D330" s="57" t="n"/>
      <c r="E330" s="57" t="n"/>
      <c r="F330" s="57" t="n"/>
      <c r="G330" s="57" t="n"/>
      <c r="H330" s="57" t="n"/>
    </row>
    <row r="331" ht="15.75" customHeight="1" s="94">
      <c r="A331" s="57" t="n"/>
      <c r="B331" s="57" t="n"/>
      <c r="C331" s="57" t="n"/>
      <c r="D331" s="57" t="n"/>
      <c r="E331" s="57" t="n"/>
      <c r="F331" s="57" t="n"/>
      <c r="G331" s="57" t="n"/>
      <c r="H331" s="57" t="n"/>
    </row>
    <row r="332" ht="15.75" customHeight="1" s="94">
      <c r="A332" s="57" t="n"/>
      <c r="B332" s="57" t="n"/>
      <c r="C332" s="57" t="n"/>
      <c r="D332" s="57" t="n"/>
      <c r="E332" s="57" t="n"/>
      <c r="F332" s="57" t="n"/>
      <c r="G332" s="57" t="n"/>
      <c r="H332" s="57" t="n"/>
    </row>
    <row r="333" ht="15.75" customHeight="1" s="94">
      <c r="A333" s="57" t="n"/>
      <c r="B333" s="57" t="n"/>
      <c r="C333" s="57" t="n"/>
      <c r="D333" s="57" t="n"/>
      <c r="E333" s="57" t="n"/>
      <c r="F333" s="57" t="n"/>
      <c r="G333" s="57" t="n"/>
      <c r="H333" s="57" t="n"/>
    </row>
    <row r="334" ht="15.75" customHeight="1" s="94">
      <c r="A334" s="57" t="n"/>
      <c r="B334" s="57" t="n"/>
      <c r="C334" s="57" t="n"/>
      <c r="D334" s="57" t="n"/>
      <c r="E334" s="57" t="n"/>
      <c r="F334" s="57" t="n"/>
      <c r="G334" s="57" t="n"/>
      <c r="H334" s="57" t="n"/>
    </row>
    <row r="335" ht="15.75" customHeight="1" s="94">
      <c r="A335" s="57" t="n"/>
      <c r="B335" s="57" t="n"/>
      <c r="C335" s="57" t="n"/>
      <c r="D335" s="57" t="n"/>
      <c r="E335" s="57" t="n"/>
      <c r="F335" s="57" t="n"/>
      <c r="G335" s="57" t="n"/>
      <c r="H335" s="57" t="n"/>
    </row>
    <row r="336" ht="15.75" customHeight="1" s="94">
      <c r="A336" s="57" t="n"/>
      <c r="B336" s="57" t="n"/>
      <c r="C336" s="57" t="n"/>
      <c r="D336" s="57" t="n"/>
      <c r="E336" s="57" t="n"/>
      <c r="F336" s="57" t="n"/>
      <c r="G336" s="57" t="n"/>
      <c r="H336" s="57" t="n"/>
    </row>
    <row r="337" ht="15.75" customHeight="1" s="94">
      <c r="A337" s="57" t="n"/>
      <c r="B337" s="57" t="n"/>
      <c r="C337" s="57" t="n"/>
      <c r="D337" s="57" t="n"/>
      <c r="E337" s="57" t="n"/>
      <c r="F337" s="57" t="n"/>
      <c r="G337" s="57" t="n"/>
      <c r="H337" s="57" t="n"/>
    </row>
    <row r="338" ht="15.75" customHeight="1" s="94">
      <c r="A338" s="57" t="n"/>
      <c r="B338" s="57" t="n"/>
      <c r="C338" s="57" t="n"/>
      <c r="D338" s="57" t="n"/>
      <c r="E338" s="57" t="n"/>
      <c r="F338" s="57" t="n"/>
      <c r="G338" s="57" t="n"/>
      <c r="H338" s="57" t="n"/>
    </row>
    <row r="339" ht="15.75" customHeight="1" s="94">
      <c r="A339" s="57" t="n"/>
      <c r="B339" s="57" t="n"/>
      <c r="C339" s="57" t="n"/>
      <c r="D339" s="57" t="n"/>
      <c r="E339" s="57" t="n"/>
      <c r="F339" s="57" t="n"/>
      <c r="G339" s="57" t="n"/>
      <c r="H339" s="57" t="n"/>
    </row>
    <row r="340" ht="15.75" customHeight="1" s="94">
      <c r="A340" s="57" t="n"/>
      <c r="B340" s="57" t="n"/>
      <c r="C340" s="57" t="n"/>
      <c r="D340" s="57" t="n"/>
      <c r="E340" s="57" t="n"/>
      <c r="F340" s="57" t="n"/>
      <c r="G340" s="57" t="n"/>
      <c r="H340" s="57" t="n"/>
    </row>
    <row r="341" ht="15.75" customHeight="1" s="94">
      <c r="A341" s="57" t="n"/>
      <c r="B341" s="57" t="n"/>
      <c r="C341" s="57" t="n"/>
      <c r="D341" s="57" t="n"/>
      <c r="E341" s="57" t="n"/>
      <c r="F341" s="57" t="n"/>
      <c r="G341" s="57" t="n"/>
      <c r="H341" s="57" t="n"/>
    </row>
    <row r="342" ht="15.75" customHeight="1" s="94">
      <c r="A342" s="57" t="n"/>
      <c r="B342" s="57" t="n"/>
      <c r="C342" s="57" t="n"/>
      <c r="D342" s="57" t="n"/>
      <c r="E342" s="57" t="n"/>
      <c r="F342" s="57" t="n"/>
      <c r="G342" s="57" t="n"/>
      <c r="H342" s="57" t="n"/>
    </row>
    <row r="343" ht="15.75" customHeight="1" s="94">
      <c r="A343" s="57" t="n"/>
      <c r="B343" s="57" t="n"/>
      <c r="C343" s="57" t="n"/>
      <c r="D343" s="57" t="n"/>
      <c r="E343" s="57" t="n"/>
      <c r="F343" s="57" t="n"/>
      <c r="G343" s="57" t="n"/>
      <c r="H343" s="57" t="n"/>
    </row>
    <row r="344" ht="15.75" customHeight="1" s="94">
      <c r="A344" s="57" t="n"/>
      <c r="B344" s="57" t="n"/>
      <c r="C344" s="57" t="n"/>
      <c r="D344" s="57" t="n"/>
      <c r="E344" s="57" t="n"/>
      <c r="F344" s="57" t="n"/>
      <c r="G344" s="57" t="n"/>
      <c r="H344" s="57" t="n"/>
    </row>
    <row r="345" ht="15.75" customHeight="1" s="94">
      <c r="A345" s="57" t="n"/>
      <c r="B345" s="57" t="n"/>
      <c r="C345" s="57" t="n"/>
      <c r="D345" s="57" t="n"/>
      <c r="E345" s="57" t="n"/>
      <c r="F345" s="57" t="n"/>
      <c r="G345" s="57" t="n"/>
      <c r="H345" s="57" t="n"/>
    </row>
    <row r="346" ht="15.75" customHeight="1" s="94">
      <c r="A346" s="57" t="n"/>
      <c r="B346" s="57" t="n"/>
      <c r="C346" s="57" t="n"/>
      <c r="D346" s="57" t="n"/>
      <c r="E346" s="57" t="n"/>
      <c r="F346" s="57" t="n"/>
      <c r="G346" s="57" t="n"/>
      <c r="H346" s="57" t="n"/>
    </row>
    <row r="347" ht="15.75" customHeight="1" s="94">
      <c r="A347" s="57" t="n"/>
      <c r="B347" s="57" t="n"/>
      <c r="C347" s="57" t="n"/>
      <c r="D347" s="57" t="n"/>
      <c r="E347" s="57" t="n"/>
      <c r="F347" s="57" t="n"/>
      <c r="G347" s="57" t="n"/>
      <c r="H347" s="57" t="n"/>
    </row>
    <row r="348" ht="15.75" customHeight="1" s="94">
      <c r="A348" s="57" t="n"/>
      <c r="B348" s="57" t="n"/>
      <c r="C348" s="57" t="n"/>
      <c r="D348" s="57" t="n"/>
      <c r="E348" s="57" t="n"/>
      <c r="F348" s="57" t="n"/>
      <c r="G348" s="57" t="n"/>
      <c r="H348" s="57" t="n"/>
    </row>
    <row r="349" ht="15.75" customHeight="1" s="94">
      <c r="A349" s="57" t="n"/>
      <c r="B349" s="57" t="n"/>
      <c r="C349" s="57" t="n"/>
      <c r="D349" s="57" t="n"/>
      <c r="E349" s="57" t="n"/>
      <c r="F349" s="57" t="n"/>
      <c r="G349" s="57" t="n"/>
      <c r="H349" s="57" t="n"/>
    </row>
    <row r="350" ht="15.75" customHeight="1" s="94">
      <c r="A350" s="57" t="n"/>
      <c r="B350" s="57" t="n"/>
      <c r="C350" s="57" t="n"/>
      <c r="D350" s="57" t="n"/>
      <c r="E350" s="57" t="n"/>
      <c r="F350" s="57" t="n"/>
      <c r="G350" s="57" t="n"/>
      <c r="H350" s="57" t="n"/>
    </row>
    <row r="351" ht="15.75" customHeight="1" s="94">
      <c r="A351" s="57" t="n"/>
      <c r="B351" s="57" t="n"/>
      <c r="C351" s="57" t="n"/>
      <c r="D351" s="57" t="n"/>
      <c r="E351" s="57" t="n"/>
      <c r="F351" s="57" t="n"/>
      <c r="G351" s="57" t="n"/>
      <c r="H351" s="57" t="n"/>
    </row>
    <row r="352" ht="15.75" customHeight="1" s="94">
      <c r="A352" s="57" t="n"/>
      <c r="B352" s="57" t="n"/>
      <c r="C352" s="57" t="n"/>
      <c r="D352" s="57" t="n"/>
      <c r="E352" s="57" t="n"/>
      <c r="F352" s="57" t="n"/>
      <c r="G352" s="57" t="n"/>
      <c r="H352" s="57" t="n"/>
    </row>
    <row r="353" ht="15.75" customHeight="1" s="94">
      <c r="A353" s="57" t="n"/>
      <c r="B353" s="57" t="n"/>
      <c r="C353" s="57" t="n"/>
      <c r="D353" s="57" t="n"/>
      <c r="E353" s="57" t="n"/>
      <c r="F353" s="57" t="n"/>
      <c r="G353" s="57" t="n"/>
      <c r="H353" s="57" t="n"/>
    </row>
    <row r="354" ht="15.75" customHeight="1" s="94">
      <c r="A354" s="57" t="n"/>
      <c r="B354" s="57" t="n"/>
      <c r="C354" s="57" t="n"/>
      <c r="D354" s="57" t="n"/>
      <c r="E354" s="57" t="n"/>
      <c r="F354" s="57" t="n"/>
      <c r="G354" s="57" t="n"/>
      <c r="H354" s="57" t="n"/>
    </row>
    <row r="355" ht="15.75" customHeight="1" s="94">
      <c r="A355" s="57" t="n"/>
      <c r="B355" s="57" t="n"/>
      <c r="C355" s="57" t="n"/>
      <c r="D355" s="57" t="n"/>
      <c r="E355" s="57" t="n"/>
      <c r="F355" s="57" t="n"/>
      <c r="G355" s="57" t="n"/>
      <c r="H355" s="57" t="n"/>
    </row>
    <row r="356" ht="15.75" customHeight="1" s="94">
      <c r="A356" s="57" t="n"/>
      <c r="B356" s="57" t="n"/>
      <c r="C356" s="57" t="n"/>
      <c r="D356" s="57" t="n"/>
      <c r="E356" s="57" t="n"/>
      <c r="F356" s="57" t="n"/>
      <c r="G356" s="57" t="n"/>
      <c r="H356" s="57" t="n"/>
    </row>
    <row r="357" ht="15.75" customHeight="1" s="94">
      <c r="A357" s="57" t="n"/>
      <c r="B357" s="57" t="n"/>
      <c r="C357" s="57" t="n"/>
      <c r="D357" s="57" t="n"/>
      <c r="E357" s="57" t="n"/>
      <c r="F357" s="57" t="n"/>
      <c r="G357" s="57" t="n"/>
      <c r="H357" s="57" t="n"/>
    </row>
    <row r="358" ht="15.75" customHeight="1" s="94">
      <c r="A358" s="57" t="n"/>
      <c r="B358" s="57" t="n"/>
      <c r="C358" s="57" t="n"/>
      <c r="D358" s="57" t="n"/>
      <c r="E358" s="57" t="n"/>
      <c r="F358" s="57" t="n"/>
      <c r="G358" s="57" t="n"/>
      <c r="H358" s="57" t="n"/>
    </row>
    <row r="359" ht="15.75" customHeight="1" s="94">
      <c r="A359" s="57" t="n"/>
      <c r="B359" s="57" t="n"/>
      <c r="C359" s="57" t="n"/>
      <c r="D359" s="57" t="n"/>
      <c r="E359" s="57" t="n"/>
      <c r="F359" s="57" t="n"/>
      <c r="G359" s="57" t="n"/>
      <c r="H359" s="57" t="n"/>
    </row>
    <row r="360" ht="15.75" customHeight="1" s="94">
      <c r="A360" s="57" t="n"/>
      <c r="B360" s="57" t="n"/>
      <c r="C360" s="57" t="n"/>
      <c r="D360" s="57" t="n"/>
      <c r="E360" s="57" t="n"/>
      <c r="F360" s="57" t="n"/>
      <c r="G360" s="57" t="n"/>
      <c r="H360" s="57" t="n"/>
    </row>
    <row r="361" ht="15.75" customHeight="1" s="94">
      <c r="A361" s="57" t="n"/>
      <c r="B361" s="57" t="n"/>
      <c r="C361" s="57" t="n"/>
      <c r="D361" s="57" t="n"/>
      <c r="E361" s="57" t="n"/>
      <c r="F361" s="57" t="n"/>
      <c r="G361" s="57" t="n"/>
      <c r="H361" s="57" t="n"/>
    </row>
    <row r="362" ht="15.75" customHeight="1" s="94">
      <c r="A362" s="57" t="n"/>
      <c r="B362" s="57" t="n"/>
      <c r="C362" s="57" t="n"/>
      <c r="D362" s="57" t="n"/>
      <c r="E362" s="57" t="n"/>
      <c r="F362" s="57" t="n"/>
      <c r="G362" s="57" t="n"/>
      <c r="H362" s="57" t="n"/>
    </row>
    <row r="363" ht="15.75" customHeight="1" s="94">
      <c r="A363" s="57" t="n"/>
      <c r="B363" s="57" t="n"/>
      <c r="C363" s="57" t="n"/>
      <c r="D363" s="57" t="n"/>
      <c r="E363" s="57" t="n"/>
      <c r="F363" s="57" t="n"/>
      <c r="G363" s="57" t="n"/>
      <c r="H363" s="57" t="n"/>
    </row>
    <row r="364" ht="15.75" customHeight="1" s="94">
      <c r="A364" s="57" t="n"/>
      <c r="B364" s="57" t="n"/>
      <c r="C364" s="57" t="n"/>
      <c r="D364" s="57" t="n"/>
      <c r="E364" s="57" t="n"/>
      <c r="F364" s="57" t="n"/>
      <c r="G364" s="57" t="n"/>
      <c r="H364" s="57" t="n"/>
    </row>
    <row r="365" ht="15.75" customHeight="1" s="94">
      <c r="A365" s="57" t="n"/>
      <c r="B365" s="57" t="n"/>
      <c r="C365" s="57" t="n"/>
      <c r="D365" s="57" t="n"/>
      <c r="E365" s="57" t="n"/>
      <c r="F365" s="57" t="n"/>
      <c r="G365" s="57" t="n"/>
      <c r="H365" s="57" t="n"/>
    </row>
    <row r="366" ht="15.75" customHeight="1" s="94">
      <c r="A366" s="57" t="n"/>
      <c r="B366" s="57" t="n"/>
      <c r="C366" s="57" t="n"/>
      <c r="D366" s="57" t="n"/>
      <c r="E366" s="57" t="n"/>
      <c r="F366" s="57" t="n"/>
      <c r="G366" s="57" t="n"/>
      <c r="H366" s="57" t="n"/>
    </row>
    <row r="367" ht="15.75" customHeight="1" s="94">
      <c r="A367" s="57" t="n"/>
      <c r="B367" s="57" t="n"/>
      <c r="C367" s="57" t="n"/>
      <c r="D367" s="57" t="n"/>
      <c r="E367" s="57" t="n"/>
      <c r="F367" s="57" t="n"/>
      <c r="G367" s="57" t="n"/>
      <c r="H367" s="57" t="n"/>
    </row>
    <row r="368" ht="15.75" customHeight="1" s="94">
      <c r="A368" s="57" t="n"/>
      <c r="B368" s="57" t="n"/>
      <c r="C368" s="57" t="n"/>
      <c r="D368" s="57" t="n"/>
      <c r="E368" s="57" t="n"/>
      <c r="F368" s="57" t="n"/>
      <c r="G368" s="57" t="n"/>
      <c r="H368" s="57" t="n"/>
    </row>
    <row r="369" ht="15.75" customHeight="1" s="94">
      <c r="A369" s="57" t="n"/>
      <c r="B369" s="57" t="n"/>
      <c r="C369" s="57" t="n"/>
      <c r="D369" s="57" t="n"/>
      <c r="E369" s="57" t="n"/>
      <c r="F369" s="57" t="n"/>
      <c r="G369" s="57" t="n"/>
      <c r="H369" s="57" t="n"/>
    </row>
    <row r="370" ht="15.75" customHeight="1" s="94">
      <c r="A370" s="57" t="n"/>
      <c r="B370" s="57" t="n"/>
      <c r="C370" s="57" t="n"/>
      <c r="D370" s="57" t="n"/>
      <c r="E370" s="57" t="n"/>
      <c r="F370" s="57" t="n"/>
      <c r="G370" s="57" t="n"/>
      <c r="H370" s="57" t="n"/>
    </row>
    <row r="371" ht="15.75" customHeight="1" s="94">
      <c r="A371" s="57" t="n"/>
      <c r="B371" s="57" t="n"/>
      <c r="C371" s="57" t="n"/>
      <c r="D371" s="57" t="n"/>
      <c r="E371" s="57" t="n"/>
      <c r="F371" s="57" t="n"/>
      <c r="G371" s="57" t="n"/>
      <c r="H371" s="57" t="n"/>
    </row>
    <row r="372" ht="15.75" customHeight="1" s="94">
      <c r="A372" s="57" t="n"/>
      <c r="B372" s="57" t="n"/>
      <c r="C372" s="57" t="n"/>
      <c r="D372" s="57" t="n"/>
      <c r="E372" s="57" t="n"/>
      <c r="F372" s="57" t="n"/>
      <c r="G372" s="57" t="n"/>
      <c r="H372" s="57" t="n"/>
    </row>
    <row r="373" ht="15.75" customHeight="1" s="94">
      <c r="A373" s="57" t="n"/>
      <c r="B373" s="57" t="n"/>
      <c r="C373" s="57" t="n"/>
      <c r="D373" s="57" t="n"/>
      <c r="E373" s="57" t="n"/>
      <c r="F373" s="57" t="n"/>
      <c r="G373" s="57" t="n"/>
      <c r="H373" s="57" t="n"/>
    </row>
    <row r="374" ht="15.75" customHeight="1" s="94">
      <c r="A374" s="57" t="n"/>
      <c r="B374" s="57" t="n"/>
      <c r="C374" s="57" t="n"/>
      <c r="D374" s="57" t="n"/>
      <c r="E374" s="57" t="n"/>
      <c r="F374" s="57" t="n"/>
      <c r="G374" s="57" t="n"/>
      <c r="H374" s="57" t="n"/>
    </row>
    <row r="375" ht="15.75" customHeight="1" s="94">
      <c r="A375" s="57" t="n"/>
      <c r="B375" s="57" t="n"/>
      <c r="C375" s="57" t="n"/>
      <c r="D375" s="57" t="n"/>
      <c r="E375" s="57" t="n"/>
      <c r="F375" s="57" t="n"/>
      <c r="G375" s="57" t="n"/>
      <c r="H375" s="57" t="n"/>
    </row>
    <row r="376" ht="15.75" customHeight="1" s="94">
      <c r="A376" s="57" t="n"/>
      <c r="B376" s="57" t="n"/>
      <c r="C376" s="57" t="n"/>
      <c r="D376" s="57" t="n"/>
      <c r="E376" s="57" t="n"/>
      <c r="F376" s="57" t="n"/>
      <c r="G376" s="57" t="n"/>
      <c r="H376" s="57" t="n"/>
    </row>
    <row r="377" ht="15.75" customHeight="1" s="94">
      <c r="A377" s="57" t="n"/>
      <c r="B377" s="57" t="n"/>
      <c r="C377" s="57" t="n"/>
      <c r="D377" s="57" t="n"/>
      <c r="E377" s="57" t="n"/>
      <c r="F377" s="57" t="n"/>
      <c r="G377" s="57" t="n"/>
      <c r="H377" s="57" t="n"/>
    </row>
    <row r="378" ht="15.75" customHeight="1" s="94">
      <c r="A378" s="57" t="n"/>
      <c r="B378" s="57" t="n"/>
      <c r="C378" s="57" t="n"/>
      <c r="D378" s="57" t="n"/>
      <c r="E378" s="57" t="n"/>
      <c r="F378" s="57" t="n"/>
      <c r="G378" s="57" t="n"/>
      <c r="H378" s="57" t="n"/>
    </row>
    <row r="379" ht="15.75" customHeight="1" s="94">
      <c r="A379" s="57" t="n"/>
      <c r="B379" s="57" t="n"/>
      <c r="C379" s="57" t="n"/>
      <c r="D379" s="57" t="n"/>
      <c r="E379" s="57" t="n"/>
      <c r="F379" s="57" t="n"/>
      <c r="G379" s="57" t="n"/>
      <c r="H379" s="57" t="n"/>
    </row>
    <row r="380" ht="15.75" customHeight="1" s="94">
      <c r="A380" s="57" t="n"/>
      <c r="B380" s="57" t="n"/>
      <c r="C380" s="57" t="n"/>
      <c r="D380" s="57" t="n"/>
      <c r="E380" s="57" t="n"/>
      <c r="F380" s="57" t="n"/>
      <c r="G380" s="57" t="n"/>
      <c r="H380" s="57" t="n"/>
    </row>
    <row r="381" ht="15.75" customHeight="1" s="94">
      <c r="A381" s="57" t="n"/>
      <c r="B381" s="57" t="n"/>
      <c r="C381" s="57" t="n"/>
      <c r="D381" s="57" t="n"/>
      <c r="E381" s="57" t="n"/>
      <c r="F381" s="57" t="n"/>
      <c r="G381" s="57" t="n"/>
      <c r="H381" s="57" t="n"/>
    </row>
    <row r="382" ht="15.75" customHeight="1" s="94">
      <c r="A382" s="57" t="n"/>
      <c r="B382" s="57" t="n"/>
      <c r="C382" s="57" t="n"/>
      <c r="D382" s="57" t="n"/>
      <c r="E382" s="57" t="n"/>
      <c r="F382" s="57" t="n"/>
      <c r="G382" s="57" t="n"/>
      <c r="H382" s="57" t="n"/>
    </row>
    <row r="383" ht="15.75" customHeight="1" s="94">
      <c r="A383" s="57" t="n"/>
      <c r="B383" s="57" t="n"/>
      <c r="C383" s="57" t="n"/>
      <c r="D383" s="57" t="n"/>
      <c r="E383" s="57" t="n"/>
      <c r="F383" s="57" t="n"/>
      <c r="G383" s="57" t="n"/>
      <c r="H383" s="57" t="n"/>
    </row>
    <row r="384" ht="15.75" customHeight="1" s="94">
      <c r="A384" s="57" t="n"/>
      <c r="B384" s="57" t="n"/>
      <c r="C384" s="57" t="n"/>
      <c r="D384" s="57" t="n"/>
      <c r="E384" s="57" t="n"/>
      <c r="F384" s="57" t="n"/>
      <c r="G384" s="57" t="n"/>
      <c r="H384" s="57" t="n"/>
    </row>
    <row r="385" ht="15.75" customHeight="1" s="94">
      <c r="A385" s="57" t="n"/>
      <c r="B385" s="57" t="n"/>
      <c r="C385" s="57" t="n"/>
      <c r="D385" s="57" t="n"/>
      <c r="E385" s="57" t="n"/>
      <c r="F385" s="57" t="n"/>
      <c r="G385" s="57" t="n"/>
      <c r="H385" s="57" t="n"/>
    </row>
    <row r="386" ht="15.75" customHeight="1" s="94">
      <c r="A386" s="57" t="n"/>
      <c r="B386" s="57" t="n"/>
      <c r="C386" s="57" t="n"/>
      <c r="D386" s="57" t="n"/>
      <c r="E386" s="57" t="n"/>
      <c r="F386" s="57" t="n"/>
      <c r="G386" s="57" t="n"/>
      <c r="H386" s="57" t="n"/>
    </row>
    <row r="387" ht="15.75" customHeight="1" s="94">
      <c r="A387" s="57" t="n"/>
      <c r="B387" s="57" t="n"/>
      <c r="C387" s="57" t="n"/>
      <c r="D387" s="57" t="n"/>
      <c r="E387" s="57" t="n"/>
      <c r="F387" s="57" t="n"/>
      <c r="G387" s="57" t="n"/>
      <c r="H387" s="57" t="n"/>
    </row>
    <row r="388" ht="15.75" customHeight="1" s="94">
      <c r="A388" s="57" t="n"/>
      <c r="B388" s="57" t="n"/>
      <c r="C388" s="57" t="n"/>
      <c r="D388" s="57" t="n"/>
      <c r="E388" s="57" t="n"/>
      <c r="F388" s="57" t="n"/>
      <c r="G388" s="57" t="n"/>
      <c r="H388" s="57" t="n"/>
    </row>
    <row r="389" ht="15.75" customHeight="1" s="94">
      <c r="A389" s="57" t="n"/>
      <c r="B389" s="57" t="n"/>
      <c r="C389" s="57" t="n"/>
      <c r="D389" s="57" t="n"/>
      <c r="E389" s="57" t="n"/>
      <c r="F389" s="57" t="n"/>
      <c r="G389" s="57" t="n"/>
      <c r="H389" s="57" t="n"/>
    </row>
    <row r="390" ht="15.75" customHeight="1" s="94">
      <c r="A390" s="57" t="n"/>
      <c r="B390" s="57" t="n"/>
      <c r="C390" s="57" t="n"/>
      <c r="D390" s="57" t="n"/>
      <c r="E390" s="57" t="n"/>
      <c r="F390" s="57" t="n"/>
      <c r="G390" s="57" t="n"/>
      <c r="H390" s="57" t="n"/>
    </row>
    <row r="391" ht="15.75" customHeight="1" s="94">
      <c r="A391" s="57" t="n"/>
      <c r="B391" s="57" t="n"/>
      <c r="C391" s="57" t="n"/>
      <c r="D391" s="57" t="n"/>
      <c r="E391" s="57" t="n"/>
      <c r="F391" s="57" t="n"/>
      <c r="G391" s="57" t="n"/>
      <c r="H391" s="57" t="n"/>
    </row>
    <row r="392" ht="15.75" customHeight="1" s="94">
      <c r="A392" s="57" t="n"/>
      <c r="B392" s="57" t="n"/>
      <c r="C392" s="57" t="n"/>
      <c r="D392" s="57" t="n"/>
      <c r="E392" s="57" t="n"/>
      <c r="F392" s="57" t="n"/>
      <c r="G392" s="57" t="n"/>
      <c r="H392" s="57" t="n"/>
    </row>
    <row r="393" ht="15.75" customHeight="1" s="94">
      <c r="A393" s="57" t="n"/>
      <c r="B393" s="57" t="n"/>
      <c r="C393" s="57" t="n"/>
      <c r="D393" s="57" t="n"/>
      <c r="E393" s="57" t="n"/>
      <c r="F393" s="57" t="n"/>
      <c r="G393" s="57" t="n"/>
      <c r="H393" s="57" t="n"/>
    </row>
    <row r="394" ht="15.75" customHeight="1" s="94">
      <c r="A394" s="57" t="n"/>
      <c r="B394" s="57" t="n"/>
      <c r="C394" s="57" t="n"/>
      <c r="D394" s="57" t="n"/>
      <c r="E394" s="57" t="n"/>
      <c r="F394" s="57" t="n"/>
      <c r="G394" s="57" t="n"/>
      <c r="H394" s="57" t="n"/>
    </row>
    <row r="395" ht="15.75" customHeight="1" s="94">
      <c r="A395" s="57" t="n"/>
      <c r="B395" s="57" t="n"/>
      <c r="C395" s="57" t="n"/>
      <c r="D395" s="57" t="n"/>
      <c r="E395" s="57" t="n"/>
      <c r="F395" s="57" t="n"/>
      <c r="G395" s="57" t="n"/>
      <c r="H395" s="57" t="n"/>
    </row>
    <row r="396" ht="15.75" customHeight="1" s="94">
      <c r="A396" s="57" t="n"/>
      <c r="B396" s="57" t="n"/>
      <c r="C396" s="57" t="n"/>
      <c r="D396" s="57" t="n"/>
      <c r="E396" s="57" t="n"/>
      <c r="F396" s="57" t="n"/>
      <c r="G396" s="57" t="n"/>
      <c r="H396" s="57" t="n"/>
    </row>
    <row r="397" ht="15.75" customHeight="1" s="94">
      <c r="A397" s="57" t="n"/>
      <c r="B397" s="57" t="n"/>
      <c r="C397" s="57" t="n"/>
      <c r="D397" s="57" t="n"/>
      <c r="E397" s="57" t="n"/>
      <c r="F397" s="57" t="n"/>
      <c r="G397" s="57" t="n"/>
      <c r="H397" s="57" t="n"/>
    </row>
    <row r="398" ht="15.75" customHeight="1" s="94">
      <c r="A398" s="57" t="n"/>
      <c r="B398" s="57" t="n"/>
      <c r="C398" s="57" t="n"/>
      <c r="D398" s="57" t="n"/>
      <c r="E398" s="57" t="n"/>
      <c r="F398" s="57" t="n"/>
      <c r="G398" s="57" t="n"/>
      <c r="H398" s="57" t="n"/>
    </row>
    <row r="399" ht="15.75" customHeight="1" s="94">
      <c r="A399" s="57" t="n"/>
      <c r="B399" s="57" t="n"/>
      <c r="C399" s="57" t="n"/>
      <c r="D399" s="57" t="n"/>
      <c r="E399" s="57" t="n"/>
      <c r="F399" s="57" t="n"/>
      <c r="G399" s="57" t="n"/>
      <c r="H399" s="57" t="n"/>
    </row>
    <row r="400" ht="15.75" customHeight="1" s="94">
      <c r="A400" s="57" t="n"/>
      <c r="B400" s="57" t="n"/>
      <c r="C400" s="57" t="n"/>
      <c r="D400" s="57" t="n"/>
      <c r="E400" s="57" t="n"/>
      <c r="F400" s="57" t="n"/>
      <c r="G400" s="57" t="n"/>
      <c r="H400" s="57" t="n"/>
    </row>
    <row r="401" ht="15.75" customHeight="1" s="94">
      <c r="A401" s="57" t="n"/>
      <c r="B401" s="57" t="n"/>
      <c r="C401" s="57" t="n"/>
      <c r="D401" s="57" t="n"/>
      <c r="E401" s="57" t="n"/>
      <c r="F401" s="57" t="n"/>
      <c r="G401" s="57" t="n"/>
      <c r="H401" s="57" t="n"/>
    </row>
    <row r="402" ht="15.75" customHeight="1" s="94">
      <c r="A402" s="57" t="n"/>
      <c r="B402" s="57" t="n"/>
      <c r="C402" s="57" t="n"/>
      <c r="D402" s="57" t="n"/>
      <c r="E402" s="57" t="n"/>
      <c r="F402" s="57" t="n"/>
      <c r="G402" s="57" t="n"/>
      <c r="H402" s="57" t="n"/>
    </row>
    <row r="403" ht="15.75" customHeight="1" s="94">
      <c r="A403" s="57" t="n"/>
      <c r="B403" s="57" t="n"/>
      <c r="C403" s="57" t="n"/>
      <c r="D403" s="57" t="n"/>
      <c r="E403" s="57" t="n"/>
      <c r="F403" s="57" t="n"/>
      <c r="G403" s="57" t="n"/>
      <c r="H403" s="57" t="n"/>
    </row>
    <row r="404" ht="15.75" customHeight="1" s="94">
      <c r="A404" s="57" t="n"/>
      <c r="B404" s="57" t="n"/>
      <c r="C404" s="57" t="n"/>
      <c r="D404" s="57" t="n"/>
      <c r="E404" s="57" t="n"/>
      <c r="F404" s="57" t="n"/>
      <c r="G404" s="57" t="n"/>
      <c r="H404" s="57" t="n"/>
    </row>
    <row r="405" ht="15.75" customHeight="1" s="94">
      <c r="A405" s="57" t="n"/>
      <c r="B405" s="57" t="n"/>
      <c r="C405" s="57" t="n"/>
      <c r="D405" s="57" t="n"/>
      <c r="E405" s="57" t="n"/>
      <c r="F405" s="57" t="n"/>
      <c r="G405" s="57" t="n"/>
      <c r="H405" s="57" t="n"/>
    </row>
    <row r="406" ht="15.75" customHeight="1" s="94">
      <c r="A406" s="57" t="n"/>
      <c r="B406" s="57" t="n"/>
      <c r="C406" s="57" t="n"/>
      <c r="D406" s="57" t="n"/>
      <c r="E406" s="57" t="n"/>
      <c r="F406" s="57" t="n"/>
      <c r="G406" s="57" t="n"/>
      <c r="H406" s="57" t="n"/>
    </row>
    <row r="407" ht="15.75" customHeight="1" s="94">
      <c r="A407" s="57" t="n"/>
      <c r="B407" s="57" t="n"/>
      <c r="C407" s="57" t="n"/>
      <c r="D407" s="57" t="n"/>
      <c r="E407" s="57" t="n"/>
      <c r="F407" s="57" t="n"/>
      <c r="G407" s="57" t="n"/>
      <c r="H407" s="57" t="n"/>
    </row>
    <row r="408" ht="15.75" customHeight="1" s="94">
      <c r="A408" s="57" t="n"/>
      <c r="B408" s="57" t="n"/>
      <c r="C408" s="57" t="n"/>
      <c r="D408" s="57" t="n"/>
      <c r="E408" s="57" t="n"/>
      <c r="F408" s="57" t="n"/>
      <c r="G408" s="57" t="n"/>
      <c r="H408" s="57" t="n"/>
    </row>
    <row r="409" ht="15.75" customHeight="1" s="94">
      <c r="A409" s="57" t="n"/>
      <c r="B409" s="57" t="n"/>
      <c r="C409" s="57" t="n"/>
      <c r="D409" s="57" t="n"/>
      <c r="E409" s="57" t="n"/>
      <c r="F409" s="57" t="n"/>
      <c r="G409" s="57" t="n"/>
      <c r="H409" s="57" t="n"/>
    </row>
    <row r="410" ht="15.75" customHeight="1" s="94">
      <c r="A410" s="57" t="n"/>
      <c r="B410" s="57" t="n"/>
      <c r="C410" s="57" t="n"/>
      <c r="D410" s="57" t="n"/>
      <c r="E410" s="57" t="n"/>
      <c r="F410" s="57" t="n"/>
      <c r="G410" s="57" t="n"/>
      <c r="H410" s="57" t="n"/>
    </row>
    <row r="411" ht="15.75" customHeight="1" s="94">
      <c r="A411" s="57" t="n"/>
      <c r="B411" s="57" t="n"/>
      <c r="C411" s="57" t="n"/>
      <c r="D411" s="57" t="n"/>
      <c r="E411" s="57" t="n"/>
      <c r="F411" s="57" t="n"/>
      <c r="G411" s="57" t="n"/>
      <c r="H411" s="57" t="n"/>
    </row>
    <row r="412" ht="15.75" customHeight="1" s="94">
      <c r="A412" s="57" t="n"/>
      <c r="B412" s="57" t="n"/>
      <c r="C412" s="57" t="n"/>
      <c r="D412" s="57" t="n"/>
      <c r="E412" s="57" t="n"/>
      <c r="F412" s="57" t="n"/>
      <c r="G412" s="57" t="n"/>
      <c r="H412" s="57" t="n"/>
    </row>
    <row r="413" ht="15.75" customHeight="1" s="94">
      <c r="A413" s="57" t="n"/>
      <c r="B413" s="57" t="n"/>
      <c r="C413" s="57" t="n"/>
      <c r="D413" s="57" t="n"/>
      <c r="E413" s="57" t="n"/>
      <c r="F413" s="57" t="n"/>
      <c r="G413" s="57" t="n"/>
      <c r="H413" s="57" t="n"/>
    </row>
    <row r="414" ht="15.75" customHeight="1" s="94">
      <c r="A414" s="57" t="n"/>
      <c r="B414" s="57" t="n"/>
      <c r="C414" s="57" t="n"/>
      <c r="D414" s="57" t="n"/>
      <c r="E414" s="57" t="n"/>
      <c r="F414" s="57" t="n"/>
      <c r="G414" s="57" t="n"/>
      <c r="H414" s="57" t="n"/>
    </row>
    <row r="415" ht="15.75" customHeight="1" s="94">
      <c r="A415" s="57" t="n"/>
      <c r="B415" s="57" t="n"/>
      <c r="C415" s="57" t="n"/>
      <c r="D415" s="57" t="n"/>
      <c r="E415" s="57" t="n"/>
      <c r="F415" s="57" t="n"/>
      <c r="G415" s="57" t="n"/>
      <c r="H415" s="57" t="n"/>
    </row>
    <row r="416" ht="15.75" customHeight="1" s="94">
      <c r="A416" s="57" t="n"/>
      <c r="B416" s="57" t="n"/>
      <c r="C416" s="57" t="n"/>
      <c r="D416" s="57" t="n"/>
      <c r="E416" s="57" t="n"/>
      <c r="F416" s="57" t="n"/>
      <c r="G416" s="57" t="n"/>
      <c r="H416" s="57" t="n"/>
    </row>
    <row r="417" ht="15.75" customHeight="1" s="94">
      <c r="A417" s="57" t="n"/>
      <c r="B417" s="57" t="n"/>
      <c r="C417" s="57" t="n"/>
      <c r="D417" s="57" t="n"/>
      <c r="E417" s="57" t="n"/>
      <c r="F417" s="57" t="n"/>
      <c r="G417" s="57" t="n"/>
      <c r="H417" s="57" t="n"/>
    </row>
    <row r="418" ht="15.75" customHeight="1" s="94">
      <c r="A418" s="57" t="n"/>
      <c r="B418" s="57" t="n"/>
      <c r="C418" s="57" t="n"/>
      <c r="D418" s="57" t="n"/>
      <c r="E418" s="57" t="n"/>
      <c r="F418" s="57" t="n"/>
      <c r="G418" s="57" t="n"/>
      <c r="H418" s="57" t="n"/>
    </row>
    <row r="419" ht="15.75" customHeight="1" s="94">
      <c r="A419" s="57" t="n"/>
      <c r="B419" s="57" t="n"/>
      <c r="C419" s="57" t="n"/>
      <c r="D419" s="57" t="n"/>
      <c r="E419" s="57" t="n"/>
      <c r="F419" s="57" t="n"/>
      <c r="G419" s="57" t="n"/>
      <c r="H419" s="57" t="n"/>
    </row>
    <row r="420" ht="15.75" customHeight="1" s="94">
      <c r="A420" s="57" t="n"/>
      <c r="B420" s="57" t="n"/>
      <c r="C420" s="57" t="n"/>
      <c r="D420" s="57" t="n"/>
      <c r="E420" s="57" t="n"/>
      <c r="F420" s="57" t="n"/>
      <c r="G420" s="57" t="n"/>
      <c r="H420" s="57" t="n"/>
    </row>
    <row r="421" ht="15.75" customHeight="1" s="94">
      <c r="A421" s="57" t="n"/>
      <c r="B421" s="57" t="n"/>
      <c r="C421" s="57" t="n"/>
      <c r="D421" s="57" t="n"/>
      <c r="E421" s="57" t="n"/>
      <c r="F421" s="57" t="n"/>
      <c r="G421" s="57" t="n"/>
      <c r="H421" s="57" t="n"/>
    </row>
    <row r="422" ht="15.75" customHeight="1" s="94">
      <c r="A422" s="57" t="n"/>
      <c r="B422" s="57" t="n"/>
      <c r="C422" s="57" t="n"/>
      <c r="D422" s="57" t="n"/>
      <c r="E422" s="57" t="n"/>
      <c r="F422" s="57" t="n"/>
      <c r="G422" s="57" t="n"/>
      <c r="H422" s="57" t="n"/>
    </row>
    <row r="423" ht="15.75" customHeight="1" s="94">
      <c r="A423" s="57" t="n"/>
      <c r="B423" s="57" t="n"/>
      <c r="C423" s="57" t="n"/>
      <c r="D423" s="57" t="n"/>
      <c r="E423" s="57" t="n"/>
      <c r="F423" s="57" t="n"/>
      <c r="G423" s="57" t="n"/>
      <c r="H423" s="57" t="n"/>
    </row>
    <row r="424" ht="15.75" customHeight="1" s="94">
      <c r="A424" s="57" t="n"/>
      <c r="B424" s="57" t="n"/>
      <c r="C424" s="57" t="n"/>
      <c r="D424" s="57" t="n"/>
      <c r="E424" s="57" t="n"/>
      <c r="F424" s="57" t="n"/>
      <c r="G424" s="57" t="n"/>
      <c r="H424" s="57" t="n"/>
    </row>
    <row r="425" ht="15.75" customHeight="1" s="94">
      <c r="A425" s="57" t="n"/>
      <c r="B425" s="57" t="n"/>
      <c r="C425" s="57" t="n"/>
      <c r="D425" s="57" t="n"/>
      <c r="E425" s="57" t="n"/>
      <c r="F425" s="57" t="n"/>
      <c r="G425" s="57" t="n"/>
      <c r="H425" s="57" t="n"/>
    </row>
    <row r="426" ht="15.75" customHeight="1" s="94">
      <c r="A426" s="57" t="n"/>
      <c r="B426" s="57" t="n"/>
      <c r="C426" s="57" t="n"/>
      <c r="D426" s="57" t="n"/>
      <c r="E426" s="57" t="n"/>
      <c r="F426" s="57" t="n"/>
      <c r="G426" s="57" t="n"/>
      <c r="H426" s="57" t="n"/>
    </row>
    <row r="427" ht="15.75" customHeight="1" s="94">
      <c r="A427" s="57" t="n"/>
      <c r="B427" s="57" t="n"/>
      <c r="C427" s="57" t="n"/>
      <c r="D427" s="57" t="n"/>
      <c r="E427" s="57" t="n"/>
      <c r="F427" s="57" t="n"/>
      <c r="G427" s="57" t="n"/>
      <c r="H427" s="57" t="n"/>
    </row>
    <row r="428" ht="15.75" customHeight="1" s="94">
      <c r="A428" s="57" t="n"/>
      <c r="B428" s="57" t="n"/>
      <c r="C428" s="57" t="n"/>
      <c r="D428" s="57" t="n"/>
      <c r="E428" s="57" t="n"/>
      <c r="F428" s="57" t="n"/>
      <c r="G428" s="57" t="n"/>
      <c r="H428" s="57" t="n"/>
    </row>
    <row r="429" ht="15.75" customHeight="1" s="94">
      <c r="A429" s="57" t="n"/>
      <c r="B429" s="57" t="n"/>
      <c r="C429" s="57" t="n"/>
      <c r="D429" s="57" t="n"/>
      <c r="E429" s="57" t="n"/>
      <c r="F429" s="57" t="n"/>
      <c r="G429" s="57" t="n"/>
      <c r="H429" s="57" t="n"/>
    </row>
    <row r="430" ht="15.75" customHeight="1" s="94">
      <c r="A430" s="57" t="n"/>
      <c r="B430" s="57" t="n"/>
      <c r="C430" s="57" t="n"/>
      <c r="D430" s="57" t="n"/>
      <c r="E430" s="57" t="n"/>
      <c r="F430" s="57" t="n"/>
      <c r="G430" s="57" t="n"/>
      <c r="H430" s="57" t="n"/>
    </row>
    <row r="431" ht="15.75" customHeight="1" s="94">
      <c r="A431" s="57" t="n"/>
      <c r="B431" s="57" t="n"/>
      <c r="C431" s="57" t="n"/>
      <c r="D431" s="57" t="n"/>
      <c r="E431" s="57" t="n"/>
      <c r="F431" s="57" t="n"/>
      <c r="G431" s="57" t="n"/>
      <c r="H431" s="57" t="n"/>
    </row>
    <row r="432" ht="15.75" customHeight="1" s="94">
      <c r="A432" s="57" t="n"/>
      <c r="B432" s="57" t="n"/>
      <c r="C432" s="57" t="n"/>
      <c r="D432" s="57" t="n"/>
      <c r="E432" s="57" t="n"/>
      <c r="F432" s="57" t="n"/>
      <c r="G432" s="57" t="n"/>
      <c r="H432" s="57" t="n"/>
    </row>
    <row r="433" ht="15.75" customHeight="1" s="94">
      <c r="A433" s="57" t="n"/>
      <c r="B433" s="57" t="n"/>
      <c r="C433" s="57" t="n"/>
      <c r="D433" s="57" t="n"/>
      <c r="E433" s="57" t="n"/>
      <c r="F433" s="57" t="n"/>
      <c r="G433" s="57" t="n"/>
      <c r="H433" s="57" t="n"/>
    </row>
    <row r="434" ht="15.75" customHeight="1" s="94">
      <c r="A434" s="57" t="n"/>
      <c r="B434" s="57" t="n"/>
      <c r="C434" s="57" t="n"/>
      <c r="D434" s="57" t="n"/>
      <c r="E434" s="57" t="n"/>
      <c r="F434" s="57" t="n"/>
      <c r="G434" s="57" t="n"/>
      <c r="H434" s="57" t="n"/>
    </row>
    <row r="435" ht="15.75" customHeight="1" s="94">
      <c r="A435" s="57" t="n"/>
      <c r="B435" s="57" t="n"/>
      <c r="C435" s="57" t="n"/>
      <c r="D435" s="57" t="n"/>
      <c r="E435" s="57" t="n"/>
      <c r="F435" s="57" t="n"/>
      <c r="G435" s="57" t="n"/>
      <c r="H435" s="57" t="n"/>
    </row>
    <row r="436" ht="15.75" customHeight="1" s="94">
      <c r="A436" s="57" t="n"/>
      <c r="B436" s="57" t="n"/>
      <c r="C436" s="57" t="n"/>
      <c r="D436" s="57" t="n"/>
      <c r="E436" s="57" t="n"/>
      <c r="F436" s="57" t="n"/>
      <c r="G436" s="57" t="n"/>
      <c r="H436" s="57" t="n"/>
    </row>
    <row r="437" ht="15.75" customHeight="1" s="94">
      <c r="A437" s="57" t="n"/>
      <c r="B437" s="57" t="n"/>
      <c r="C437" s="57" t="n"/>
      <c r="D437" s="57" t="n"/>
      <c r="E437" s="57" t="n"/>
      <c r="F437" s="57" t="n"/>
      <c r="G437" s="57" t="n"/>
      <c r="H437" s="57" t="n"/>
    </row>
    <row r="438" ht="15.75" customHeight="1" s="94">
      <c r="A438" s="57" t="n"/>
      <c r="B438" s="57" t="n"/>
      <c r="C438" s="57" t="n"/>
      <c r="D438" s="57" t="n"/>
      <c r="E438" s="57" t="n"/>
      <c r="F438" s="57" t="n"/>
      <c r="G438" s="57" t="n"/>
      <c r="H438" s="57" t="n"/>
    </row>
    <row r="439" ht="15.75" customHeight="1" s="94">
      <c r="A439" s="57" t="n"/>
      <c r="B439" s="57" t="n"/>
      <c r="C439" s="57" t="n"/>
      <c r="D439" s="57" t="n"/>
      <c r="E439" s="57" t="n"/>
      <c r="F439" s="57" t="n"/>
      <c r="G439" s="57" t="n"/>
      <c r="H439" s="57" t="n"/>
    </row>
    <row r="440" ht="15.75" customHeight="1" s="94">
      <c r="A440" s="57" t="n"/>
      <c r="B440" s="57" t="n"/>
      <c r="C440" s="57" t="n"/>
      <c r="D440" s="57" t="n"/>
      <c r="E440" s="57" t="n"/>
      <c r="F440" s="57" t="n"/>
      <c r="G440" s="57" t="n"/>
      <c r="H440" s="57" t="n"/>
    </row>
    <row r="441" ht="15.75" customHeight="1" s="94">
      <c r="A441" s="57" t="n"/>
      <c r="B441" s="57" t="n"/>
      <c r="C441" s="57" t="n"/>
      <c r="D441" s="57" t="n"/>
      <c r="E441" s="57" t="n"/>
      <c r="F441" s="57" t="n"/>
      <c r="G441" s="57" t="n"/>
      <c r="H441" s="57" t="n"/>
    </row>
    <row r="442" ht="15.75" customHeight="1" s="94">
      <c r="A442" s="57" t="n"/>
      <c r="B442" s="57" t="n"/>
      <c r="C442" s="57" t="n"/>
      <c r="D442" s="57" t="n"/>
      <c r="E442" s="57" t="n"/>
      <c r="F442" s="57" t="n"/>
      <c r="G442" s="57" t="n"/>
      <c r="H442" s="57" t="n"/>
    </row>
    <row r="443" ht="15.75" customHeight="1" s="94">
      <c r="A443" s="57" t="n"/>
      <c r="B443" s="57" t="n"/>
      <c r="C443" s="57" t="n"/>
      <c r="D443" s="57" t="n"/>
      <c r="E443" s="57" t="n"/>
      <c r="F443" s="57" t="n"/>
      <c r="G443" s="57" t="n"/>
      <c r="H443" s="57" t="n"/>
    </row>
    <row r="444" ht="15.75" customHeight="1" s="94">
      <c r="A444" s="57" t="n"/>
      <c r="B444" s="57" t="n"/>
      <c r="C444" s="57" t="n"/>
      <c r="D444" s="57" t="n"/>
      <c r="E444" s="57" t="n"/>
      <c r="F444" s="57" t="n"/>
      <c r="G444" s="57" t="n"/>
      <c r="H444" s="57" t="n"/>
    </row>
    <row r="445" ht="15.75" customHeight="1" s="94">
      <c r="A445" s="57" t="n"/>
      <c r="B445" s="57" t="n"/>
      <c r="C445" s="57" t="n"/>
      <c r="D445" s="57" t="n"/>
      <c r="E445" s="57" t="n"/>
      <c r="F445" s="57" t="n"/>
      <c r="G445" s="57" t="n"/>
      <c r="H445" s="57" t="n"/>
    </row>
    <row r="446" ht="15.75" customHeight="1" s="94">
      <c r="A446" s="57" t="n"/>
      <c r="B446" s="57" t="n"/>
      <c r="C446" s="57" t="n"/>
      <c r="D446" s="57" t="n"/>
      <c r="E446" s="57" t="n"/>
      <c r="F446" s="57" t="n"/>
      <c r="G446" s="57" t="n"/>
      <c r="H446" s="57" t="n"/>
    </row>
    <row r="447" ht="15.75" customHeight="1" s="94">
      <c r="A447" s="57" t="n"/>
      <c r="B447" s="57" t="n"/>
      <c r="C447" s="57" t="n"/>
      <c r="D447" s="57" t="n"/>
      <c r="E447" s="57" t="n"/>
      <c r="F447" s="57" t="n"/>
      <c r="G447" s="57" t="n"/>
      <c r="H447" s="57" t="n"/>
    </row>
    <row r="448" ht="15.75" customHeight="1" s="94">
      <c r="A448" s="57" t="n"/>
      <c r="B448" s="57" t="n"/>
      <c r="C448" s="57" t="n"/>
      <c r="D448" s="57" t="n"/>
      <c r="E448" s="57" t="n"/>
      <c r="F448" s="57" t="n"/>
      <c r="G448" s="57" t="n"/>
      <c r="H448" s="57" t="n"/>
    </row>
    <row r="449" ht="15.75" customHeight="1" s="94">
      <c r="A449" s="57" t="n"/>
      <c r="B449" s="57" t="n"/>
      <c r="C449" s="57" t="n"/>
      <c r="D449" s="57" t="n"/>
      <c r="E449" s="57" t="n"/>
      <c r="F449" s="57" t="n"/>
      <c r="G449" s="57" t="n"/>
      <c r="H449" s="57" t="n"/>
    </row>
    <row r="450" ht="15.75" customHeight="1" s="94">
      <c r="A450" s="57" t="n"/>
      <c r="B450" s="57" t="n"/>
      <c r="C450" s="57" t="n"/>
      <c r="D450" s="57" t="n"/>
      <c r="E450" s="57" t="n"/>
      <c r="F450" s="57" t="n"/>
      <c r="G450" s="57" t="n"/>
      <c r="H450" s="57" t="n"/>
    </row>
    <row r="451" ht="15.75" customHeight="1" s="94">
      <c r="A451" s="57" t="n"/>
      <c r="B451" s="57" t="n"/>
      <c r="C451" s="57" t="n"/>
      <c r="D451" s="57" t="n"/>
      <c r="E451" s="57" t="n"/>
      <c r="F451" s="57" t="n"/>
      <c r="G451" s="57" t="n"/>
      <c r="H451" s="57" t="n"/>
    </row>
    <row r="452" ht="15.75" customHeight="1" s="94">
      <c r="A452" s="57" t="n"/>
      <c r="B452" s="57" t="n"/>
      <c r="C452" s="57" t="n"/>
      <c r="D452" s="57" t="n"/>
      <c r="E452" s="57" t="n"/>
      <c r="F452" s="57" t="n"/>
      <c r="G452" s="57" t="n"/>
      <c r="H452" s="57" t="n"/>
    </row>
    <row r="453" ht="15.75" customHeight="1" s="94">
      <c r="A453" s="57" t="n"/>
      <c r="B453" s="57" t="n"/>
      <c r="C453" s="57" t="n"/>
      <c r="D453" s="57" t="n"/>
      <c r="E453" s="57" t="n"/>
      <c r="F453" s="57" t="n"/>
      <c r="G453" s="57" t="n"/>
      <c r="H453" s="57" t="n"/>
    </row>
    <row r="454" ht="15.75" customHeight="1" s="94">
      <c r="A454" s="57" t="n"/>
      <c r="B454" s="57" t="n"/>
      <c r="C454" s="57" t="n"/>
      <c r="D454" s="57" t="n"/>
      <c r="E454" s="57" t="n"/>
      <c r="F454" s="57" t="n"/>
      <c r="G454" s="57" t="n"/>
      <c r="H454" s="57" t="n"/>
    </row>
    <row r="455" ht="15.75" customHeight="1" s="94">
      <c r="A455" s="57" t="n"/>
      <c r="B455" s="57" t="n"/>
      <c r="C455" s="57" t="n"/>
      <c r="D455" s="57" t="n"/>
      <c r="E455" s="57" t="n"/>
      <c r="F455" s="57" t="n"/>
      <c r="G455" s="57" t="n"/>
      <c r="H455" s="57" t="n"/>
    </row>
    <row r="456" ht="15.75" customHeight="1" s="94">
      <c r="A456" s="57" t="n"/>
      <c r="B456" s="57" t="n"/>
      <c r="C456" s="57" t="n"/>
      <c r="D456" s="57" t="n"/>
      <c r="E456" s="57" t="n"/>
      <c r="F456" s="57" t="n"/>
      <c r="G456" s="57" t="n"/>
      <c r="H456" s="57" t="n"/>
    </row>
    <row r="457" ht="15.75" customHeight="1" s="94">
      <c r="A457" s="57" t="n"/>
      <c r="B457" s="57" t="n"/>
      <c r="C457" s="57" t="n"/>
      <c r="D457" s="57" t="n"/>
      <c r="E457" s="57" t="n"/>
      <c r="F457" s="57" t="n"/>
      <c r="G457" s="57" t="n"/>
      <c r="H457" s="57" t="n"/>
    </row>
    <row r="458" ht="15.75" customHeight="1" s="94">
      <c r="A458" s="57" t="n"/>
      <c r="B458" s="57" t="n"/>
      <c r="C458" s="57" t="n"/>
      <c r="D458" s="57" t="n"/>
      <c r="E458" s="57" t="n"/>
      <c r="F458" s="57" t="n"/>
      <c r="G458" s="57" t="n"/>
      <c r="H458" s="57" t="n"/>
    </row>
    <row r="459" ht="15.75" customHeight="1" s="94">
      <c r="A459" s="57" t="n"/>
      <c r="B459" s="57" t="n"/>
      <c r="C459" s="57" t="n"/>
      <c r="D459" s="57" t="n"/>
      <c r="E459" s="57" t="n"/>
      <c r="F459" s="57" t="n"/>
      <c r="G459" s="57" t="n"/>
      <c r="H459" s="57" t="n"/>
    </row>
    <row r="460" ht="15.75" customHeight="1" s="94">
      <c r="A460" s="57" t="n"/>
      <c r="B460" s="57" t="n"/>
      <c r="C460" s="57" t="n"/>
      <c r="D460" s="57" t="n"/>
      <c r="E460" s="57" t="n"/>
      <c r="F460" s="57" t="n"/>
      <c r="G460" s="57" t="n"/>
      <c r="H460" s="57" t="n"/>
    </row>
    <row r="461" ht="15.75" customHeight="1" s="94">
      <c r="A461" s="57" t="n"/>
      <c r="B461" s="57" t="n"/>
      <c r="C461" s="57" t="n"/>
      <c r="D461" s="57" t="n"/>
      <c r="E461" s="57" t="n"/>
      <c r="F461" s="57" t="n"/>
      <c r="G461" s="57" t="n"/>
      <c r="H461" s="57" t="n"/>
    </row>
    <row r="462" ht="15.75" customHeight="1" s="94">
      <c r="A462" s="57" t="n"/>
      <c r="B462" s="57" t="n"/>
      <c r="C462" s="57" t="n"/>
      <c r="D462" s="57" t="n"/>
      <c r="E462" s="57" t="n"/>
      <c r="F462" s="57" t="n"/>
      <c r="G462" s="57" t="n"/>
      <c r="H462" s="57" t="n"/>
    </row>
    <row r="463" ht="15.75" customHeight="1" s="94">
      <c r="A463" s="57" t="n"/>
      <c r="B463" s="57" t="n"/>
      <c r="C463" s="57" t="n"/>
      <c r="D463" s="57" t="n"/>
      <c r="E463" s="57" t="n"/>
      <c r="F463" s="57" t="n"/>
      <c r="G463" s="57" t="n"/>
      <c r="H463" s="57" t="n"/>
    </row>
    <row r="464" ht="15.75" customHeight="1" s="94">
      <c r="A464" s="57" t="n"/>
      <c r="B464" s="57" t="n"/>
      <c r="C464" s="57" t="n"/>
      <c r="D464" s="57" t="n"/>
      <c r="E464" s="57" t="n"/>
      <c r="F464" s="57" t="n"/>
      <c r="G464" s="57" t="n"/>
      <c r="H464" s="57" t="n"/>
    </row>
    <row r="465" ht="15.75" customHeight="1" s="94">
      <c r="A465" s="57" t="n"/>
      <c r="B465" s="57" t="n"/>
      <c r="C465" s="57" t="n"/>
      <c r="D465" s="57" t="n"/>
      <c r="E465" s="57" t="n"/>
      <c r="F465" s="57" t="n"/>
      <c r="G465" s="57" t="n"/>
      <c r="H465" s="57" t="n"/>
    </row>
    <row r="466" ht="15.75" customHeight="1" s="94">
      <c r="A466" s="57" t="n"/>
      <c r="B466" s="57" t="n"/>
      <c r="C466" s="57" t="n"/>
      <c r="D466" s="57" t="n"/>
      <c r="E466" s="57" t="n"/>
      <c r="F466" s="57" t="n"/>
      <c r="G466" s="57" t="n"/>
      <c r="H466" s="57" t="n"/>
    </row>
    <row r="467" ht="15.75" customHeight="1" s="94">
      <c r="A467" s="57" t="n"/>
      <c r="B467" s="57" t="n"/>
      <c r="C467" s="57" t="n"/>
      <c r="D467" s="57" t="n"/>
      <c r="E467" s="57" t="n"/>
      <c r="F467" s="57" t="n"/>
      <c r="G467" s="57" t="n"/>
      <c r="H467" s="57" t="n"/>
    </row>
    <row r="468" ht="15.75" customHeight="1" s="94">
      <c r="A468" s="57" t="n"/>
      <c r="B468" s="57" t="n"/>
      <c r="C468" s="57" t="n"/>
      <c r="D468" s="57" t="n"/>
      <c r="E468" s="57" t="n"/>
      <c r="F468" s="57" t="n"/>
      <c r="G468" s="57" t="n"/>
      <c r="H468" s="57" t="n"/>
    </row>
    <row r="469" ht="15.75" customHeight="1" s="94">
      <c r="A469" s="57" t="n"/>
      <c r="B469" s="57" t="n"/>
      <c r="C469" s="57" t="n"/>
      <c r="D469" s="57" t="n"/>
      <c r="E469" s="57" t="n"/>
      <c r="F469" s="57" t="n"/>
      <c r="G469" s="57" t="n"/>
      <c r="H469" s="57" t="n"/>
    </row>
    <row r="470" ht="15.75" customHeight="1" s="94">
      <c r="A470" s="57" t="n"/>
      <c r="B470" s="57" t="n"/>
      <c r="C470" s="57" t="n"/>
      <c r="D470" s="57" t="n"/>
      <c r="E470" s="57" t="n"/>
      <c r="F470" s="57" t="n"/>
      <c r="G470" s="57" t="n"/>
      <c r="H470" s="57" t="n"/>
    </row>
    <row r="471" ht="15.75" customHeight="1" s="94">
      <c r="A471" s="57" t="n"/>
      <c r="B471" s="57" t="n"/>
      <c r="C471" s="57" t="n"/>
      <c r="D471" s="57" t="n"/>
      <c r="E471" s="57" t="n"/>
      <c r="F471" s="57" t="n"/>
      <c r="G471" s="57" t="n"/>
      <c r="H471" s="57" t="n"/>
    </row>
    <row r="472" ht="15.75" customHeight="1" s="94">
      <c r="A472" s="57" t="n"/>
      <c r="B472" s="57" t="n"/>
      <c r="C472" s="57" t="n"/>
      <c r="D472" s="57" t="n"/>
      <c r="E472" s="57" t="n"/>
      <c r="F472" s="57" t="n"/>
      <c r="G472" s="57" t="n"/>
      <c r="H472" s="57" t="n"/>
    </row>
    <row r="473" ht="15.75" customHeight="1" s="94">
      <c r="A473" s="57" t="n"/>
      <c r="B473" s="57" t="n"/>
      <c r="C473" s="57" t="n"/>
      <c r="D473" s="57" t="n"/>
      <c r="E473" s="57" t="n"/>
      <c r="F473" s="57" t="n"/>
      <c r="G473" s="57" t="n"/>
      <c r="H473" s="57" t="n"/>
    </row>
    <row r="474" ht="15.75" customHeight="1" s="94">
      <c r="A474" s="57" t="n"/>
      <c r="B474" s="57" t="n"/>
      <c r="C474" s="57" t="n"/>
      <c r="D474" s="57" t="n"/>
      <c r="E474" s="57" t="n"/>
      <c r="F474" s="57" t="n"/>
      <c r="G474" s="57" t="n"/>
      <c r="H474" s="57" t="n"/>
    </row>
    <row r="475" ht="15.75" customHeight="1" s="94">
      <c r="A475" s="57" t="n"/>
      <c r="B475" s="57" t="n"/>
      <c r="C475" s="57" t="n"/>
      <c r="D475" s="57" t="n"/>
      <c r="E475" s="57" t="n"/>
      <c r="F475" s="57" t="n"/>
      <c r="G475" s="57" t="n"/>
      <c r="H475" s="57" t="n"/>
    </row>
    <row r="476" ht="15.75" customHeight="1" s="94">
      <c r="A476" s="57" t="n"/>
      <c r="B476" s="57" t="n"/>
      <c r="C476" s="57" t="n"/>
      <c r="D476" s="57" t="n"/>
      <c r="E476" s="57" t="n"/>
      <c r="F476" s="57" t="n"/>
      <c r="G476" s="57" t="n"/>
      <c r="H476" s="57" t="n"/>
    </row>
    <row r="477" ht="15.75" customHeight="1" s="94">
      <c r="A477" s="57" t="n"/>
      <c r="B477" s="57" t="n"/>
      <c r="C477" s="57" t="n"/>
      <c r="D477" s="57" t="n"/>
      <c r="E477" s="57" t="n"/>
      <c r="F477" s="57" t="n"/>
      <c r="G477" s="57" t="n"/>
      <c r="H477" s="57" t="n"/>
    </row>
    <row r="478" ht="15.75" customHeight="1" s="94">
      <c r="A478" s="57" t="n"/>
      <c r="B478" s="57" t="n"/>
      <c r="C478" s="57" t="n"/>
      <c r="D478" s="57" t="n"/>
      <c r="E478" s="57" t="n"/>
      <c r="F478" s="57" t="n"/>
      <c r="G478" s="57" t="n"/>
      <c r="H478" s="57" t="n"/>
    </row>
    <row r="479" ht="15.75" customHeight="1" s="94">
      <c r="A479" s="57" t="n"/>
      <c r="B479" s="57" t="n"/>
      <c r="C479" s="57" t="n"/>
      <c r="D479" s="57" t="n"/>
      <c r="E479" s="57" t="n"/>
      <c r="F479" s="57" t="n"/>
      <c r="G479" s="57" t="n"/>
      <c r="H479" s="57" t="n"/>
    </row>
    <row r="480" ht="15.75" customHeight="1" s="94">
      <c r="A480" s="57" t="n"/>
      <c r="B480" s="57" t="n"/>
      <c r="C480" s="57" t="n"/>
      <c r="D480" s="57" t="n"/>
      <c r="E480" s="57" t="n"/>
      <c r="F480" s="57" t="n"/>
      <c r="G480" s="57" t="n"/>
      <c r="H480" s="57" t="n"/>
    </row>
    <row r="481" ht="15.75" customHeight="1" s="94">
      <c r="A481" s="57" t="n"/>
      <c r="B481" s="57" t="n"/>
      <c r="C481" s="57" t="n"/>
      <c r="D481" s="57" t="n"/>
      <c r="E481" s="57" t="n"/>
      <c r="F481" s="57" t="n"/>
      <c r="G481" s="57" t="n"/>
      <c r="H481" s="57" t="n"/>
    </row>
    <row r="482" ht="15.75" customHeight="1" s="94">
      <c r="A482" s="57" t="n"/>
      <c r="B482" s="57" t="n"/>
      <c r="C482" s="57" t="n"/>
      <c r="D482" s="57" t="n"/>
      <c r="E482" s="57" t="n"/>
      <c r="F482" s="57" t="n"/>
      <c r="G482" s="57" t="n"/>
      <c r="H482" s="57" t="n"/>
    </row>
    <row r="483" ht="15.75" customHeight="1" s="94">
      <c r="A483" s="57" t="n"/>
      <c r="B483" s="57" t="n"/>
      <c r="C483" s="57" t="n"/>
      <c r="D483" s="57" t="n"/>
      <c r="E483" s="57" t="n"/>
      <c r="F483" s="57" t="n"/>
      <c r="G483" s="57" t="n"/>
      <c r="H483" s="57" t="n"/>
    </row>
    <row r="484" ht="15.75" customHeight="1" s="94">
      <c r="A484" s="57" t="n"/>
      <c r="B484" s="57" t="n"/>
      <c r="C484" s="57" t="n"/>
      <c r="D484" s="57" t="n"/>
      <c r="E484" s="57" t="n"/>
      <c r="F484" s="57" t="n"/>
      <c r="G484" s="57" t="n"/>
      <c r="H484" s="57" t="n"/>
    </row>
    <row r="485" ht="15.75" customHeight="1" s="94">
      <c r="A485" s="57" t="n"/>
      <c r="B485" s="57" t="n"/>
      <c r="C485" s="57" t="n"/>
      <c r="D485" s="57" t="n"/>
      <c r="E485" s="57" t="n"/>
      <c r="F485" s="57" t="n"/>
      <c r="G485" s="57" t="n"/>
      <c r="H485" s="57" t="n"/>
    </row>
    <row r="486" ht="15.75" customHeight="1" s="94">
      <c r="A486" s="57" t="n"/>
      <c r="B486" s="57" t="n"/>
      <c r="C486" s="57" t="n"/>
      <c r="D486" s="57" t="n"/>
      <c r="E486" s="57" t="n"/>
      <c r="F486" s="57" t="n"/>
      <c r="G486" s="57" t="n"/>
      <c r="H486" s="57" t="n"/>
    </row>
    <row r="487" ht="15.75" customHeight="1" s="94">
      <c r="A487" s="57" t="n"/>
      <c r="B487" s="57" t="n"/>
      <c r="C487" s="57" t="n"/>
      <c r="D487" s="57" t="n"/>
      <c r="E487" s="57" t="n"/>
      <c r="F487" s="57" t="n"/>
      <c r="G487" s="57" t="n"/>
      <c r="H487" s="57" t="n"/>
    </row>
    <row r="488" ht="15.75" customHeight="1" s="94">
      <c r="A488" s="57" t="n"/>
      <c r="B488" s="57" t="n"/>
      <c r="C488" s="57" t="n"/>
      <c r="D488" s="57" t="n"/>
      <c r="E488" s="57" t="n"/>
      <c r="F488" s="57" t="n"/>
      <c r="G488" s="57" t="n"/>
      <c r="H488" s="57" t="n"/>
    </row>
    <row r="489" ht="15.75" customHeight="1" s="94">
      <c r="A489" s="57" t="n"/>
      <c r="B489" s="57" t="n"/>
      <c r="C489" s="57" t="n"/>
      <c r="D489" s="57" t="n"/>
      <c r="E489" s="57" t="n"/>
      <c r="F489" s="57" t="n"/>
      <c r="G489" s="57" t="n"/>
      <c r="H489" s="57" t="n"/>
    </row>
    <row r="490" ht="15.75" customHeight="1" s="94">
      <c r="A490" s="57" t="n"/>
      <c r="B490" s="57" t="n"/>
      <c r="C490" s="57" t="n"/>
      <c r="D490" s="57" t="n"/>
      <c r="E490" s="57" t="n"/>
      <c r="F490" s="57" t="n"/>
      <c r="G490" s="57" t="n"/>
      <c r="H490" s="57" t="n"/>
    </row>
    <row r="491" ht="15.75" customHeight="1" s="94">
      <c r="A491" s="57" t="n"/>
      <c r="B491" s="57" t="n"/>
      <c r="C491" s="57" t="n"/>
      <c r="D491" s="57" t="n"/>
      <c r="E491" s="57" t="n"/>
      <c r="F491" s="57" t="n"/>
      <c r="G491" s="57" t="n"/>
      <c r="H491" s="57" t="n"/>
    </row>
    <row r="492" ht="15.75" customHeight="1" s="94">
      <c r="A492" s="57" t="n"/>
      <c r="B492" s="57" t="n"/>
      <c r="C492" s="57" t="n"/>
      <c r="D492" s="57" t="n"/>
      <c r="E492" s="57" t="n"/>
      <c r="F492" s="57" t="n"/>
      <c r="G492" s="57" t="n"/>
      <c r="H492" s="57" t="n"/>
    </row>
    <row r="493" ht="15.75" customHeight="1" s="94">
      <c r="A493" s="57" t="n"/>
      <c r="B493" s="57" t="n"/>
      <c r="C493" s="57" t="n"/>
      <c r="D493" s="57" t="n"/>
      <c r="E493" s="57" t="n"/>
      <c r="F493" s="57" t="n"/>
      <c r="G493" s="57" t="n"/>
      <c r="H493" s="57" t="n"/>
    </row>
    <row r="494" ht="15.75" customHeight="1" s="94">
      <c r="A494" s="57" t="n"/>
      <c r="B494" s="57" t="n"/>
      <c r="C494" s="57" t="n"/>
      <c r="D494" s="57" t="n"/>
      <c r="E494" s="57" t="n"/>
      <c r="F494" s="57" t="n"/>
      <c r="G494" s="57" t="n"/>
      <c r="H494" s="57" t="n"/>
    </row>
    <row r="495" ht="15.75" customHeight="1" s="94">
      <c r="A495" s="57" t="n"/>
      <c r="B495" s="57" t="n"/>
      <c r="C495" s="57" t="n"/>
      <c r="D495" s="57" t="n"/>
      <c r="E495" s="57" t="n"/>
      <c r="F495" s="57" t="n"/>
      <c r="G495" s="57" t="n"/>
      <c r="H495" s="57" t="n"/>
    </row>
    <row r="496" ht="15.75" customHeight="1" s="94">
      <c r="A496" s="57" t="n"/>
      <c r="B496" s="57" t="n"/>
      <c r="C496" s="57" t="n"/>
      <c r="D496" s="57" t="n"/>
      <c r="E496" s="57" t="n"/>
      <c r="F496" s="57" t="n"/>
      <c r="G496" s="57" t="n"/>
      <c r="H496" s="57" t="n"/>
    </row>
    <row r="497" ht="15.75" customHeight="1" s="94">
      <c r="A497" s="57" t="n"/>
      <c r="B497" s="57" t="n"/>
      <c r="C497" s="57" t="n"/>
      <c r="D497" s="57" t="n"/>
      <c r="E497" s="57" t="n"/>
      <c r="F497" s="57" t="n"/>
      <c r="G497" s="57" t="n"/>
      <c r="H497" s="57" t="n"/>
    </row>
    <row r="498" ht="15.75" customHeight="1" s="94">
      <c r="A498" s="57" t="n"/>
      <c r="B498" s="57" t="n"/>
      <c r="C498" s="57" t="n"/>
      <c r="D498" s="57" t="n"/>
      <c r="E498" s="57" t="n"/>
      <c r="F498" s="57" t="n"/>
      <c r="G498" s="57" t="n"/>
      <c r="H498" s="57" t="n"/>
    </row>
    <row r="499" ht="15.75" customHeight="1" s="94">
      <c r="A499" s="57" t="n"/>
      <c r="B499" s="57" t="n"/>
      <c r="C499" s="57" t="n"/>
      <c r="D499" s="57" t="n"/>
      <c r="E499" s="57" t="n"/>
      <c r="F499" s="57" t="n"/>
      <c r="G499" s="57" t="n"/>
      <c r="H499" s="57" t="n"/>
    </row>
    <row r="500" ht="15.75" customHeight="1" s="94">
      <c r="A500" s="57" t="n"/>
      <c r="B500" s="57" t="n"/>
      <c r="C500" s="57" t="n"/>
      <c r="D500" s="57" t="n"/>
      <c r="E500" s="57" t="n"/>
      <c r="F500" s="57" t="n"/>
      <c r="G500" s="57" t="n"/>
      <c r="H500" s="57" t="n"/>
    </row>
    <row r="501" ht="15.75" customHeight="1" s="94">
      <c r="A501" s="57" t="n"/>
      <c r="B501" s="57" t="n"/>
      <c r="C501" s="57" t="n"/>
      <c r="D501" s="57" t="n"/>
      <c r="E501" s="57" t="n"/>
      <c r="F501" s="57" t="n"/>
      <c r="G501" s="57" t="n"/>
      <c r="H501" s="57" t="n"/>
    </row>
    <row r="502" ht="15.75" customHeight="1" s="94">
      <c r="A502" s="57" t="n"/>
      <c r="B502" s="57" t="n"/>
      <c r="C502" s="57" t="n"/>
      <c r="D502" s="57" t="n"/>
      <c r="E502" s="57" t="n"/>
      <c r="F502" s="57" t="n"/>
      <c r="G502" s="57" t="n"/>
      <c r="H502" s="57" t="n"/>
    </row>
    <row r="503" ht="15.75" customHeight="1" s="94">
      <c r="A503" s="57" t="n"/>
      <c r="B503" s="57" t="n"/>
      <c r="C503" s="57" t="n"/>
      <c r="D503" s="57" t="n"/>
      <c r="E503" s="57" t="n"/>
      <c r="F503" s="57" t="n"/>
      <c r="G503" s="57" t="n"/>
      <c r="H503" s="57" t="n"/>
    </row>
    <row r="504" ht="15.75" customHeight="1" s="94">
      <c r="A504" s="57" t="n"/>
      <c r="B504" s="57" t="n"/>
      <c r="C504" s="57" t="n"/>
      <c r="D504" s="57" t="n"/>
      <c r="E504" s="57" t="n"/>
      <c r="F504" s="57" t="n"/>
      <c r="G504" s="57" t="n"/>
      <c r="H504" s="57" t="n"/>
    </row>
    <row r="505" ht="15.75" customHeight="1" s="94">
      <c r="A505" s="57" t="n"/>
      <c r="B505" s="57" t="n"/>
      <c r="C505" s="57" t="n"/>
      <c r="D505" s="57" t="n"/>
      <c r="E505" s="57" t="n"/>
      <c r="F505" s="57" t="n"/>
      <c r="G505" s="57" t="n"/>
      <c r="H505" s="57" t="n"/>
    </row>
    <row r="506" ht="15.75" customHeight="1" s="94">
      <c r="A506" s="57" t="n"/>
      <c r="B506" s="57" t="n"/>
      <c r="C506" s="57" t="n"/>
      <c r="D506" s="57" t="n"/>
      <c r="E506" s="57" t="n"/>
      <c r="F506" s="57" t="n"/>
      <c r="G506" s="57" t="n"/>
      <c r="H506" s="57" t="n"/>
    </row>
    <row r="507" ht="15.75" customHeight="1" s="94">
      <c r="A507" s="57" t="n"/>
      <c r="B507" s="57" t="n"/>
      <c r="C507" s="57" t="n"/>
      <c r="D507" s="57" t="n"/>
      <c r="E507" s="57" t="n"/>
      <c r="F507" s="57" t="n"/>
      <c r="G507" s="57" t="n"/>
      <c r="H507" s="57" t="n"/>
    </row>
    <row r="508" ht="15.75" customHeight="1" s="94">
      <c r="A508" s="57" t="n"/>
      <c r="B508" s="57" t="n"/>
      <c r="C508" s="57" t="n"/>
      <c r="D508" s="57" t="n"/>
      <c r="E508" s="57" t="n"/>
      <c r="F508" s="57" t="n"/>
      <c r="G508" s="57" t="n"/>
      <c r="H508" s="57" t="n"/>
    </row>
    <row r="509" ht="15.75" customHeight="1" s="94">
      <c r="A509" s="57" t="n"/>
      <c r="B509" s="57" t="n"/>
      <c r="C509" s="57" t="n"/>
      <c r="D509" s="57" t="n"/>
      <c r="E509" s="57" t="n"/>
      <c r="F509" s="57" t="n"/>
      <c r="G509" s="57" t="n"/>
      <c r="H509" s="57" t="n"/>
    </row>
    <row r="510" ht="15.75" customHeight="1" s="94">
      <c r="A510" s="57" t="n"/>
      <c r="B510" s="57" t="n"/>
      <c r="C510" s="57" t="n"/>
      <c r="D510" s="57" t="n"/>
      <c r="E510" s="57" t="n"/>
      <c r="F510" s="57" t="n"/>
      <c r="G510" s="57" t="n"/>
      <c r="H510" s="57" t="n"/>
    </row>
    <row r="511" ht="15.75" customHeight="1" s="94">
      <c r="A511" s="57" t="n"/>
      <c r="B511" s="57" t="n"/>
      <c r="C511" s="57" t="n"/>
      <c r="D511" s="57" t="n"/>
      <c r="E511" s="57" t="n"/>
      <c r="F511" s="57" t="n"/>
      <c r="G511" s="57" t="n"/>
      <c r="H511" s="57" t="n"/>
    </row>
    <row r="512" ht="15.75" customHeight="1" s="94">
      <c r="A512" s="57" t="n"/>
      <c r="B512" s="57" t="n"/>
      <c r="C512" s="57" t="n"/>
      <c r="D512" s="57" t="n"/>
      <c r="E512" s="57" t="n"/>
      <c r="F512" s="57" t="n"/>
      <c r="G512" s="57" t="n"/>
      <c r="H512" s="57" t="n"/>
    </row>
    <row r="513" ht="15.75" customHeight="1" s="94">
      <c r="A513" s="57" t="n"/>
      <c r="B513" s="57" t="n"/>
      <c r="C513" s="57" t="n"/>
      <c r="D513" s="57" t="n"/>
      <c r="E513" s="57" t="n"/>
      <c r="F513" s="57" t="n"/>
      <c r="G513" s="57" t="n"/>
      <c r="H513" s="57" t="n"/>
    </row>
    <row r="514" ht="15.75" customHeight="1" s="94">
      <c r="A514" s="57" t="n"/>
      <c r="B514" s="57" t="n"/>
      <c r="C514" s="57" t="n"/>
      <c r="D514" s="57" t="n"/>
      <c r="E514" s="57" t="n"/>
      <c r="F514" s="57" t="n"/>
      <c r="G514" s="57" t="n"/>
      <c r="H514" s="57" t="n"/>
    </row>
    <row r="515" ht="15.75" customHeight="1" s="94">
      <c r="A515" s="57" t="n"/>
      <c r="B515" s="57" t="n"/>
      <c r="C515" s="57" t="n"/>
      <c r="D515" s="57" t="n"/>
      <c r="E515" s="57" t="n"/>
      <c r="F515" s="57" t="n"/>
      <c r="G515" s="57" t="n"/>
      <c r="H515" s="57" t="n"/>
    </row>
    <row r="516" ht="15.75" customHeight="1" s="94">
      <c r="A516" s="57" t="n"/>
      <c r="B516" s="57" t="n"/>
      <c r="C516" s="57" t="n"/>
      <c r="D516" s="57" t="n"/>
      <c r="E516" s="57" t="n"/>
      <c r="F516" s="57" t="n"/>
      <c r="G516" s="57" t="n"/>
      <c r="H516" s="57" t="n"/>
    </row>
    <row r="517" ht="15.75" customHeight="1" s="94">
      <c r="A517" s="57" t="n"/>
      <c r="B517" s="57" t="n"/>
      <c r="C517" s="57" t="n"/>
      <c r="D517" s="57" t="n"/>
      <c r="E517" s="57" t="n"/>
      <c r="F517" s="57" t="n"/>
      <c r="G517" s="57" t="n"/>
      <c r="H517" s="57" t="n"/>
    </row>
    <row r="518" ht="15.75" customHeight="1" s="94">
      <c r="A518" s="57" t="n"/>
      <c r="B518" s="57" t="n"/>
      <c r="C518" s="57" t="n"/>
      <c r="D518" s="57" t="n"/>
      <c r="E518" s="57" t="n"/>
      <c r="F518" s="57" t="n"/>
      <c r="G518" s="57" t="n"/>
      <c r="H518" s="57" t="n"/>
    </row>
    <row r="519" ht="15.75" customHeight="1" s="94">
      <c r="A519" s="57" t="n"/>
      <c r="B519" s="57" t="n"/>
      <c r="C519" s="57" t="n"/>
      <c r="D519" s="57" t="n"/>
      <c r="E519" s="57" t="n"/>
      <c r="F519" s="57" t="n"/>
      <c r="G519" s="57" t="n"/>
      <c r="H519" s="57" t="n"/>
    </row>
    <row r="520" ht="15.75" customHeight="1" s="94">
      <c r="A520" s="57" t="n"/>
      <c r="B520" s="57" t="n"/>
      <c r="C520" s="57" t="n"/>
      <c r="D520" s="57" t="n"/>
      <c r="E520" s="57" t="n"/>
      <c r="F520" s="57" t="n"/>
      <c r="G520" s="57" t="n"/>
      <c r="H520" s="57" t="n"/>
    </row>
    <row r="521" ht="15.75" customHeight="1" s="94">
      <c r="A521" s="57" t="n"/>
      <c r="B521" s="57" t="n"/>
      <c r="C521" s="57" t="n"/>
      <c r="D521" s="57" t="n"/>
      <c r="E521" s="57" t="n"/>
      <c r="F521" s="57" t="n"/>
      <c r="G521" s="57" t="n"/>
      <c r="H521" s="57" t="n"/>
    </row>
    <row r="522" ht="15.75" customHeight="1" s="94">
      <c r="A522" s="57" t="n"/>
      <c r="B522" s="57" t="n"/>
      <c r="C522" s="57" t="n"/>
      <c r="D522" s="57" t="n"/>
      <c r="E522" s="57" t="n"/>
      <c r="F522" s="57" t="n"/>
      <c r="G522" s="57" t="n"/>
      <c r="H522" s="57" t="n"/>
    </row>
    <row r="523" ht="15.75" customHeight="1" s="94">
      <c r="A523" s="57" t="n"/>
      <c r="B523" s="57" t="n"/>
      <c r="C523" s="57" t="n"/>
      <c r="D523" s="57" t="n"/>
      <c r="E523" s="57" t="n"/>
      <c r="F523" s="57" t="n"/>
      <c r="G523" s="57" t="n"/>
      <c r="H523" s="57" t="n"/>
    </row>
    <row r="524" ht="15.75" customHeight="1" s="94">
      <c r="A524" s="57" t="n"/>
      <c r="B524" s="57" t="n"/>
      <c r="C524" s="57" t="n"/>
      <c r="D524" s="57" t="n"/>
      <c r="E524" s="57" t="n"/>
      <c r="F524" s="57" t="n"/>
      <c r="G524" s="57" t="n"/>
      <c r="H524" s="57" t="n"/>
    </row>
    <row r="525" ht="15.75" customHeight="1" s="94">
      <c r="A525" s="57" t="n"/>
      <c r="B525" s="57" t="n"/>
      <c r="C525" s="57" t="n"/>
      <c r="D525" s="57" t="n"/>
      <c r="E525" s="57" t="n"/>
      <c r="F525" s="57" t="n"/>
      <c r="G525" s="57" t="n"/>
      <c r="H525" s="57" t="n"/>
    </row>
    <row r="526" ht="15.75" customHeight="1" s="94">
      <c r="A526" s="57" t="n"/>
      <c r="B526" s="57" t="n"/>
      <c r="C526" s="57" t="n"/>
      <c r="D526" s="57" t="n"/>
      <c r="E526" s="57" t="n"/>
      <c r="F526" s="57" t="n"/>
      <c r="G526" s="57" t="n"/>
      <c r="H526" s="57" t="n"/>
    </row>
    <row r="527" ht="15.75" customHeight="1" s="94">
      <c r="A527" s="57" t="n"/>
      <c r="B527" s="57" t="n"/>
      <c r="C527" s="57" t="n"/>
      <c r="D527" s="57" t="n"/>
      <c r="E527" s="57" t="n"/>
      <c r="F527" s="57" t="n"/>
      <c r="G527" s="57" t="n"/>
      <c r="H527" s="57" t="n"/>
    </row>
    <row r="528" ht="15.75" customHeight="1" s="94">
      <c r="A528" s="57" t="n"/>
      <c r="B528" s="57" t="n"/>
      <c r="C528" s="57" t="n"/>
      <c r="D528" s="57" t="n"/>
      <c r="E528" s="57" t="n"/>
      <c r="F528" s="57" t="n"/>
      <c r="G528" s="57" t="n"/>
      <c r="H528" s="57" t="n"/>
    </row>
    <row r="529" ht="15.75" customHeight="1" s="94">
      <c r="A529" s="57" t="n"/>
      <c r="B529" s="57" t="n"/>
      <c r="C529" s="57" t="n"/>
      <c r="D529" s="57" t="n"/>
      <c r="E529" s="57" t="n"/>
      <c r="F529" s="57" t="n"/>
      <c r="G529" s="57" t="n"/>
      <c r="H529" s="57" t="n"/>
    </row>
    <row r="530" ht="15.75" customHeight="1" s="94">
      <c r="A530" s="57" t="n"/>
      <c r="B530" s="57" t="n"/>
      <c r="C530" s="57" t="n"/>
      <c r="D530" s="57" t="n"/>
      <c r="E530" s="57" t="n"/>
      <c r="F530" s="57" t="n"/>
      <c r="G530" s="57" t="n"/>
      <c r="H530" s="57" t="n"/>
    </row>
    <row r="531" ht="15.75" customHeight="1" s="94">
      <c r="A531" s="57" t="n"/>
      <c r="B531" s="57" t="n"/>
      <c r="C531" s="57" t="n"/>
      <c r="D531" s="57" t="n"/>
      <c r="E531" s="57" t="n"/>
      <c r="F531" s="57" t="n"/>
      <c r="G531" s="57" t="n"/>
      <c r="H531" s="57" t="n"/>
    </row>
    <row r="532" ht="15.75" customHeight="1" s="94">
      <c r="A532" s="57" t="n"/>
      <c r="B532" s="57" t="n"/>
      <c r="C532" s="57" t="n"/>
      <c r="D532" s="57" t="n"/>
      <c r="E532" s="57" t="n"/>
      <c r="F532" s="57" t="n"/>
      <c r="G532" s="57" t="n"/>
      <c r="H532" s="57" t="n"/>
    </row>
    <row r="533" ht="15.75" customHeight="1" s="94">
      <c r="A533" s="57" t="n"/>
      <c r="B533" s="57" t="n"/>
      <c r="C533" s="57" t="n"/>
      <c r="D533" s="57" t="n"/>
      <c r="E533" s="57" t="n"/>
      <c r="F533" s="57" t="n"/>
      <c r="G533" s="57" t="n"/>
      <c r="H533" s="57" t="n"/>
    </row>
    <row r="534" ht="15.75" customHeight="1" s="94">
      <c r="A534" s="57" t="n"/>
      <c r="B534" s="57" t="n"/>
      <c r="C534" s="57" t="n"/>
      <c r="D534" s="57" t="n"/>
      <c r="E534" s="57" t="n"/>
      <c r="F534" s="57" t="n"/>
      <c r="G534" s="57" t="n"/>
      <c r="H534" s="57" t="n"/>
    </row>
    <row r="535" ht="15.75" customHeight="1" s="94">
      <c r="A535" s="57" t="n"/>
      <c r="B535" s="57" t="n"/>
      <c r="C535" s="57" t="n"/>
      <c r="D535" s="57" t="n"/>
      <c r="E535" s="57" t="n"/>
      <c r="F535" s="57" t="n"/>
      <c r="G535" s="57" t="n"/>
      <c r="H535" s="57" t="n"/>
    </row>
    <row r="536" ht="15.75" customHeight="1" s="94">
      <c r="A536" s="57" t="n"/>
      <c r="B536" s="57" t="n"/>
      <c r="C536" s="57" t="n"/>
      <c r="D536" s="57" t="n"/>
      <c r="E536" s="57" t="n"/>
      <c r="F536" s="57" t="n"/>
      <c r="G536" s="57" t="n"/>
      <c r="H536" s="57" t="n"/>
    </row>
    <row r="537" ht="15.75" customHeight="1" s="94">
      <c r="A537" s="57" t="n"/>
      <c r="B537" s="57" t="n"/>
      <c r="C537" s="57" t="n"/>
      <c r="D537" s="57" t="n"/>
      <c r="E537" s="57" t="n"/>
      <c r="F537" s="57" t="n"/>
      <c r="G537" s="57" t="n"/>
      <c r="H537" s="57" t="n"/>
    </row>
    <row r="538" ht="15.75" customHeight="1" s="94">
      <c r="A538" s="57" t="n"/>
      <c r="B538" s="57" t="n"/>
      <c r="C538" s="57" t="n"/>
      <c r="D538" s="57" t="n"/>
      <c r="E538" s="57" t="n"/>
      <c r="F538" s="57" t="n"/>
      <c r="G538" s="57" t="n"/>
      <c r="H538" s="57" t="n"/>
    </row>
    <row r="539" ht="15.75" customHeight="1" s="94">
      <c r="A539" s="57" t="n"/>
      <c r="B539" s="57" t="n"/>
      <c r="C539" s="57" t="n"/>
      <c r="D539" s="57" t="n"/>
      <c r="E539" s="57" t="n"/>
      <c r="F539" s="57" t="n"/>
      <c r="G539" s="57" t="n"/>
      <c r="H539" s="57" t="n"/>
    </row>
    <row r="540" ht="15.75" customHeight="1" s="94">
      <c r="A540" s="57" t="n"/>
      <c r="B540" s="57" t="n"/>
      <c r="C540" s="57" t="n"/>
      <c r="D540" s="57" t="n"/>
      <c r="E540" s="57" t="n"/>
      <c r="F540" s="57" t="n"/>
      <c r="G540" s="57" t="n"/>
      <c r="H540" s="57" t="n"/>
    </row>
    <row r="541" ht="15.75" customHeight="1" s="94">
      <c r="A541" s="57" t="n"/>
      <c r="B541" s="57" t="n"/>
      <c r="C541" s="57" t="n"/>
      <c r="D541" s="57" t="n"/>
      <c r="E541" s="57" t="n"/>
      <c r="F541" s="57" t="n"/>
      <c r="G541" s="57" t="n"/>
      <c r="H541" s="57" t="n"/>
    </row>
    <row r="542" ht="15.75" customHeight="1" s="94">
      <c r="A542" s="57" t="n"/>
      <c r="B542" s="57" t="n"/>
      <c r="C542" s="57" t="n"/>
      <c r="D542" s="57" t="n"/>
      <c r="E542" s="57" t="n"/>
      <c r="F542" s="57" t="n"/>
      <c r="G542" s="57" t="n"/>
      <c r="H542" s="57" t="n"/>
    </row>
    <row r="543" ht="15.75" customHeight="1" s="94">
      <c r="A543" s="57" t="n"/>
      <c r="B543" s="57" t="n"/>
      <c r="C543" s="57" t="n"/>
      <c r="D543" s="57" t="n"/>
      <c r="E543" s="57" t="n"/>
      <c r="F543" s="57" t="n"/>
      <c r="G543" s="57" t="n"/>
      <c r="H543" s="57" t="n"/>
    </row>
    <row r="544" ht="15.75" customHeight="1" s="94">
      <c r="A544" s="57" t="n"/>
      <c r="B544" s="57" t="n"/>
      <c r="C544" s="57" t="n"/>
      <c r="D544" s="57" t="n"/>
      <c r="E544" s="57" t="n"/>
      <c r="F544" s="57" t="n"/>
      <c r="G544" s="57" t="n"/>
      <c r="H544" s="57" t="n"/>
    </row>
    <row r="545" ht="15.75" customHeight="1" s="94">
      <c r="A545" s="57" t="n"/>
      <c r="B545" s="57" t="n"/>
      <c r="C545" s="57" t="n"/>
      <c r="D545" s="57" t="n"/>
      <c r="E545" s="57" t="n"/>
      <c r="F545" s="57" t="n"/>
      <c r="G545" s="57" t="n"/>
      <c r="H545" s="57" t="n"/>
    </row>
    <row r="546" ht="15.75" customHeight="1" s="94">
      <c r="A546" s="57" t="n"/>
      <c r="B546" s="57" t="n"/>
      <c r="C546" s="57" t="n"/>
      <c r="D546" s="57" t="n"/>
      <c r="E546" s="57" t="n"/>
      <c r="F546" s="57" t="n"/>
      <c r="G546" s="57" t="n"/>
      <c r="H546" s="57" t="n"/>
    </row>
    <row r="547" ht="15.75" customHeight="1" s="94">
      <c r="A547" s="57" t="n"/>
      <c r="B547" s="57" t="n"/>
      <c r="C547" s="57" t="n"/>
      <c r="D547" s="57" t="n"/>
      <c r="E547" s="57" t="n"/>
      <c r="F547" s="57" t="n"/>
      <c r="G547" s="57" t="n"/>
      <c r="H547" s="57" t="n"/>
    </row>
    <row r="548" ht="15.75" customHeight="1" s="94">
      <c r="A548" s="57" t="n"/>
      <c r="B548" s="57" t="n"/>
      <c r="C548" s="57" t="n"/>
      <c r="D548" s="57" t="n"/>
      <c r="E548" s="57" t="n"/>
      <c r="F548" s="57" t="n"/>
      <c r="G548" s="57" t="n"/>
      <c r="H548" s="57" t="n"/>
    </row>
    <row r="549" ht="15.75" customHeight="1" s="94">
      <c r="A549" s="57" t="n"/>
      <c r="B549" s="57" t="n"/>
      <c r="C549" s="57" t="n"/>
      <c r="D549" s="57" t="n"/>
      <c r="E549" s="57" t="n"/>
      <c r="F549" s="57" t="n"/>
      <c r="G549" s="57" t="n"/>
      <c r="H549" s="57" t="n"/>
    </row>
    <row r="550" ht="15.75" customHeight="1" s="94">
      <c r="A550" s="57" t="n"/>
      <c r="B550" s="57" t="n"/>
      <c r="C550" s="57" t="n"/>
      <c r="D550" s="57" t="n"/>
      <c r="E550" s="57" t="n"/>
      <c r="F550" s="57" t="n"/>
      <c r="G550" s="57" t="n"/>
      <c r="H550" s="57" t="n"/>
    </row>
    <row r="551" ht="15.75" customHeight="1" s="94">
      <c r="A551" s="57" t="n"/>
      <c r="B551" s="57" t="n"/>
      <c r="C551" s="57" t="n"/>
      <c r="D551" s="57" t="n"/>
      <c r="E551" s="57" t="n"/>
      <c r="F551" s="57" t="n"/>
      <c r="G551" s="57" t="n"/>
      <c r="H551" s="57" t="n"/>
    </row>
    <row r="552" ht="15.75" customHeight="1" s="94">
      <c r="A552" s="57" t="n"/>
      <c r="B552" s="57" t="n"/>
      <c r="C552" s="57" t="n"/>
      <c r="D552" s="57" t="n"/>
      <c r="E552" s="57" t="n"/>
      <c r="F552" s="57" t="n"/>
      <c r="G552" s="57" t="n"/>
      <c r="H552" s="57" t="n"/>
    </row>
    <row r="553" ht="15.75" customHeight="1" s="94">
      <c r="A553" s="57" t="n"/>
      <c r="B553" s="57" t="n"/>
      <c r="C553" s="57" t="n"/>
      <c r="D553" s="57" t="n"/>
      <c r="E553" s="57" t="n"/>
      <c r="F553" s="57" t="n"/>
      <c r="G553" s="57" t="n"/>
      <c r="H553" s="57" t="n"/>
    </row>
    <row r="554" ht="15.75" customHeight="1" s="94">
      <c r="A554" s="57" t="n"/>
      <c r="B554" s="57" t="n"/>
      <c r="C554" s="57" t="n"/>
      <c r="D554" s="57" t="n"/>
      <c r="E554" s="57" t="n"/>
      <c r="F554" s="57" t="n"/>
      <c r="G554" s="57" t="n"/>
      <c r="H554" s="57" t="n"/>
    </row>
    <row r="555" ht="15.75" customHeight="1" s="94">
      <c r="A555" s="57" t="n"/>
      <c r="B555" s="57" t="n"/>
      <c r="C555" s="57" t="n"/>
      <c r="D555" s="57" t="n"/>
      <c r="E555" s="57" t="n"/>
      <c r="F555" s="57" t="n"/>
      <c r="G555" s="57" t="n"/>
      <c r="H555" s="57" t="n"/>
    </row>
    <row r="556" ht="15.75" customHeight="1" s="94">
      <c r="A556" s="57" t="n"/>
      <c r="B556" s="57" t="n"/>
      <c r="C556" s="57" t="n"/>
      <c r="D556" s="57" t="n"/>
      <c r="E556" s="57" t="n"/>
      <c r="F556" s="57" t="n"/>
      <c r="G556" s="57" t="n"/>
      <c r="H556" s="57" t="n"/>
    </row>
    <row r="557" ht="15.75" customHeight="1" s="94">
      <c r="A557" s="57" t="n"/>
      <c r="B557" s="57" t="n"/>
      <c r="C557" s="57" t="n"/>
      <c r="D557" s="57" t="n"/>
      <c r="E557" s="57" t="n"/>
      <c r="F557" s="57" t="n"/>
      <c r="G557" s="57" t="n"/>
      <c r="H557" s="57" t="n"/>
    </row>
    <row r="558" ht="15.75" customHeight="1" s="94">
      <c r="A558" s="57" t="n"/>
      <c r="B558" s="57" t="n"/>
      <c r="C558" s="57" t="n"/>
      <c r="D558" s="57" t="n"/>
      <c r="E558" s="57" t="n"/>
      <c r="F558" s="57" t="n"/>
      <c r="G558" s="57" t="n"/>
      <c r="H558" s="57" t="n"/>
    </row>
    <row r="559" ht="15.75" customHeight="1" s="94">
      <c r="A559" s="57" t="n"/>
      <c r="B559" s="57" t="n"/>
      <c r="C559" s="57" t="n"/>
      <c r="D559" s="57" t="n"/>
      <c r="E559" s="57" t="n"/>
      <c r="F559" s="57" t="n"/>
      <c r="G559" s="57" t="n"/>
      <c r="H559" s="57" t="n"/>
    </row>
    <row r="560" ht="15.75" customHeight="1" s="94">
      <c r="A560" s="57" t="n"/>
      <c r="B560" s="57" t="n"/>
      <c r="C560" s="57" t="n"/>
      <c r="D560" s="57" t="n"/>
      <c r="E560" s="57" t="n"/>
      <c r="F560" s="57" t="n"/>
      <c r="G560" s="57" t="n"/>
      <c r="H560" s="57" t="n"/>
    </row>
    <row r="561" ht="15.75" customHeight="1" s="94">
      <c r="A561" s="57" t="n"/>
      <c r="B561" s="57" t="n"/>
      <c r="C561" s="57" t="n"/>
      <c r="D561" s="57" t="n"/>
      <c r="E561" s="57" t="n"/>
      <c r="F561" s="57" t="n"/>
      <c r="G561" s="57" t="n"/>
      <c r="H561" s="57" t="n"/>
    </row>
    <row r="562" ht="15.75" customHeight="1" s="94">
      <c r="A562" s="57" t="n"/>
      <c r="B562" s="57" t="n"/>
      <c r="C562" s="57" t="n"/>
      <c r="D562" s="57" t="n"/>
      <c r="E562" s="57" t="n"/>
      <c r="F562" s="57" t="n"/>
      <c r="G562" s="57" t="n"/>
      <c r="H562" s="57" t="n"/>
    </row>
    <row r="563" ht="15.75" customHeight="1" s="94">
      <c r="A563" s="57" t="n"/>
      <c r="B563" s="57" t="n"/>
      <c r="C563" s="57" t="n"/>
      <c r="D563" s="57" t="n"/>
      <c r="E563" s="57" t="n"/>
      <c r="F563" s="57" t="n"/>
      <c r="G563" s="57" t="n"/>
      <c r="H563" s="57" t="n"/>
    </row>
    <row r="564" ht="15.75" customHeight="1" s="94">
      <c r="A564" s="57" t="n"/>
      <c r="B564" s="57" t="n"/>
      <c r="C564" s="57" t="n"/>
      <c r="D564" s="57" t="n"/>
      <c r="E564" s="57" t="n"/>
      <c r="F564" s="57" t="n"/>
      <c r="G564" s="57" t="n"/>
      <c r="H564" s="57" t="n"/>
    </row>
    <row r="565" ht="15.75" customHeight="1" s="94">
      <c r="A565" s="57" t="n"/>
      <c r="B565" s="57" t="n"/>
      <c r="C565" s="57" t="n"/>
      <c r="D565" s="57" t="n"/>
      <c r="E565" s="57" t="n"/>
      <c r="F565" s="57" t="n"/>
      <c r="G565" s="57" t="n"/>
      <c r="H565" s="57" t="n"/>
    </row>
    <row r="566" ht="15.75" customHeight="1" s="94">
      <c r="A566" s="57" t="n"/>
      <c r="B566" s="57" t="n"/>
      <c r="C566" s="57" t="n"/>
      <c r="D566" s="57" t="n"/>
      <c r="E566" s="57" t="n"/>
      <c r="F566" s="57" t="n"/>
      <c r="G566" s="57" t="n"/>
      <c r="H566" s="57" t="n"/>
    </row>
    <row r="567" ht="15.75" customHeight="1" s="94">
      <c r="A567" s="57" t="n"/>
      <c r="B567" s="57" t="n"/>
      <c r="C567" s="57" t="n"/>
      <c r="D567" s="57" t="n"/>
      <c r="E567" s="57" t="n"/>
      <c r="F567" s="57" t="n"/>
      <c r="G567" s="57" t="n"/>
      <c r="H567" s="57" t="n"/>
    </row>
    <row r="568" ht="15.75" customHeight="1" s="94">
      <c r="A568" s="57" t="n"/>
      <c r="B568" s="57" t="n"/>
      <c r="C568" s="57" t="n"/>
      <c r="D568" s="57" t="n"/>
      <c r="E568" s="57" t="n"/>
      <c r="F568" s="57" t="n"/>
      <c r="G568" s="57" t="n"/>
      <c r="H568" s="57" t="n"/>
    </row>
    <row r="569" ht="15.75" customHeight="1" s="94">
      <c r="A569" s="57" t="n"/>
      <c r="B569" s="57" t="n"/>
      <c r="C569" s="57" t="n"/>
      <c r="D569" s="57" t="n"/>
      <c r="E569" s="57" t="n"/>
      <c r="F569" s="57" t="n"/>
      <c r="G569" s="57" t="n"/>
      <c r="H569" s="57" t="n"/>
    </row>
    <row r="570" ht="15.75" customHeight="1" s="94">
      <c r="A570" s="57" t="n"/>
      <c r="B570" s="57" t="n"/>
      <c r="C570" s="57" t="n"/>
      <c r="D570" s="57" t="n"/>
      <c r="E570" s="57" t="n"/>
      <c r="F570" s="57" t="n"/>
      <c r="G570" s="57" t="n"/>
      <c r="H570" s="57" t="n"/>
    </row>
    <row r="571" ht="15.75" customHeight="1" s="94">
      <c r="A571" s="57" t="n"/>
      <c r="B571" s="57" t="n"/>
      <c r="C571" s="57" t="n"/>
      <c r="D571" s="57" t="n"/>
      <c r="E571" s="57" t="n"/>
      <c r="F571" s="57" t="n"/>
      <c r="G571" s="57" t="n"/>
      <c r="H571" s="57" t="n"/>
    </row>
    <row r="572" ht="15.75" customHeight="1" s="94">
      <c r="A572" s="57" t="n"/>
      <c r="B572" s="57" t="n"/>
      <c r="C572" s="57" t="n"/>
      <c r="D572" s="57" t="n"/>
      <c r="E572" s="57" t="n"/>
      <c r="F572" s="57" t="n"/>
      <c r="G572" s="57" t="n"/>
      <c r="H572" s="57" t="n"/>
    </row>
    <row r="573" ht="15.75" customHeight="1" s="94">
      <c r="A573" s="57" t="n"/>
      <c r="B573" s="57" t="n"/>
      <c r="C573" s="57" t="n"/>
      <c r="D573" s="57" t="n"/>
      <c r="E573" s="57" t="n"/>
      <c r="F573" s="57" t="n"/>
      <c r="G573" s="57" t="n"/>
      <c r="H573" s="57" t="n"/>
    </row>
    <row r="574" ht="15.75" customHeight="1" s="94">
      <c r="A574" s="57" t="n"/>
      <c r="B574" s="57" t="n"/>
      <c r="C574" s="57" t="n"/>
      <c r="D574" s="57" t="n"/>
      <c r="E574" s="57" t="n"/>
      <c r="F574" s="57" t="n"/>
      <c r="G574" s="57" t="n"/>
      <c r="H574" s="57" t="n"/>
    </row>
    <row r="575" ht="15.75" customHeight="1" s="94">
      <c r="A575" s="57" t="n"/>
      <c r="B575" s="57" t="n"/>
      <c r="C575" s="57" t="n"/>
      <c r="D575" s="57" t="n"/>
      <c r="E575" s="57" t="n"/>
      <c r="F575" s="57" t="n"/>
      <c r="G575" s="57" t="n"/>
      <c r="H575" s="57" t="n"/>
    </row>
    <row r="576" ht="15.75" customHeight="1" s="94">
      <c r="A576" s="57" t="n"/>
      <c r="B576" s="57" t="n"/>
      <c r="C576" s="57" t="n"/>
      <c r="D576" s="57" t="n"/>
      <c r="E576" s="57" t="n"/>
      <c r="F576" s="57" t="n"/>
      <c r="G576" s="57" t="n"/>
      <c r="H576" s="57" t="n"/>
    </row>
    <row r="577" ht="15.75" customHeight="1" s="94">
      <c r="A577" s="57" t="n"/>
      <c r="B577" s="57" t="n"/>
      <c r="C577" s="57" t="n"/>
      <c r="D577" s="57" t="n"/>
      <c r="E577" s="57" t="n"/>
      <c r="F577" s="57" t="n"/>
      <c r="G577" s="57" t="n"/>
      <c r="H577" s="57" t="n"/>
    </row>
    <row r="578" ht="15.75" customHeight="1" s="94">
      <c r="A578" s="57" t="n"/>
      <c r="B578" s="57" t="n"/>
      <c r="C578" s="57" t="n"/>
      <c r="D578" s="57" t="n"/>
      <c r="E578" s="57" t="n"/>
      <c r="F578" s="57" t="n"/>
      <c r="G578" s="57" t="n"/>
      <c r="H578" s="57" t="n"/>
    </row>
    <row r="579" ht="15.75" customHeight="1" s="94">
      <c r="A579" s="57" t="n"/>
      <c r="B579" s="57" t="n"/>
      <c r="C579" s="57" t="n"/>
      <c r="D579" s="57" t="n"/>
      <c r="E579" s="57" t="n"/>
      <c r="F579" s="57" t="n"/>
      <c r="G579" s="57" t="n"/>
      <c r="H579" s="57" t="n"/>
    </row>
    <row r="580" ht="15.75" customHeight="1" s="94">
      <c r="A580" s="57" t="n"/>
      <c r="B580" s="57" t="n"/>
      <c r="C580" s="57" t="n"/>
      <c r="D580" s="57" t="n"/>
      <c r="E580" s="57" t="n"/>
      <c r="F580" s="57" t="n"/>
      <c r="G580" s="57" t="n"/>
      <c r="H580" s="57" t="n"/>
    </row>
    <row r="581" ht="15.75" customHeight="1" s="94">
      <c r="A581" s="57" t="n"/>
      <c r="B581" s="57" t="n"/>
      <c r="C581" s="57" t="n"/>
      <c r="D581" s="57" t="n"/>
      <c r="E581" s="57" t="n"/>
      <c r="F581" s="57" t="n"/>
      <c r="G581" s="57" t="n"/>
      <c r="H581" s="57" t="n"/>
    </row>
    <row r="582" ht="15.75" customHeight="1" s="94">
      <c r="A582" s="57" t="n"/>
      <c r="B582" s="57" t="n"/>
      <c r="C582" s="57" t="n"/>
      <c r="D582" s="57" t="n"/>
      <c r="E582" s="57" t="n"/>
      <c r="F582" s="57" t="n"/>
      <c r="G582" s="57" t="n"/>
      <c r="H582" s="57" t="n"/>
    </row>
    <row r="583" ht="15.75" customHeight="1" s="94">
      <c r="A583" s="57" t="n"/>
      <c r="B583" s="57" t="n"/>
      <c r="C583" s="57" t="n"/>
      <c r="D583" s="57" t="n"/>
      <c r="E583" s="57" t="n"/>
      <c r="F583" s="57" t="n"/>
      <c r="G583" s="57" t="n"/>
      <c r="H583" s="57" t="n"/>
    </row>
    <row r="584" ht="15.75" customHeight="1" s="94">
      <c r="A584" s="57" t="n"/>
      <c r="B584" s="57" t="n"/>
      <c r="C584" s="57" t="n"/>
      <c r="D584" s="57" t="n"/>
      <c r="E584" s="57" t="n"/>
      <c r="F584" s="57" t="n"/>
      <c r="G584" s="57" t="n"/>
      <c r="H584" s="57" t="n"/>
    </row>
    <row r="585" ht="15.75" customHeight="1" s="94">
      <c r="A585" s="57" t="n"/>
      <c r="B585" s="57" t="n"/>
      <c r="C585" s="57" t="n"/>
      <c r="D585" s="57" t="n"/>
      <c r="E585" s="57" t="n"/>
      <c r="F585" s="57" t="n"/>
      <c r="G585" s="57" t="n"/>
      <c r="H585" s="57" t="n"/>
    </row>
    <row r="586" ht="15.75" customHeight="1" s="94">
      <c r="A586" s="57" t="n"/>
      <c r="B586" s="57" t="n"/>
      <c r="C586" s="57" t="n"/>
      <c r="D586" s="57" t="n"/>
      <c r="E586" s="57" t="n"/>
      <c r="F586" s="57" t="n"/>
      <c r="G586" s="57" t="n"/>
      <c r="H586" s="57" t="n"/>
    </row>
    <row r="587" ht="15.75" customHeight="1" s="94">
      <c r="A587" s="57" t="n"/>
      <c r="B587" s="57" t="n"/>
      <c r="C587" s="57" t="n"/>
      <c r="D587" s="57" t="n"/>
      <c r="E587" s="57" t="n"/>
      <c r="F587" s="57" t="n"/>
      <c r="G587" s="57" t="n"/>
      <c r="H587" s="57" t="n"/>
    </row>
    <row r="588" ht="15.75" customHeight="1" s="94">
      <c r="A588" s="57" t="n"/>
      <c r="B588" s="57" t="n"/>
      <c r="C588" s="57" t="n"/>
      <c r="D588" s="57" t="n"/>
      <c r="E588" s="57" t="n"/>
      <c r="F588" s="57" t="n"/>
      <c r="G588" s="57" t="n"/>
      <c r="H588" s="57" t="n"/>
    </row>
    <row r="589" ht="15.75" customHeight="1" s="94">
      <c r="A589" s="57" t="n"/>
      <c r="B589" s="57" t="n"/>
      <c r="C589" s="57" t="n"/>
      <c r="D589" s="57" t="n"/>
      <c r="E589" s="57" t="n"/>
      <c r="F589" s="57" t="n"/>
      <c r="G589" s="57" t="n"/>
      <c r="H589" s="57" t="n"/>
    </row>
    <row r="590" ht="15.75" customHeight="1" s="94">
      <c r="A590" s="57" t="n"/>
      <c r="B590" s="57" t="n"/>
      <c r="C590" s="57" t="n"/>
      <c r="D590" s="57" t="n"/>
      <c r="E590" s="57" t="n"/>
      <c r="F590" s="57" t="n"/>
      <c r="G590" s="57" t="n"/>
      <c r="H590" s="57" t="n"/>
    </row>
    <row r="591" ht="15.75" customHeight="1" s="94">
      <c r="A591" s="57" t="n"/>
      <c r="B591" s="57" t="n"/>
      <c r="C591" s="57" t="n"/>
      <c r="D591" s="57" t="n"/>
      <c r="E591" s="57" t="n"/>
      <c r="F591" s="57" t="n"/>
      <c r="G591" s="57" t="n"/>
      <c r="H591" s="57" t="n"/>
    </row>
    <row r="592" ht="15.75" customHeight="1" s="94">
      <c r="A592" s="57" t="n"/>
      <c r="B592" s="57" t="n"/>
      <c r="C592" s="57" t="n"/>
      <c r="D592" s="57" t="n"/>
      <c r="E592" s="57" t="n"/>
      <c r="F592" s="57" t="n"/>
      <c r="G592" s="57" t="n"/>
      <c r="H592" s="57" t="n"/>
    </row>
    <row r="593" ht="15.75" customHeight="1" s="94">
      <c r="A593" s="57" t="n"/>
      <c r="B593" s="57" t="n"/>
      <c r="C593" s="57" t="n"/>
      <c r="D593" s="57" t="n"/>
      <c r="E593" s="57" t="n"/>
      <c r="F593" s="57" t="n"/>
      <c r="G593" s="57" t="n"/>
      <c r="H593" s="57" t="n"/>
    </row>
    <row r="594" ht="15.75" customHeight="1" s="94">
      <c r="A594" s="57" t="n"/>
      <c r="B594" s="57" t="n"/>
      <c r="C594" s="57" t="n"/>
      <c r="D594" s="57" t="n"/>
      <c r="E594" s="57" t="n"/>
      <c r="F594" s="57" t="n"/>
      <c r="G594" s="57" t="n"/>
      <c r="H594" s="57" t="n"/>
    </row>
    <row r="595" ht="15.75" customHeight="1" s="94">
      <c r="A595" s="57" t="n"/>
      <c r="B595" s="57" t="n"/>
      <c r="C595" s="57" t="n"/>
      <c r="D595" s="57" t="n"/>
      <c r="E595" s="57" t="n"/>
      <c r="F595" s="57" t="n"/>
      <c r="G595" s="57" t="n"/>
      <c r="H595" s="57" t="n"/>
    </row>
    <row r="596" ht="15.75" customHeight="1" s="94">
      <c r="A596" s="57" t="n"/>
      <c r="B596" s="57" t="n"/>
      <c r="C596" s="57" t="n"/>
      <c r="D596" s="57" t="n"/>
      <c r="E596" s="57" t="n"/>
      <c r="F596" s="57" t="n"/>
      <c r="G596" s="57" t="n"/>
      <c r="H596" s="57" t="n"/>
    </row>
    <row r="597" ht="15.75" customHeight="1" s="94">
      <c r="A597" s="57" t="n"/>
      <c r="B597" s="57" t="n"/>
      <c r="C597" s="57" t="n"/>
      <c r="D597" s="57" t="n"/>
      <c r="E597" s="57" t="n"/>
      <c r="F597" s="57" t="n"/>
      <c r="G597" s="57" t="n"/>
      <c r="H597" s="57" t="n"/>
    </row>
    <row r="598" ht="15.75" customHeight="1" s="94">
      <c r="A598" s="57" t="n"/>
      <c r="B598" s="57" t="n"/>
      <c r="C598" s="57" t="n"/>
      <c r="D598" s="57" t="n"/>
      <c r="E598" s="57" t="n"/>
      <c r="F598" s="57" t="n"/>
      <c r="G598" s="57" t="n"/>
      <c r="H598" s="57" t="n"/>
    </row>
    <row r="599" ht="15.75" customHeight="1" s="94">
      <c r="A599" s="57" t="n"/>
      <c r="B599" s="57" t="n"/>
      <c r="C599" s="57" t="n"/>
      <c r="D599" s="57" t="n"/>
      <c r="E599" s="57" t="n"/>
      <c r="F599" s="57" t="n"/>
      <c r="G599" s="57" t="n"/>
      <c r="H599" s="57" t="n"/>
    </row>
    <row r="600" ht="15.75" customHeight="1" s="94">
      <c r="A600" s="57" t="n"/>
      <c r="B600" s="57" t="n"/>
      <c r="C600" s="57" t="n"/>
      <c r="D600" s="57" t="n"/>
      <c r="E600" s="57" t="n"/>
      <c r="F600" s="57" t="n"/>
      <c r="G600" s="57" t="n"/>
      <c r="H600" s="57" t="n"/>
    </row>
    <row r="601" ht="15.75" customHeight="1" s="94">
      <c r="A601" s="57" t="n"/>
      <c r="B601" s="57" t="n"/>
      <c r="C601" s="57" t="n"/>
      <c r="D601" s="57" t="n"/>
      <c r="E601" s="57" t="n"/>
      <c r="F601" s="57" t="n"/>
      <c r="G601" s="57" t="n"/>
      <c r="H601" s="57" t="n"/>
    </row>
    <row r="602" ht="15.75" customHeight="1" s="94">
      <c r="A602" s="57" t="n"/>
      <c r="B602" s="57" t="n"/>
      <c r="C602" s="57" t="n"/>
      <c r="D602" s="57" t="n"/>
      <c r="E602" s="57" t="n"/>
      <c r="F602" s="57" t="n"/>
      <c r="G602" s="57" t="n"/>
      <c r="H602" s="57" t="n"/>
    </row>
    <row r="603" ht="15.75" customHeight="1" s="94">
      <c r="A603" s="57" t="n"/>
      <c r="B603" s="57" t="n"/>
      <c r="C603" s="57" t="n"/>
      <c r="D603" s="57" t="n"/>
      <c r="E603" s="57" t="n"/>
      <c r="F603" s="57" t="n"/>
      <c r="G603" s="57" t="n"/>
      <c r="H603" s="57" t="n"/>
    </row>
    <row r="604" ht="15.75" customHeight="1" s="94">
      <c r="A604" s="57" t="n"/>
      <c r="B604" s="57" t="n"/>
      <c r="C604" s="57" t="n"/>
      <c r="D604" s="57" t="n"/>
      <c r="E604" s="57" t="n"/>
      <c r="F604" s="57" t="n"/>
      <c r="G604" s="57" t="n"/>
      <c r="H604" s="57" t="n"/>
    </row>
    <row r="605" ht="15.75" customHeight="1" s="94">
      <c r="A605" s="57" t="n"/>
      <c r="B605" s="57" t="n"/>
      <c r="C605" s="57" t="n"/>
      <c r="D605" s="57" t="n"/>
      <c r="E605" s="57" t="n"/>
      <c r="F605" s="57" t="n"/>
      <c r="G605" s="57" t="n"/>
      <c r="H605" s="57" t="n"/>
    </row>
    <row r="606" ht="15.75" customHeight="1" s="94">
      <c r="A606" s="57" t="n"/>
      <c r="B606" s="57" t="n"/>
      <c r="C606" s="57" t="n"/>
      <c r="D606" s="57" t="n"/>
      <c r="E606" s="57" t="n"/>
      <c r="F606" s="57" t="n"/>
      <c r="G606" s="57" t="n"/>
      <c r="H606" s="57" t="n"/>
    </row>
    <row r="607" ht="15.75" customHeight="1" s="94">
      <c r="A607" s="57" t="n"/>
      <c r="B607" s="57" t="n"/>
      <c r="C607" s="57" t="n"/>
      <c r="D607" s="57" t="n"/>
      <c r="E607" s="57" t="n"/>
      <c r="F607" s="57" t="n"/>
      <c r="G607" s="57" t="n"/>
      <c r="H607" s="57" t="n"/>
    </row>
    <row r="608" ht="15.75" customHeight="1" s="94">
      <c r="A608" s="57" t="n"/>
      <c r="B608" s="57" t="n"/>
      <c r="C608" s="57" t="n"/>
      <c r="D608" s="57" t="n"/>
      <c r="E608" s="57" t="n"/>
      <c r="F608" s="57" t="n"/>
      <c r="G608" s="57" t="n"/>
      <c r="H608" s="57" t="n"/>
    </row>
    <row r="609" ht="15.75" customHeight="1" s="94">
      <c r="A609" s="57" t="n"/>
      <c r="B609" s="57" t="n"/>
      <c r="C609" s="57" t="n"/>
      <c r="D609" s="57" t="n"/>
      <c r="E609" s="57" t="n"/>
      <c r="F609" s="57" t="n"/>
      <c r="G609" s="57" t="n"/>
      <c r="H609" s="57" t="n"/>
    </row>
    <row r="610" ht="15.75" customHeight="1" s="94">
      <c r="A610" s="57" t="n"/>
      <c r="B610" s="57" t="n"/>
      <c r="C610" s="57" t="n"/>
      <c r="D610" s="57" t="n"/>
      <c r="E610" s="57" t="n"/>
      <c r="F610" s="57" t="n"/>
      <c r="G610" s="57" t="n"/>
      <c r="H610" s="57" t="n"/>
    </row>
    <row r="611" ht="15.75" customHeight="1" s="94">
      <c r="A611" s="57" t="n"/>
      <c r="B611" s="57" t="n"/>
      <c r="C611" s="57" t="n"/>
      <c r="D611" s="57" t="n"/>
      <c r="E611" s="57" t="n"/>
      <c r="F611" s="57" t="n"/>
      <c r="G611" s="57" t="n"/>
      <c r="H611" s="57" t="n"/>
    </row>
    <row r="612" ht="15.75" customHeight="1" s="94">
      <c r="A612" s="57" t="n"/>
      <c r="B612" s="57" t="n"/>
      <c r="C612" s="57" t="n"/>
      <c r="D612" s="57" t="n"/>
      <c r="E612" s="57" t="n"/>
      <c r="F612" s="57" t="n"/>
      <c r="G612" s="57" t="n"/>
      <c r="H612" s="57" t="n"/>
    </row>
    <row r="613" ht="15.75" customHeight="1" s="94">
      <c r="A613" s="57" t="n"/>
      <c r="B613" s="57" t="n"/>
      <c r="C613" s="57" t="n"/>
      <c r="D613" s="57" t="n"/>
      <c r="E613" s="57" t="n"/>
      <c r="F613" s="57" t="n"/>
      <c r="G613" s="57" t="n"/>
      <c r="H613" s="57" t="n"/>
    </row>
    <row r="614" ht="15.75" customHeight="1" s="94">
      <c r="A614" s="57" t="n"/>
      <c r="B614" s="57" t="n"/>
      <c r="C614" s="57" t="n"/>
      <c r="D614" s="57" t="n"/>
      <c r="E614" s="57" t="n"/>
      <c r="F614" s="57" t="n"/>
      <c r="G614" s="57" t="n"/>
      <c r="H614" s="57" t="n"/>
    </row>
    <row r="615" ht="15.75" customHeight="1" s="94">
      <c r="A615" s="57" t="n"/>
      <c r="B615" s="57" t="n"/>
      <c r="C615" s="57" t="n"/>
      <c r="D615" s="57" t="n"/>
      <c r="E615" s="57" t="n"/>
      <c r="F615" s="57" t="n"/>
      <c r="G615" s="57" t="n"/>
      <c r="H615" s="57" t="n"/>
    </row>
    <row r="616" ht="15.75" customHeight="1" s="94">
      <c r="A616" s="57" t="n"/>
      <c r="B616" s="57" t="n"/>
      <c r="C616" s="57" t="n"/>
      <c r="D616" s="57" t="n"/>
      <c r="E616" s="57" t="n"/>
      <c r="F616" s="57" t="n"/>
      <c r="G616" s="57" t="n"/>
      <c r="H616" s="57" t="n"/>
    </row>
    <row r="617" ht="15.75" customHeight="1" s="94">
      <c r="A617" s="57" t="n"/>
      <c r="B617" s="57" t="n"/>
      <c r="C617" s="57" t="n"/>
      <c r="D617" s="57" t="n"/>
      <c r="E617" s="57" t="n"/>
      <c r="F617" s="57" t="n"/>
      <c r="G617" s="57" t="n"/>
      <c r="H617" s="57" t="n"/>
    </row>
    <row r="618" ht="15.75" customHeight="1" s="94">
      <c r="A618" s="57" t="n"/>
      <c r="B618" s="57" t="n"/>
      <c r="C618" s="57" t="n"/>
      <c r="D618" s="57" t="n"/>
      <c r="E618" s="57" t="n"/>
      <c r="F618" s="57" t="n"/>
      <c r="G618" s="57" t="n"/>
      <c r="H618" s="57" t="n"/>
    </row>
    <row r="619" ht="15.75" customHeight="1" s="94">
      <c r="A619" s="57" t="n"/>
      <c r="B619" s="57" t="n"/>
      <c r="C619" s="57" t="n"/>
      <c r="D619" s="57" t="n"/>
      <c r="E619" s="57" t="n"/>
      <c r="F619" s="57" t="n"/>
      <c r="G619" s="57" t="n"/>
      <c r="H619" s="57" t="n"/>
    </row>
    <row r="620" ht="15.75" customHeight="1" s="94">
      <c r="A620" s="57" t="n"/>
      <c r="B620" s="57" t="n"/>
      <c r="C620" s="57" t="n"/>
      <c r="D620" s="57" t="n"/>
      <c r="E620" s="57" t="n"/>
      <c r="F620" s="57" t="n"/>
      <c r="G620" s="57" t="n"/>
      <c r="H620" s="57" t="n"/>
    </row>
    <row r="621" ht="15.75" customHeight="1" s="94">
      <c r="A621" s="57" t="n"/>
      <c r="B621" s="57" t="n"/>
      <c r="C621" s="57" t="n"/>
      <c r="D621" s="57" t="n"/>
      <c r="E621" s="57" t="n"/>
      <c r="F621" s="57" t="n"/>
      <c r="G621" s="57" t="n"/>
      <c r="H621" s="57" t="n"/>
    </row>
    <row r="622" ht="15.75" customHeight="1" s="94">
      <c r="A622" s="57" t="n"/>
      <c r="B622" s="57" t="n"/>
      <c r="C622" s="57" t="n"/>
      <c r="D622" s="57" t="n"/>
      <c r="E622" s="57" t="n"/>
      <c r="F622" s="57" t="n"/>
      <c r="G622" s="57" t="n"/>
      <c r="H622" s="57" t="n"/>
    </row>
    <row r="623" ht="15.75" customHeight="1" s="94">
      <c r="A623" s="57" t="n"/>
      <c r="B623" s="57" t="n"/>
      <c r="C623" s="57" t="n"/>
      <c r="D623" s="57" t="n"/>
      <c r="E623" s="57" t="n"/>
      <c r="F623" s="57" t="n"/>
      <c r="G623" s="57" t="n"/>
      <c r="H623" s="57" t="n"/>
    </row>
    <row r="624" ht="15.75" customHeight="1" s="94">
      <c r="A624" s="57" t="n"/>
      <c r="B624" s="57" t="n"/>
      <c r="C624" s="57" t="n"/>
      <c r="D624" s="57" t="n"/>
      <c r="E624" s="57" t="n"/>
      <c r="F624" s="57" t="n"/>
      <c r="G624" s="57" t="n"/>
      <c r="H624" s="57" t="n"/>
    </row>
    <row r="625" ht="15.75" customHeight="1" s="94">
      <c r="A625" s="57" t="n"/>
      <c r="B625" s="57" t="n"/>
      <c r="C625" s="57" t="n"/>
      <c r="D625" s="57" t="n"/>
      <c r="E625" s="57" t="n"/>
      <c r="F625" s="57" t="n"/>
      <c r="G625" s="57" t="n"/>
      <c r="H625" s="57" t="n"/>
    </row>
    <row r="626" ht="15.75" customHeight="1" s="94">
      <c r="A626" s="57" t="n"/>
      <c r="B626" s="57" t="n"/>
      <c r="C626" s="57" t="n"/>
      <c r="D626" s="57" t="n"/>
      <c r="E626" s="57" t="n"/>
      <c r="F626" s="57" t="n"/>
      <c r="G626" s="57" t="n"/>
      <c r="H626" s="57" t="n"/>
    </row>
    <row r="627" ht="15.75" customHeight="1" s="94">
      <c r="A627" s="57" t="n"/>
      <c r="B627" s="57" t="n"/>
      <c r="C627" s="57" t="n"/>
      <c r="D627" s="57" t="n"/>
      <c r="E627" s="57" t="n"/>
      <c r="F627" s="57" t="n"/>
      <c r="G627" s="57" t="n"/>
      <c r="H627" s="57" t="n"/>
    </row>
    <row r="628" ht="15.75" customHeight="1" s="94">
      <c r="A628" s="57" t="n"/>
      <c r="B628" s="57" t="n"/>
      <c r="C628" s="57" t="n"/>
      <c r="D628" s="57" t="n"/>
      <c r="E628" s="57" t="n"/>
      <c r="F628" s="57" t="n"/>
      <c r="G628" s="57" t="n"/>
      <c r="H628" s="57" t="n"/>
    </row>
    <row r="629" ht="15.75" customHeight="1" s="94">
      <c r="A629" s="57" t="n"/>
      <c r="B629" s="57" t="n"/>
      <c r="C629" s="57" t="n"/>
      <c r="D629" s="57" t="n"/>
      <c r="E629" s="57" t="n"/>
      <c r="F629" s="57" t="n"/>
      <c r="G629" s="57" t="n"/>
      <c r="H629" s="57" t="n"/>
    </row>
    <row r="630" ht="15.75" customHeight="1" s="94">
      <c r="A630" s="57" t="n"/>
      <c r="B630" s="57" t="n"/>
      <c r="C630" s="57" t="n"/>
      <c r="D630" s="57" t="n"/>
      <c r="E630" s="57" t="n"/>
      <c r="F630" s="57" t="n"/>
      <c r="G630" s="57" t="n"/>
      <c r="H630" s="57" t="n"/>
    </row>
    <row r="631" ht="15.75" customHeight="1" s="94">
      <c r="A631" s="57" t="n"/>
      <c r="B631" s="57" t="n"/>
      <c r="C631" s="57" t="n"/>
      <c r="D631" s="57" t="n"/>
      <c r="E631" s="57" t="n"/>
      <c r="F631" s="57" t="n"/>
      <c r="G631" s="57" t="n"/>
      <c r="H631" s="57" t="n"/>
    </row>
    <row r="632" ht="15.75" customHeight="1" s="94">
      <c r="A632" s="57" t="n"/>
      <c r="B632" s="57" t="n"/>
      <c r="C632" s="57" t="n"/>
      <c r="D632" s="57" t="n"/>
      <c r="E632" s="57" t="n"/>
      <c r="F632" s="57" t="n"/>
      <c r="G632" s="57" t="n"/>
      <c r="H632" s="57" t="n"/>
    </row>
    <row r="633" ht="15.75" customHeight="1" s="94">
      <c r="A633" s="57" t="n"/>
      <c r="B633" s="57" t="n"/>
      <c r="C633" s="57" t="n"/>
      <c r="D633" s="57" t="n"/>
      <c r="E633" s="57" t="n"/>
      <c r="F633" s="57" t="n"/>
      <c r="G633" s="57" t="n"/>
      <c r="H633" s="57" t="n"/>
    </row>
    <row r="634" ht="15.75" customHeight="1" s="94">
      <c r="A634" s="57" t="n"/>
      <c r="B634" s="57" t="n"/>
      <c r="C634" s="57" t="n"/>
      <c r="D634" s="57" t="n"/>
      <c r="E634" s="57" t="n"/>
      <c r="F634" s="57" t="n"/>
      <c r="G634" s="57" t="n"/>
      <c r="H634" s="57" t="n"/>
    </row>
    <row r="635" ht="15.75" customHeight="1" s="94">
      <c r="A635" s="57" t="n"/>
      <c r="B635" s="57" t="n"/>
      <c r="C635" s="57" t="n"/>
      <c r="D635" s="57" t="n"/>
      <c r="E635" s="57" t="n"/>
      <c r="F635" s="57" t="n"/>
      <c r="G635" s="57" t="n"/>
      <c r="H635" s="57" t="n"/>
    </row>
    <row r="636" ht="15.75" customHeight="1" s="94">
      <c r="A636" s="57" t="n"/>
      <c r="B636" s="57" t="n"/>
      <c r="C636" s="57" t="n"/>
      <c r="D636" s="57" t="n"/>
      <c r="E636" s="57" t="n"/>
      <c r="F636" s="57" t="n"/>
      <c r="G636" s="57" t="n"/>
      <c r="H636" s="57" t="n"/>
    </row>
    <row r="637" ht="15.75" customHeight="1" s="94">
      <c r="A637" s="57" t="n"/>
      <c r="B637" s="57" t="n"/>
      <c r="C637" s="57" t="n"/>
      <c r="D637" s="57" t="n"/>
      <c r="E637" s="57" t="n"/>
      <c r="F637" s="57" t="n"/>
      <c r="G637" s="57" t="n"/>
      <c r="H637" s="57" t="n"/>
    </row>
    <row r="638" ht="15.75" customHeight="1" s="94">
      <c r="A638" s="57" t="n"/>
      <c r="B638" s="57" t="n"/>
      <c r="C638" s="57" t="n"/>
      <c r="D638" s="57" t="n"/>
      <c r="E638" s="57" t="n"/>
      <c r="F638" s="57" t="n"/>
      <c r="G638" s="57" t="n"/>
      <c r="H638" s="57" t="n"/>
    </row>
    <row r="639" ht="15.75" customHeight="1" s="94">
      <c r="A639" s="57" t="n"/>
      <c r="B639" s="57" t="n"/>
      <c r="C639" s="57" t="n"/>
      <c r="D639" s="57" t="n"/>
      <c r="E639" s="57" t="n"/>
      <c r="F639" s="57" t="n"/>
      <c r="G639" s="57" t="n"/>
      <c r="H639" s="57" t="n"/>
    </row>
    <row r="640" ht="15.75" customHeight="1" s="94">
      <c r="A640" s="57" t="n"/>
      <c r="B640" s="57" t="n"/>
      <c r="C640" s="57" t="n"/>
      <c r="D640" s="57" t="n"/>
      <c r="E640" s="57" t="n"/>
      <c r="F640" s="57" t="n"/>
      <c r="G640" s="57" t="n"/>
      <c r="H640" s="57" t="n"/>
    </row>
    <row r="641" ht="15.75" customHeight="1" s="94">
      <c r="A641" s="57" t="n"/>
      <c r="B641" s="57" t="n"/>
      <c r="C641" s="57" t="n"/>
      <c r="D641" s="57" t="n"/>
      <c r="E641" s="57" t="n"/>
      <c r="F641" s="57" t="n"/>
      <c r="G641" s="57" t="n"/>
      <c r="H641" s="57" t="n"/>
    </row>
    <row r="642" ht="15.75" customHeight="1" s="94">
      <c r="A642" s="57" t="n"/>
      <c r="B642" s="57" t="n"/>
      <c r="C642" s="57" t="n"/>
      <c r="D642" s="57" t="n"/>
      <c r="E642" s="57" t="n"/>
      <c r="F642" s="57" t="n"/>
      <c r="G642" s="57" t="n"/>
      <c r="H642" s="57" t="n"/>
    </row>
    <row r="643" ht="15.75" customHeight="1" s="94">
      <c r="A643" s="57" t="n"/>
      <c r="B643" s="57" t="n"/>
      <c r="C643" s="57" t="n"/>
      <c r="D643" s="57" t="n"/>
      <c r="E643" s="57" t="n"/>
      <c r="F643" s="57" t="n"/>
      <c r="G643" s="57" t="n"/>
      <c r="H643" s="57" t="n"/>
    </row>
    <row r="644" ht="15.75" customHeight="1" s="94">
      <c r="A644" s="57" t="n"/>
      <c r="B644" s="57" t="n"/>
      <c r="C644" s="57" t="n"/>
      <c r="D644" s="57" t="n"/>
      <c r="E644" s="57" t="n"/>
      <c r="F644" s="57" t="n"/>
      <c r="G644" s="57" t="n"/>
      <c r="H644" s="57" t="n"/>
    </row>
    <row r="645" ht="15.75" customHeight="1" s="94">
      <c r="A645" s="57" t="n"/>
      <c r="B645" s="57" t="n"/>
      <c r="C645" s="57" t="n"/>
      <c r="D645" s="57" t="n"/>
      <c r="E645" s="57" t="n"/>
      <c r="F645" s="57" t="n"/>
      <c r="G645" s="57" t="n"/>
      <c r="H645" s="57" t="n"/>
    </row>
    <row r="646" ht="15.75" customHeight="1" s="94">
      <c r="A646" s="57" t="n"/>
      <c r="B646" s="57" t="n"/>
      <c r="C646" s="57" t="n"/>
      <c r="D646" s="57" t="n"/>
      <c r="E646" s="57" t="n"/>
      <c r="F646" s="57" t="n"/>
      <c r="G646" s="57" t="n"/>
      <c r="H646" s="57" t="n"/>
    </row>
    <row r="647" ht="15.75" customHeight="1" s="94">
      <c r="A647" s="57" t="n"/>
      <c r="B647" s="57" t="n"/>
      <c r="C647" s="57" t="n"/>
      <c r="D647" s="57" t="n"/>
      <c r="E647" s="57" t="n"/>
      <c r="F647" s="57" t="n"/>
      <c r="G647" s="57" t="n"/>
      <c r="H647" s="57" t="n"/>
    </row>
    <row r="648" ht="15.75" customHeight="1" s="94">
      <c r="A648" s="57" t="n"/>
      <c r="B648" s="57" t="n"/>
      <c r="C648" s="57" t="n"/>
      <c r="D648" s="57" t="n"/>
      <c r="E648" s="57" t="n"/>
      <c r="F648" s="57" t="n"/>
      <c r="G648" s="57" t="n"/>
      <c r="H648" s="57" t="n"/>
    </row>
    <row r="649" ht="15.75" customHeight="1" s="94">
      <c r="A649" s="57" t="n"/>
      <c r="B649" s="57" t="n"/>
      <c r="C649" s="57" t="n"/>
      <c r="D649" s="57" t="n"/>
      <c r="E649" s="57" t="n"/>
      <c r="F649" s="57" t="n"/>
      <c r="G649" s="57" t="n"/>
      <c r="H649" s="57" t="n"/>
    </row>
    <row r="650" ht="15.75" customHeight="1" s="94">
      <c r="A650" s="57" t="n"/>
      <c r="B650" s="57" t="n"/>
      <c r="C650" s="57" t="n"/>
      <c r="D650" s="57" t="n"/>
      <c r="E650" s="57" t="n"/>
      <c r="F650" s="57" t="n"/>
      <c r="G650" s="57" t="n"/>
      <c r="H650" s="57" t="n"/>
    </row>
    <row r="651" ht="15.75" customHeight="1" s="94">
      <c r="A651" s="57" t="n"/>
      <c r="B651" s="57" t="n"/>
      <c r="C651" s="57" t="n"/>
      <c r="D651" s="57" t="n"/>
      <c r="E651" s="57" t="n"/>
      <c r="F651" s="57" t="n"/>
      <c r="G651" s="57" t="n"/>
      <c r="H651" s="57" t="n"/>
    </row>
    <row r="652" ht="15.75" customHeight="1" s="94">
      <c r="A652" s="57" t="n"/>
      <c r="B652" s="57" t="n"/>
      <c r="C652" s="57" t="n"/>
      <c r="D652" s="57" t="n"/>
      <c r="E652" s="57" t="n"/>
      <c r="F652" s="57" t="n"/>
      <c r="G652" s="57" t="n"/>
      <c r="H652" s="57" t="n"/>
    </row>
    <row r="653" ht="15.75" customHeight="1" s="94">
      <c r="A653" s="57" t="n"/>
      <c r="B653" s="57" t="n"/>
      <c r="C653" s="57" t="n"/>
      <c r="D653" s="57" t="n"/>
      <c r="E653" s="57" t="n"/>
      <c r="F653" s="57" t="n"/>
      <c r="G653" s="57" t="n"/>
      <c r="H653" s="57" t="n"/>
    </row>
    <row r="654" ht="15.75" customHeight="1" s="94">
      <c r="A654" s="57" t="n"/>
      <c r="B654" s="57" t="n"/>
      <c r="C654" s="57" t="n"/>
      <c r="D654" s="57" t="n"/>
      <c r="E654" s="57" t="n"/>
      <c r="F654" s="57" t="n"/>
      <c r="G654" s="57" t="n"/>
      <c r="H654" s="57" t="n"/>
    </row>
    <row r="655" ht="15.75" customHeight="1" s="94">
      <c r="A655" s="57" t="n"/>
      <c r="B655" s="57" t="n"/>
      <c r="C655" s="57" t="n"/>
      <c r="D655" s="57" t="n"/>
      <c r="E655" s="57" t="n"/>
      <c r="F655" s="57" t="n"/>
      <c r="G655" s="57" t="n"/>
      <c r="H655" s="57" t="n"/>
    </row>
    <row r="656" ht="15.75" customHeight="1" s="94">
      <c r="A656" s="57" t="n"/>
      <c r="B656" s="57" t="n"/>
      <c r="C656" s="57" t="n"/>
      <c r="D656" s="57" t="n"/>
      <c r="E656" s="57" t="n"/>
      <c r="F656" s="57" t="n"/>
      <c r="G656" s="57" t="n"/>
      <c r="H656" s="57" t="n"/>
    </row>
    <row r="657" ht="15.75" customHeight="1" s="94">
      <c r="A657" s="57" t="n"/>
      <c r="B657" s="57" t="n"/>
      <c r="C657" s="57" t="n"/>
      <c r="D657" s="57" t="n"/>
      <c r="E657" s="57" t="n"/>
      <c r="F657" s="57" t="n"/>
      <c r="G657" s="57" t="n"/>
      <c r="H657" s="57" t="n"/>
    </row>
    <row r="658" ht="15.75" customHeight="1" s="94">
      <c r="A658" s="57" t="n"/>
      <c r="B658" s="57" t="n"/>
      <c r="C658" s="57" t="n"/>
      <c r="D658" s="57" t="n"/>
      <c r="E658" s="57" t="n"/>
      <c r="F658" s="57" t="n"/>
      <c r="G658" s="57" t="n"/>
      <c r="H658" s="57" t="n"/>
    </row>
    <row r="659" ht="15.75" customHeight="1" s="94">
      <c r="A659" s="57" t="n"/>
      <c r="B659" s="57" t="n"/>
      <c r="C659" s="57" t="n"/>
      <c r="D659" s="57" t="n"/>
      <c r="E659" s="57" t="n"/>
      <c r="F659" s="57" t="n"/>
      <c r="G659" s="57" t="n"/>
      <c r="H659" s="57" t="n"/>
    </row>
    <row r="660" ht="15.75" customHeight="1" s="94">
      <c r="A660" s="57" t="n"/>
      <c r="B660" s="57" t="n"/>
      <c r="C660" s="57" t="n"/>
      <c r="D660" s="57" t="n"/>
      <c r="E660" s="57" t="n"/>
      <c r="F660" s="57" t="n"/>
      <c r="G660" s="57" t="n"/>
      <c r="H660" s="57" t="n"/>
    </row>
    <row r="661" ht="15.75" customHeight="1" s="94">
      <c r="A661" s="57" t="n"/>
      <c r="B661" s="57" t="n"/>
      <c r="C661" s="57" t="n"/>
      <c r="D661" s="57" t="n"/>
      <c r="E661" s="57" t="n"/>
      <c r="F661" s="57" t="n"/>
      <c r="G661" s="57" t="n"/>
      <c r="H661" s="57" t="n"/>
    </row>
    <row r="662" ht="15.75" customHeight="1" s="94">
      <c r="A662" s="57" t="n"/>
      <c r="B662" s="57" t="n"/>
      <c r="C662" s="57" t="n"/>
      <c r="D662" s="57" t="n"/>
      <c r="E662" s="57" t="n"/>
      <c r="F662" s="57" t="n"/>
      <c r="G662" s="57" t="n"/>
      <c r="H662" s="57" t="n"/>
    </row>
    <row r="663" ht="15.75" customHeight="1" s="94">
      <c r="A663" s="57" t="n"/>
      <c r="B663" s="57" t="n"/>
      <c r="C663" s="57" t="n"/>
      <c r="D663" s="57" t="n"/>
      <c r="E663" s="57" t="n"/>
      <c r="F663" s="57" t="n"/>
      <c r="G663" s="57" t="n"/>
      <c r="H663" s="57" t="n"/>
    </row>
    <row r="664" ht="15.75" customHeight="1" s="94">
      <c r="A664" s="57" t="n"/>
      <c r="B664" s="57" t="n"/>
      <c r="C664" s="57" t="n"/>
      <c r="D664" s="57" t="n"/>
      <c r="E664" s="57" t="n"/>
      <c r="F664" s="57" t="n"/>
      <c r="G664" s="57" t="n"/>
      <c r="H664" s="57" t="n"/>
    </row>
    <row r="665" ht="15.75" customHeight="1" s="94">
      <c r="A665" s="57" t="n"/>
      <c r="B665" s="57" t="n"/>
      <c r="C665" s="57" t="n"/>
      <c r="D665" s="57" t="n"/>
      <c r="E665" s="57" t="n"/>
      <c r="F665" s="57" t="n"/>
      <c r="G665" s="57" t="n"/>
      <c r="H665" s="57" t="n"/>
    </row>
    <row r="666" ht="15.75" customHeight="1" s="94">
      <c r="A666" s="57" t="n"/>
      <c r="B666" s="57" t="n"/>
      <c r="C666" s="57" t="n"/>
      <c r="D666" s="57" t="n"/>
      <c r="E666" s="57" t="n"/>
      <c r="F666" s="57" t="n"/>
      <c r="G666" s="57" t="n"/>
      <c r="H666" s="57" t="n"/>
    </row>
    <row r="667" ht="15.75" customHeight="1" s="94">
      <c r="A667" s="57" t="n"/>
      <c r="B667" s="57" t="n"/>
      <c r="C667" s="57" t="n"/>
      <c r="D667" s="57" t="n"/>
      <c r="E667" s="57" t="n"/>
      <c r="F667" s="57" t="n"/>
      <c r="G667" s="57" t="n"/>
      <c r="H667" s="57" t="n"/>
    </row>
    <row r="668" ht="15.75" customHeight="1" s="94">
      <c r="A668" s="57" t="n"/>
      <c r="B668" s="57" t="n"/>
      <c r="C668" s="57" t="n"/>
      <c r="D668" s="57" t="n"/>
      <c r="E668" s="57" t="n"/>
      <c r="F668" s="57" t="n"/>
      <c r="G668" s="57" t="n"/>
      <c r="H668" s="57" t="n"/>
    </row>
    <row r="669" ht="15.75" customHeight="1" s="94">
      <c r="A669" s="57" t="n"/>
      <c r="B669" s="57" t="n"/>
      <c r="C669" s="57" t="n"/>
      <c r="D669" s="57" t="n"/>
      <c r="E669" s="57" t="n"/>
      <c r="F669" s="57" t="n"/>
      <c r="G669" s="57" t="n"/>
      <c r="H669" s="57" t="n"/>
    </row>
    <row r="670" ht="15.75" customHeight="1" s="94">
      <c r="A670" s="57" t="n"/>
      <c r="B670" s="57" t="n"/>
      <c r="C670" s="57" t="n"/>
      <c r="D670" s="57" t="n"/>
      <c r="E670" s="57" t="n"/>
      <c r="F670" s="57" t="n"/>
      <c r="G670" s="57" t="n"/>
      <c r="H670" s="57" t="n"/>
    </row>
    <row r="671" ht="15.75" customHeight="1" s="94">
      <c r="A671" s="57" t="n"/>
      <c r="B671" s="57" t="n"/>
      <c r="C671" s="57" t="n"/>
      <c r="D671" s="57" t="n"/>
      <c r="E671" s="57" t="n"/>
      <c r="F671" s="57" t="n"/>
      <c r="G671" s="57" t="n"/>
      <c r="H671" s="57" t="n"/>
    </row>
    <row r="672" ht="15.75" customHeight="1" s="94">
      <c r="A672" s="57" t="n"/>
      <c r="B672" s="57" t="n"/>
      <c r="C672" s="57" t="n"/>
      <c r="D672" s="57" t="n"/>
      <c r="E672" s="57" t="n"/>
      <c r="F672" s="57" t="n"/>
      <c r="G672" s="57" t="n"/>
      <c r="H672" s="57" t="n"/>
    </row>
    <row r="673" ht="15.75" customHeight="1" s="94">
      <c r="A673" s="57" t="n"/>
      <c r="B673" s="57" t="n"/>
      <c r="C673" s="57" t="n"/>
      <c r="D673" s="57" t="n"/>
      <c r="E673" s="57" t="n"/>
      <c r="F673" s="57" t="n"/>
      <c r="G673" s="57" t="n"/>
      <c r="H673" s="57" t="n"/>
    </row>
    <row r="674" ht="15.75" customHeight="1" s="94">
      <c r="A674" s="57" t="n"/>
      <c r="B674" s="57" t="n"/>
      <c r="C674" s="57" t="n"/>
      <c r="D674" s="57" t="n"/>
      <c r="E674" s="57" t="n"/>
      <c r="F674" s="57" t="n"/>
      <c r="G674" s="57" t="n"/>
      <c r="H674" s="57" t="n"/>
    </row>
    <row r="675" ht="15.75" customHeight="1" s="94">
      <c r="A675" s="57" t="n"/>
      <c r="B675" s="57" t="n"/>
      <c r="C675" s="57" t="n"/>
      <c r="D675" s="57" t="n"/>
      <c r="E675" s="57" t="n"/>
      <c r="F675" s="57" t="n"/>
      <c r="G675" s="57" t="n"/>
      <c r="H675" s="57" t="n"/>
    </row>
    <row r="676" ht="15.75" customHeight="1" s="94">
      <c r="A676" s="57" t="n"/>
      <c r="B676" s="57" t="n"/>
      <c r="C676" s="57" t="n"/>
      <c r="D676" s="57" t="n"/>
      <c r="E676" s="57" t="n"/>
      <c r="F676" s="57" t="n"/>
      <c r="G676" s="57" t="n"/>
      <c r="H676" s="57" t="n"/>
    </row>
    <row r="677" ht="15.75" customHeight="1" s="94">
      <c r="A677" s="57" t="n"/>
      <c r="B677" s="57" t="n"/>
      <c r="C677" s="57" t="n"/>
      <c r="D677" s="57" t="n"/>
      <c r="E677" s="57" t="n"/>
      <c r="F677" s="57" t="n"/>
      <c r="G677" s="57" t="n"/>
      <c r="H677" s="57" t="n"/>
    </row>
    <row r="678" ht="15.75" customHeight="1" s="94">
      <c r="A678" s="57" t="n"/>
      <c r="B678" s="57" t="n"/>
      <c r="C678" s="57" t="n"/>
      <c r="D678" s="57" t="n"/>
      <c r="E678" s="57" t="n"/>
      <c r="F678" s="57" t="n"/>
      <c r="G678" s="57" t="n"/>
      <c r="H678" s="57" t="n"/>
    </row>
    <row r="679" ht="15.75" customHeight="1" s="94">
      <c r="A679" s="57" t="n"/>
      <c r="B679" s="57" t="n"/>
      <c r="C679" s="57" t="n"/>
      <c r="D679" s="57" t="n"/>
      <c r="E679" s="57" t="n"/>
      <c r="F679" s="57" t="n"/>
      <c r="G679" s="57" t="n"/>
      <c r="H679" s="57" t="n"/>
    </row>
    <row r="680" ht="15.75" customHeight="1" s="94">
      <c r="A680" s="57" t="n"/>
      <c r="B680" s="57" t="n"/>
      <c r="C680" s="57" t="n"/>
      <c r="D680" s="57" t="n"/>
      <c r="E680" s="57" t="n"/>
      <c r="F680" s="57" t="n"/>
      <c r="G680" s="57" t="n"/>
      <c r="H680" s="57" t="n"/>
    </row>
    <row r="681" ht="15.75" customHeight="1" s="94">
      <c r="A681" s="57" t="n"/>
      <c r="B681" s="57" t="n"/>
      <c r="C681" s="57" t="n"/>
      <c r="D681" s="57" t="n"/>
      <c r="E681" s="57" t="n"/>
      <c r="F681" s="57" t="n"/>
      <c r="G681" s="57" t="n"/>
      <c r="H681" s="57" t="n"/>
    </row>
    <row r="682" ht="15.75" customHeight="1" s="94">
      <c r="A682" s="57" t="n"/>
      <c r="B682" s="57" t="n"/>
      <c r="C682" s="57" t="n"/>
      <c r="D682" s="57" t="n"/>
      <c r="E682" s="57" t="n"/>
      <c r="F682" s="57" t="n"/>
      <c r="G682" s="57" t="n"/>
      <c r="H682" s="57" t="n"/>
    </row>
    <row r="683" ht="15.75" customHeight="1" s="94">
      <c r="A683" s="57" t="n"/>
      <c r="B683" s="57" t="n"/>
      <c r="C683" s="57" t="n"/>
      <c r="D683" s="57" t="n"/>
      <c r="E683" s="57" t="n"/>
      <c r="F683" s="57" t="n"/>
      <c r="G683" s="57" t="n"/>
      <c r="H683" s="57" t="n"/>
    </row>
    <row r="684" ht="15.75" customHeight="1" s="94">
      <c r="A684" s="57" t="n"/>
      <c r="B684" s="57" t="n"/>
      <c r="C684" s="57" t="n"/>
      <c r="D684" s="57" t="n"/>
      <c r="E684" s="57" t="n"/>
      <c r="F684" s="57" t="n"/>
      <c r="G684" s="57" t="n"/>
      <c r="H684" s="57" t="n"/>
    </row>
    <row r="685" ht="15.75" customHeight="1" s="94">
      <c r="A685" s="57" t="n"/>
      <c r="B685" s="57" t="n"/>
      <c r="C685" s="57" t="n"/>
      <c r="D685" s="57" t="n"/>
      <c r="E685" s="57" t="n"/>
      <c r="F685" s="57" t="n"/>
      <c r="G685" s="57" t="n"/>
      <c r="H685" s="57" t="n"/>
    </row>
    <row r="686" ht="15.75" customHeight="1" s="94">
      <c r="A686" s="57" t="n"/>
      <c r="B686" s="57" t="n"/>
      <c r="C686" s="57" t="n"/>
      <c r="D686" s="57" t="n"/>
      <c r="E686" s="57" t="n"/>
      <c r="F686" s="57" t="n"/>
      <c r="G686" s="57" t="n"/>
      <c r="H686" s="57" t="n"/>
    </row>
    <row r="687" ht="15.75" customHeight="1" s="94">
      <c r="A687" s="57" t="n"/>
      <c r="B687" s="57" t="n"/>
      <c r="C687" s="57" t="n"/>
      <c r="D687" s="57" t="n"/>
      <c r="E687" s="57" t="n"/>
      <c r="F687" s="57" t="n"/>
      <c r="G687" s="57" t="n"/>
      <c r="H687" s="57" t="n"/>
    </row>
    <row r="688" ht="15.75" customHeight="1" s="94">
      <c r="A688" s="57" t="n"/>
      <c r="B688" s="57" t="n"/>
      <c r="C688" s="57" t="n"/>
      <c r="D688" s="57" t="n"/>
      <c r="E688" s="57" t="n"/>
      <c r="F688" s="57" t="n"/>
      <c r="G688" s="57" t="n"/>
      <c r="H688" s="57" t="n"/>
    </row>
    <row r="689" ht="15.75" customHeight="1" s="94">
      <c r="A689" s="57" t="n"/>
      <c r="B689" s="57" t="n"/>
      <c r="C689" s="57" t="n"/>
      <c r="D689" s="57" t="n"/>
      <c r="E689" s="57" t="n"/>
      <c r="F689" s="57" t="n"/>
      <c r="G689" s="57" t="n"/>
      <c r="H689" s="57" t="n"/>
    </row>
    <row r="690" ht="15.75" customHeight="1" s="94">
      <c r="A690" s="57" t="n"/>
      <c r="B690" s="57" t="n"/>
      <c r="C690" s="57" t="n"/>
      <c r="D690" s="57" t="n"/>
      <c r="E690" s="57" t="n"/>
      <c r="F690" s="57" t="n"/>
      <c r="G690" s="57" t="n"/>
      <c r="H690" s="57" t="n"/>
    </row>
    <row r="691" ht="15.75" customHeight="1" s="94">
      <c r="A691" s="57" t="n"/>
      <c r="B691" s="57" t="n"/>
      <c r="C691" s="57" t="n"/>
      <c r="D691" s="57" t="n"/>
      <c r="E691" s="57" t="n"/>
      <c r="F691" s="57" t="n"/>
      <c r="G691" s="57" t="n"/>
      <c r="H691" s="57" t="n"/>
    </row>
    <row r="692" ht="15.75" customHeight="1" s="94">
      <c r="A692" s="57" t="n"/>
      <c r="B692" s="57" t="n"/>
      <c r="C692" s="57" t="n"/>
      <c r="D692" s="57" t="n"/>
      <c r="E692" s="57" t="n"/>
      <c r="F692" s="57" t="n"/>
      <c r="G692" s="57" t="n"/>
      <c r="H692" s="57" t="n"/>
    </row>
    <row r="693" ht="15.75" customHeight="1" s="94">
      <c r="A693" s="57" t="n"/>
      <c r="B693" s="57" t="n"/>
      <c r="C693" s="57" t="n"/>
      <c r="D693" s="57" t="n"/>
      <c r="E693" s="57" t="n"/>
      <c r="F693" s="57" t="n"/>
      <c r="G693" s="57" t="n"/>
      <c r="H693" s="57" t="n"/>
    </row>
    <row r="694" ht="15.75" customHeight="1" s="94">
      <c r="A694" s="57" t="n"/>
      <c r="B694" s="57" t="n"/>
      <c r="C694" s="57" t="n"/>
      <c r="D694" s="57" t="n"/>
      <c r="E694" s="57" t="n"/>
      <c r="F694" s="57" t="n"/>
      <c r="G694" s="57" t="n"/>
      <c r="H694" s="57" t="n"/>
    </row>
    <row r="695" ht="15.75" customHeight="1" s="94">
      <c r="A695" s="57" t="n"/>
      <c r="B695" s="57" t="n"/>
      <c r="C695" s="57" t="n"/>
      <c r="D695" s="57" t="n"/>
      <c r="E695" s="57" t="n"/>
      <c r="F695" s="57" t="n"/>
      <c r="G695" s="57" t="n"/>
      <c r="H695" s="57" t="n"/>
    </row>
    <row r="696" ht="15.75" customHeight="1" s="94">
      <c r="A696" s="57" t="n"/>
      <c r="B696" s="57" t="n"/>
      <c r="C696" s="57" t="n"/>
      <c r="D696" s="57" t="n"/>
      <c r="E696" s="57" t="n"/>
      <c r="F696" s="57" t="n"/>
      <c r="G696" s="57" t="n"/>
      <c r="H696" s="57" t="n"/>
    </row>
    <row r="697" ht="15.75" customHeight="1" s="94">
      <c r="A697" s="57" t="n"/>
      <c r="B697" s="57" t="n"/>
      <c r="C697" s="57" t="n"/>
      <c r="D697" s="57" t="n"/>
      <c r="E697" s="57" t="n"/>
      <c r="F697" s="57" t="n"/>
      <c r="G697" s="57" t="n"/>
      <c r="H697" s="57" t="n"/>
    </row>
    <row r="698" ht="15.75" customHeight="1" s="94">
      <c r="A698" s="57" t="n"/>
      <c r="B698" s="57" t="n"/>
      <c r="C698" s="57" t="n"/>
      <c r="D698" s="57" t="n"/>
      <c r="E698" s="57" t="n"/>
      <c r="F698" s="57" t="n"/>
      <c r="G698" s="57" t="n"/>
      <c r="H698" s="57" t="n"/>
    </row>
    <row r="699" ht="15.75" customHeight="1" s="94">
      <c r="A699" s="57" t="n"/>
      <c r="B699" s="57" t="n"/>
      <c r="C699" s="57" t="n"/>
      <c r="D699" s="57" t="n"/>
      <c r="E699" s="57" t="n"/>
      <c r="F699" s="57" t="n"/>
      <c r="G699" s="57" t="n"/>
      <c r="H699" s="57" t="n"/>
    </row>
    <row r="700" ht="15.75" customHeight="1" s="94">
      <c r="A700" s="57" t="n"/>
      <c r="B700" s="57" t="n"/>
      <c r="C700" s="57" t="n"/>
      <c r="D700" s="57" t="n"/>
      <c r="E700" s="57" t="n"/>
      <c r="F700" s="57" t="n"/>
      <c r="G700" s="57" t="n"/>
      <c r="H700" s="57" t="n"/>
    </row>
    <row r="701" ht="15.75" customHeight="1" s="94">
      <c r="A701" s="57" t="n"/>
      <c r="B701" s="57" t="n"/>
      <c r="C701" s="57" t="n"/>
      <c r="D701" s="57" t="n"/>
      <c r="E701" s="57" t="n"/>
      <c r="F701" s="57" t="n"/>
      <c r="G701" s="57" t="n"/>
      <c r="H701" s="57" t="n"/>
    </row>
    <row r="702" ht="15.75" customHeight="1" s="94">
      <c r="A702" s="57" t="n"/>
      <c r="B702" s="57" t="n"/>
      <c r="C702" s="57" t="n"/>
      <c r="D702" s="57" t="n"/>
      <c r="E702" s="57" t="n"/>
      <c r="F702" s="57" t="n"/>
      <c r="G702" s="57" t="n"/>
      <c r="H702" s="57" t="n"/>
    </row>
    <row r="703" ht="15.75" customHeight="1" s="94">
      <c r="A703" s="57" t="n"/>
      <c r="B703" s="57" t="n"/>
      <c r="C703" s="57" t="n"/>
      <c r="D703" s="57" t="n"/>
      <c r="E703" s="57" t="n"/>
      <c r="F703" s="57" t="n"/>
      <c r="G703" s="57" t="n"/>
      <c r="H703" s="57" t="n"/>
    </row>
    <row r="704" ht="15.75" customHeight="1" s="94">
      <c r="A704" s="57" t="n"/>
      <c r="B704" s="57" t="n"/>
      <c r="C704" s="57" t="n"/>
      <c r="D704" s="57" t="n"/>
      <c r="E704" s="57" t="n"/>
      <c r="F704" s="57" t="n"/>
      <c r="G704" s="57" t="n"/>
      <c r="H704" s="57" t="n"/>
    </row>
    <row r="705" ht="15.75" customHeight="1" s="94">
      <c r="A705" s="57" t="n"/>
      <c r="B705" s="57" t="n"/>
      <c r="C705" s="57" t="n"/>
      <c r="D705" s="57" t="n"/>
      <c r="E705" s="57" t="n"/>
      <c r="F705" s="57" t="n"/>
      <c r="G705" s="57" t="n"/>
      <c r="H705" s="57" t="n"/>
    </row>
    <row r="706" ht="15.75" customHeight="1" s="94">
      <c r="A706" s="57" t="n"/>
      <c r="B706" s="57" t="n"/>
      <c r="C706" s="57" t="n"/>
      <c r="D706" s="57" t="n"/>
      <c r="E706" s="57" t="n"/>
      <c r="F706" s="57" t="n"/>
      <c r="G706" s="57" t="n"/>
      <c r="H706" s="57" t="n"/>
    </row>
    <row r="707" ht="15.75" customHeight="1" s="94">
      <c r="A707" s="57" t="n"/>
      <c r="B707" s="57" t="n"/>
      <c r="C707" s="57" t="n"/>
      <c r="D707" s="57" t="n"/>
      <c r="E707" s="57" t="n"/>
      <c r="F707" s="57" t="n"/>
      <c r="G707" s="57" t="n"/>
      <c r="H707" s="57" t="n"/>
    </row>
    <row r="708" ht="15.75" customHeight="1" s="94">
      <c r="A708" s="57" t="n"/>
      <c r="B708" s="57" t="n"/>
      <c r="C708" s="57" t="n"/>
      <c r="D708" s="57" t="n"/>
      <c r="E708" s="57" t="n"/>
      <c r="F708" s="57" t="n"/>
      <c r="G708" s="57" t="n"/>
      <c r="H708" s="57" t="n"/>
    </row>
    <row r="709" ht="15.75" customHeight="1" s="94">
      <c r="A709" s="57" t="n"/>
      <c r="B709" s="57" t="n"/>
      <c r="C709" s="57" t="n"/>
      <c r="D709" s="57" t="n"/>
      <c r="E709" s="57" t="n"/>
      <c r="F709" s="57" t="n"/>
      <c r="G709" s="57" t="n"/>
      <c r="H709" s="57" t="n"/>
    </row>
    <row r="710" ht="15.75" customHeight="1" s="94">
      <c r="A710" s="57" t="n"/>
      <c r="B710" s="57" t="n"/>
      <c r="C710" s="57" t="n"/>
      <c r="D710" s="57" t="n"/>
      <c r="E710" s="57" t="n"/>
      <c r="F710" s="57" t="n"/>
      <c r="G710" s="57" t="n"/>
      <c r="H710" s="57" t="n"/>
    </row>
    <row r="711" ht="15.75" customHeight="1" s="94">
      <c r="A711" s="57" t="n"/>
      <c r="B711" s="57" t="n"/>
      <c r="C711" s="57" t="n"/>
      <c r="D711" s="57" t="n"/>
      <c r="E711" s="57" t="n"/>
      <c r="F711" s="57" t="n"/>
      <c r="G711" s="57" t="n"/>
      <c r="H711" s="57" t="n"/>
    </row>
    <row r="712" ht="15.75" customHeight="1" s="94">
      <c r="A712" s="57" t="n"/>
      <c r="B712" s="57" t="n"/>
      <c r="C712" s="57" t="n"/>
      <c r="D712" s="57" t="n"/>
      <c r="E712" s="57" t="n"/>
      <c r="F712" s="57" t="n"/>
      <c r="G712" s="57" t="n"/>
      <c r="H712" s="57" t="n"/>
    </row>
    <row r="713" ht="15.75" customHeight="1" s="94">
      <c r="A713" s="57" t="n"/>
      <c r="B713" s="57" t="n"/>
      <c r="C713" s="57" t="n"/>
      <c r="D713" s="57" t="n"/>
      <c r="E713" s="57" t="n"/>
      <c r="F713" s="57" t="n"/>
      <c r="G713" s="57" t="n"/>
      <c r="H713" s="57" t="n"/>
    </row>
    <row r="714" ht="15.75" customHeight="1" s="94">
      <c r="A714" s="57" t="n"/>
      <c r="B714" s="57" t="n"/>
      <c r="C714" s="57" t="n"/>
      <c r="D714" s="57" t="n"/>
      <c r="E714" s="57" t="n"/>
      <c r="F714" s="57" t="n"/>
      <c r="G714" s="57" t="n"/>
      <c r="H714" s="57" t="n"/>
    </row>
    <row r="715" ht="15.75" customHeight="1" s="94">
      <c r="A715" s="57" t="n"/>
      <c r="B715" s="57" t="n"/>
      <c r="C715" s="57" t="n"/>
      <c r="D715" s="57" t="n"/>
      <c r="E715" s="57" t="n"/>
      <c r="F715" s="57" t="n"/>
      <c r="G715" s="57" t="n"/>
      <c r="H715" s="57" t="n"/>
    </row>
    <row r="716" ht="15.75" customHeight="1" s="94">
      <c r="A716" s="57" t="n"/>
      <c r="B716" s="57" t="n"/>
      <c r="C716" s="57" t="n"/>
      <c r="D716" s="57" t="n"/>
      <c r="E716" s="57" t="n"/>
      <c r="F716" s="57" t="n"/>
      <c r="G716" s="57" t="n"/>
      <c r="H716" s="57" t="n"/>
    </row>
    <row r="717" ht="15.75" customHeight="1" s="94">
      <c r="A717" s="57" t="n"/>
      <c r="B717" s="57" t="n"/>
      <c r="C717" s="57" t="n"/>
      <c r="D717" s="57" t="n"/>
      <c r="E717" s="57" t="n"/>
      <c r="F717" s="57" t="n"/>
      <c r="G717" s="57" t="n"/>
      <c r="H717" s="57" t="n"/>
    </row>
    <row r="718" ht="15.75" customHeight="1" s="94">
      <c r="A718" s="57" t="n"/>
      <c r="B718" s="57" t="n"/>
      <c r="C718" s="57" t="n"/>
      <c r="D718" s="57" t="n"/>
      <c r="E718" s="57" t="n"/>
      <c r="F718" s="57" t="n"/>
      <c r="G718" s="57" t="n"/>
      <c r="H718" s="57" t="n"/>
    </row>
    <row r="719" ht="15.75" customHeight="1" s="94">
      <c r="A719" s="57" t="n"/>
      <c r="B719" s="57" t="n"/>
      <c r="C719" s="57" t="n"/>
      <c r="D719" s="57" t="n"/>
      <c r="E719" s="57" t="n"/>
      <c r="F719" s="57" t="n"/>
      <c r="G719" s="57" t="n"/>
      <c r="H719" s="57" t="n"/>
    </row>
    <row r="720" ht="15.75" customHeight="1" s="94">
      <c r="A720" s="57" t="n"/>
      <c r="B720" s="57" t="n"/>
      <c r="C720" s="57" t="n"/>
      <c r="D720" s="57" t="n"/>
      <c r="E720" s="57" t="n"/>
      <c r="F720" s="57" t="n"/>
      <c r="G720" s="57" t="n"/>
      <c r="H720" s="57" t="n"/>
    </row>
    <row r="721" ht="15.75" customHeight="1" s="94">
      <c r="A721" s="57" t="n"/>
      <c r="B721" s="57" t="n"/>
      <c r="C721" s="57" t="n"/>
      <c r="D721" s="57" t="n"/>
      <c r="E721" s="57" t="n"/>
      <c r="F721" s="57" t="n"/>
      <c r="G721" s="57" t="n"/>
      <c r="H721" s="57" t="n"/>
    </row>
    <row r="722" ht="15.75" customHeight="1" s="94">
      <c r="A722" s="57" t="n"/>
      <c r="B722" s="57" t="n"/>
      <c r="C722" s="57" t="n"/>
      <c r="D722" s="57" t="n"/>
      <c r="E722" s="57" t="n"/>
      <c r="F722" s="57" t="n"/>
      <c r="G722" s="57" t="n"/>
      <c r="H722" s="57" t="n"/>
    </row>
    <row r="723" ht="15.75" customHeight="1" s="94">
      <c r="A723" s="57" t="n"/>
      <c r="B723" s="57" t="n"/>
      <c r="C723" s="57" t="n"/>
      <c r="D723" s="57" t="n"/>
      <c r="E723" s="57" t="n"/>
      <c r="F723" s="57" t="n"/>
      <c r="G723" s="57" t="n"/>
      <c r="H723" s="57" t="n"/>
    </row>
    <row r="724" ht="15.75" customHeight="1" s="94">
      <c r="A724" s="57" t="n"/>
      <c r="B724" s="57" t="n"/>
      <c r="C724" s="57" t="n"/>
      <c r="D724" s="57" t="n"/>
      <c r="E724" s="57" t="n"/>
      <c r="F724" s="57" t="n"/>
      <c r="G724" s="57" t="n"/>
      <c r="H724" s="57" t="n"/>
    </row>
    <row r="725" ht="15.75" customHeight="1" s="94">
      <c r="A725" s="57" t="n"/>
      <c r="B725" s="57" t="n"/>
      <c r="C725" s="57" t="n"/>
      <c r="D725" s="57" t="n"/>
      <c r="E725" s="57" t="n"/>
      <c r="F725" s="57" t="n"/>
      <c r="G725" s="57" t="n"/>
      <c r="H725" s="57" t="n"/>
    </row>
    <row r="726" ht="15.75" customHeight="1" s="94">
      <c r="A726" s="57" t="n"/>
      <c r="B726" s="57" t="n"/>
      <c r="C726" s="57" t="n"/>
      <c r="D726" s="57" t="n"/>
      <c r="E726" s="57" t="n"/>
      <c r="F726" s="57" t="n"/>
      <c r="G726" s="57" t="n"/>
      <c r="H726" s="57" t="n"/>
    </row>
    <row r="727" ht="15.75" customHeight="1" s="94">
      <c r="A727" s="57" t="n"/>
      <c r="B727" s="57" t="n"/>
      <c r="C727" s="57" t="n"/>
      <c r="D727" s="57" t="n"/>
      <c r="E727" s="57" t="n"/>
      <c r="F727" s="57" t="n"/>
      <c r="G727" s="57" t="n"/>
      <c r="H727" s="57" t="n"/>
    </row>
    <row r="728" ht="15.75" customHeight="1" s="94">
      <c r="A728" s="57" t="n"/>
      <c r="B728" s="57" t="n"/>
      <c r="C728" s="57" t="n"/>
      <c r="D728" s="57" t="n"/>
      <c r="E728" s="57" t="n"/>
      <c r="F728" s="57" t="n"/>
      <c r="G728" s="57" t="n"/>
      <c r="H728" s="57" t="n"/>
    </row>
    <row r="729" ht="15.75" customHeight="1" s="94">
      <c r="A729" s="57" t="n"/>
      <c r="B729" s="57" t="n"/>
      <c r="C729" s="57" t="n"/>
      <c r="D729" s="57" t="n"/>
      <c r="E729" s="57" t="n"/>
      <c r="F729" s="57" t="n"/>
      <c r="G729" s="57" t="n"/>
      <c r="H729" s="57" t="n"/>
    </row>
    <row r="730" ht="15.75" customHeight="1" s="94">
      <c r="A730" s="57" t="n"/>
      <c r="B730" s="57" t="n"/>
      <c r="C730" s="57" t="n"/>
      <c r="D730" s="57" t="n"/>
      <c r="E730" s="57" t="n"/>
      <c r="F730" s="57" t="n"/>
      <c r="G730" s="57" t="n"/>
      <c r="H730" s="57" t="n"/>
    </row>
    <row r="731" ht="15.75" customHeight="1" s="94">
      <c r="A731" s="57" t="n"/>
      <c r="B731" s="57" t="n"/>
      <c r="C731" s="57" t="n"/>
      <c r="D731" s="57" t="n"/>
      <c r="E731" s="57" t="n"/>
      <c r="F731" s="57" t="n"/>
      <c r="G731" s="57" t="n"/>
      <c r="H731" s="57" t="n"/>
    </row>
    <row r="732" ht="15.75" customHeight="1" s="94">
      <c r="A732" s="57" t="n"/>
      <c r="B732" s="57" t="n"/>
      <c r="C732" s="57" t="n"/>
      <c r="D732" s="57" t="n"/>
      <c r="E732" s="57" t="n"/>
      <c r="F732" s="57" t="n"/>
      <c r="G732" s="57" t="n"/>
      <c r="H732" s="57" t="n"/>
    </row>
    <row r="733" ht="15.75" customHeight="1" s="94">
      <c r="A733" s="57" t="n"/>
      <c r="B733" s="57" t="n"/>
      <c r="C733" s="57" t="n"/>
      <c r="D733" s="57" t="n"/>
      <c r="E733" s="57" t="n"/>
      <c r="F733" s="57" t="n"/>
      <c r="G733" s="57" t="n"/>
      <c r="H733" s="57" t="n"/>
    </row>
    <row r="734" ht="15.75" customHeight="1" s="94">
      <c r="A734" s="57" t="n"/>
      <c r="B734" s="57" t="n"/>
      <c r="C734" s="57" t="n"/>
      <c r="D734" s="57" t="n"/>
      <c r="E734" s="57" t="n"/>
      <c r="F734" s="57" t="n"/>
      <c r="G734" s="57" t="n"/>
      <c r="H734" s="57" t="n"/>
    </row>
    <row r="735" ht="15.75" customHeight="1" s="94">
      <c r="A735" s="57" t="n"/>
      <c r="B735" s="57" t="n"/>
      <c r="C735" s="57" t="n"/>
      <c r="D735" s="57" t="n"/>
      <c r="E735" s="57" t="n"/>
      <c r="F735" s="57" t="n"/>
      <c r="G735" s="57" t="n"/>
      <c r="H735" s="57" t="n"/>
    </row>
    <row r="736" ht="15.75" customHeight="1" s="94">
      <c r="A736" s="57" t="n"/>
      <c r="B736" s="57" t="n"/>
      <c r="C736" s="57" t="n"/>
      <c r="D736" s="57" t="n"/>
      <c r="E736" s="57" t="n"/>
      <c r="F736" s="57" t="n"/>
      <c r="G736" s="57" t="n"/>
      <c r="H736" s="57" t="n"/>
    </row>
    <row r="737" ht="15.75" customHeight="1" s="94">
      <c r="A737" s="57" t="n"/>
      <c r="B737" s="57" t="n"/>
      <c r="C737" s="57" t="n"/>
      <c r="D737" s="57" t="n"/>
      <c r="E737" s="57" t="n"/>
      <c r="F737" s="57" t="n"/>
      <c r="G737" s="57" t="n"/>
      <c r="H737" s="57" t="n"/>
    </row>
    <row r="738" ht="15.75" customHeight="1" s="94">
      <c r="A738" s="57" t="n"/>
      <c r="B738" s="57" t="n"/>
      <c r="C738" s="57" t="n"/>
      <c r="D738" s="57" t="n"/>
      <c r="E738" s="57" t="n"/>
      <c r="F738" s="57" t="n"/>
      <c r="G738" s="57" t="n"/>
      <c r="H738" s="57" t="n"/>
    </row>
    <row r="739" ht="15.75" customHeight="1" s="94">
      <c r="A739" s="57" t="n"/>
      <c r="B739" s="57" t="n"/>
      <c r="C739" s="57" t="n"/>
      <c r="D739" s="57" t="n"/>
      <c r="E739" s="57" t="n"/>
      <c r="F739" s="57" t="n"/>
      <c r="G739" s="57" t="n"/>
      <c r="H739" s="57" t="n"/>
    </row>
    <row r="740" ht="15.75" customHeight="1" s="94">
      <c r="A740" s="57" t="n"/>
      <c r="B740" s="57" t="n"/>
      <c r="C740" s="57" t="n"/>
      <c r="D740" s="57" t="n"/>
      <c r="E740" s="57" t="n"/>
      <c r="F740" s="57" t="n"/>
      <c r="G740" s="57" t="n"/>
      <c r="H740" s="57" t="n"/>
    </row>
    <row r="741" ht="15.75" customHeight="1" s="94">
      <c r="A741" s="57" t="n"/>
      <c r="B741" s="57" t="n"/>
      <c r="C741" s="57" t="n"/>
      <c r="D741" s="57" t="n"/>
      <c r="E741" s="57" t="n"/>
      <c r="F741" s="57" t="n"/>
      <c r="G741" s="57" t="n"/>
      <c r="H741" s="57" t="n"/>
    </row>
    <row r="742" ht="15.75" customHeight="1" s="94">
      <c r="A742" s="57" t="n"/>
      <c r="B742" s="57" t="n"/>
      <c r="C742" s="57" t="n"/>
      <c r="D742" s="57" t="n"/>
      <c r="E742" s="57" t="n"/>
      <c r="F742" s="57" t="n"/>
      <c r="G742" s="57" t="n"/>
      <c r="H742" s="57" t="n"/>
    </row>
    <row r="743" ht="15.75" customHeight="1" s="94">
      <c r="A743" s="57" t="n"/>
      <c r="B743" s="57" t="n"/>
      <c r="C743" s="57" t="n"/>
      <c r="D743" s="57" t="n"/>
      <c r="E743" s="57" t="n"/>
      <c r="F743" s="57" t="n"/>
      <c r="G743" s="57" t="n"/>
      <c r="H743" s="57" t="n"/>
    </row>
    <row r="744" ht="15.75" customHeight="1" s="94">
      <c r="A744" s="57" t="n"/>
      <c r="B744" s="57" t="n"/>
      <c r="C744" s="57" t="n"/>
      <c r="D744" s="57" t="n"/>
      <c r="E744" s="57" t="n"/>
      <c r="F744" s="57" t="n"/>
      <c r="G744" s="57" t="n"/>
      <c r="H744" s="57" t="n"/>
    </row>
    <row r="745" ht="15.75" customHeight="1" s="94">
      <c r="A745" s="57" t="n"/>
      <c r="B745" s="57" t="n"/>
      <c r="C745" s="57" t="n"/>
      <c r="D745" s="57" t="n"/>
      <c r="E745" s="57" t="n"/>
      <c r="F745" s="57" t="n"/>
      <c r="G745" s="57" t="n"/>
      <c r="H745" s="57" t="n"/>
    </row>
    <row r="746" ht="15.75" customHeight="1" s="94">
      <c r="A746" s="57" t="n"/>
      <c r="B746" s="57" t="n"/>
      <c r="C746" s="57" t="n"/>
      <c r="D746" s="57" t="n"/>
      <c r="E746" s="57" t="n"/>
      <c r="F746" s="57" t="n"/>
      <c r="G746" s="57" t="n"/>
      <c r="H746" s="57" t="n"/>
    </row>
    <row r="747" ht="15.75" customHeight="1" s="94">
      <c r="A747" s="57" t="n"/>
      <c r="B747" s="57" t="n"/>
      <c r="C747" s="57" t="n"/>
      <c r="D747" s="57" t="n"/>
      <c r="E747" s="57" t="n"/>
      <c r="F747" s="57" t="n"/>
      <c r="G747" s="57" t="n"/>
      <c r="H747" s="57" t="n"/>
    </row>
    <row r="748" ht="15.75" customHeight="1" s="94">
      <c r="A748" s="57" t="n"/>
      <c r="B748" s="57" t="n"/>
      <c r="C748" s="57" t="n"/>
      <c r="D748" s="57" t="n"/>
      <c r="E748" s="57" t="n"/>
      <c r="F748" s="57" t="n"/>
      <c r="G748" s="57" t="n"/>
      <c r="H748" s="57" t="n"/>
    </row>
    <row r="749" ht="15.75" customHeight="1" s="94">
      <c r="A749" s="57" t="n"/>
      <c r="B749" s="57" t="n"/>
      <c r="C749" s="57" t="n"/>
      <c r="D749" s="57" t="n"/>
      <c r="E749" s="57" t="n"/>
      <c r="F749" s="57" t="n"/>
      <c r="G749" s="57" t="n"/>
      <c r="H749" s="57" t="n"/>
    </row>
    <row r="750" ht="15.75" customHeight="1" s="94">
      <c r="A750" s="57" t="n"/>
      <c r="B750" s="57" t="n"/>
      <c r="C750" s="57" t="n"/>
      <c r="D750" s="57" t="n"/>
      <c r="E750" s="57" t="n"/>
      <c r="F750" s="57" t="n"/>
      <c r="G750" s="57" t="n"/>
      <c r="H750" s="57" t="n"/>
    </row>
    <row r="751" ht="15.75" customHeight="1" s="94">
      <c r="A751" s="57" t="n"/>
      <c r="B751" s="57" t="n"/>
      <c r="C751" s="57" t="n"/>
      <c r="D751" s="57" t="n"/>
      <c r="E751" s="57" t="n"/>
      <c r="F751" s="57" t="n"/>
      <c r="G751" s="57" t="n"/>
      <c r="H751" s="57" t="n"/>
    </row>
    <row r="752" ht="15.75" customHeight="1" s="94">
      <c r="A752" s="57" t="n"/>
      <c r="B752" s="57" t="n"/>
      <c r="C752" s="57" t="n"/>
      <c r="D752" s="57" t="n"/>
      <c r="E752" s="57" t="n"/>
      <c r="F752" s="57" t="n"/>
      <c r="G752" s="57" t="n"/>
      <c r="H752" s="57" t="n"/>
    </row>
    <row r="753" ht="15.75" customHeight="1" s="94">
      <c r="A753" s="57" t="n"/>
      <c r="B753" s="57" t="n"/>
      <c r="C753" s="57" t="n"/>
      <c r="D753" s="57" t="n"/>
      <c r="E753" s="57" t="n"/>
      <c r="F753" s="57" t="n"/>
      <c r="G753" s="57" t="n"/>
      <c r="H753" s="57" t="n"/>
    </row>
    <row r="754" ht="15.75" customHeight="1" s="94">
      <c r="A754" s="57" t="n"/>
      <c r="B754" s="57" t="n"/>
      <c r="C754" s="57" t="n"/>
      <c r="D754" s="57" t="n"/>
      <c r="E754" s="57" t="n"/>
      <c r="F754" s="57" t="n"/>
      <c r="G754" s="57" t="n"/>
      <c r="H754" s="57" t="n"/>
    </row>
    <row r="755" ht="15.75" customHeight="1" s="94">
      <c r="A755" s="57" t="n"/>
      <c r="B755" s="57" t="n"/>
      <c r="C755" s="57" t="n"/>
      <c r="D755" s="57" t="n"/>
      <c r="E755" s="57" t="n"/>
      <c r="F755" s="57" t="n"/>
      <c r="G755" s="57" t="n"/>
      <c r="H755" s="57" t="n"/>
    </row>
    <row r="756" ht="15.75" customHeight="1" s="94">
      <c r="A756" s="57" t="n"/>
      <c r="B756" s="57" t="n"/>
      <c r="C756" s="57" t="n"/>
      <c r="D756" s="57" t="n"/>
      <c r="E756" s="57" t="n"/>
      <c r="F756" s="57" t="n"/>
      <c r="G756" s="57" t="n"/>
      <c r="H756" s="57" t="n"/>
    </row>
    <row r="757" ht="15.75" customHeight="1" s="94">
      <c r="A757" s="57" t="n"/>
      <c r="B757" s="57" t="n"/>
      <c r="C757" s="57" t="n"/>
      <c r="D757" s="57" t="n"/>
      <c r="E757" s="57" t="n"/>
      <c r="F757" s="57" t="n"/>
      <c r="G757" s="57" t="n"/>
      <c r="H757" s="57" t="n"/>
    </row>
    <row r="758" ht="15.75" customHeight="1" s="94">
      <c r="A758" s="57" t="n"/>
      <c r="B758" s="57" t="n"/>
      <c r="C758" s="57" t="n"/>
      <c r="D758" s="57" t="n"/>
      <c r="E758" s="57" t="n"/>
      <c r="F758" s="57" t="n"/>
      <c r="G758" s="57" t="n"/>
      <c r="H758" s="57" t="n"/>
    </row>
    <row r="759" ht="15.75" customHeight="1" s="94">
      <c r="A759" s="57" t="n"/>
      <c r="B759" s="57" t="n"/>
      <c r="C759" s="57" t="n"/>
      <c r="D759" s="57" t="n"/>
      <c r="E759" s="57" t="n"/>
      <c r="F759" s="57" t="n"/>
      <c r="G759" s="57" t="n"/>
      <c r="H759" s="57" t="n"/>
    </row>
    <row r="760" ht="15.75" customHeight="1" s="94">
      <c r="A760" s="57" t="n"/>
      <c r="B760" s="57" t="n"/>
      <c r="C760" s="57" t="n"/>
      <c r="D760" s="57" t="n"/>
      <c r="E760" s="57" t="n"/>
      <c r="F760" s="57" t="n"/>
      <c r="G760" s="57" t="n"/>
      <c r="H760" s="57" t="n"/>
    </row>
    <row r="761" ht="15.75" customHeight="1" s="94">
      <c r="A761" s="57" t="n"/>
      <c r="B761" s="57" t="n"/>
      <c r="C761" s="57" t="n"/>
      <c r="D761" s="57" t="n"/>
      <c r="E761" s="57" t="n"/>
      <c r="F761" s="57" t="n"/>
      <c r="G761" s="57" t="n"/>
      <c r="H761" s="57" t="n"/>
    </row>
    <row r="762" ht="15.75" customHeight="1" s="94">
      <c r="A762" s="57" t="n"/>
      <c r="B762" s="57" t="n"/>
      <c r="C762" s="57" t="n"/>
      <c r="D762" s="57" t="n"/>
      <c r="E762" s="57" t="n"/>
      <c r="F762" s="57" t="n"/>
      <c r="G762" s="57" t="n"/>
      <c r="H762" s="57" t="n"/>
    </row>
    <row r="763" ht="15.75" customHeight="1" s="94">
      <c r="A763" s="57" t="n"/>
      <c r="B763" s="57" t="n"/>
      <c r="C763" s="57" t="n"/>
      <c r="D763" s="57" t="n"/>
      <c r="E763" s="57" t="n"/>
      <c r="F763" s="57" t="n"/>
      <c r="G763" s="57" t="n"/>
      <c r="H763" s="57" t="n"/>
    </row>
    <row r="764" ht="15.75" customHeight="1" s="94">
      <c r="A764" s="57" t="n"/>
      <c r="B764" s="57" t="n"/>
      <c r="C764" s="57" t="n"/>
      <c r="D764" s="57" t="n"/>
      <c r="E764" s="57" t="n"/>
      <c r="F764" s="57" t="n"/>
      <c r="G764" s="57" t="n"/>
      <c r="H764" s="57" t="n"/>
    </row>
    <row r="765" ht="15.75" customHeight="1" s="94">
      <c r="A765" s="57" t="n"/>
      <c r="B765" s="57" t="n"/>
      <c r="C765" s="57" t="n"/>
      <c r="D765" s="57" t="n"/>
      <c r="E765" s="57" t="n"/>
      <c r="F765" s="57" t="n"/>
      <c r="G765" s="57" t="n"/>
      <c r="H765" s="57" t="n"/>
    </row>
    <row r="766" ht="15.75" customHeight="1" s="94">
      <c r="A766" s="57" t="n"/>
      <c r="B766" s="57" t="n"/>
      <c r="C766" s="57" t="n"/>
      <c r="D766" s="57" t="n"/>
      <c r="E766" s="57" t="n"/>
      <c r="F766" s="57" t="n"/>
      <c r="G766" s="57" t="n"/>
      <c r="H766" s="57" t="n"/>
    </row>
    <row r="767" ht="15.75" customHeight="1" s="94">
      <c r="A767" s="57" t="n"/>
      <c r="B767" s="57" t="n"/>
      <c r="C767" s="57" t="n"/>
      <c r="D767" s="57" t="n"/>
      <c r="E767" s="57" t="n"/>
      <c r="F767" s="57" t="n"/>
      <c r="G767" s="57" t="n"/>
      <c r="H767" s="57" t="n"/>
    </row>
    <row r="768" ht="15.75" customHeight="1" s="94">
      <c r="A768" s="57" t="n"/>
      <c r="B768" s="57" t="n"/>
      <c r="C768" s="57" t="n"/>
      <c r="D768" s="57" t="n"/>
      <c r="E768" s="57" t="n"/>
      <c r="F768" s="57" t="n"/>
      <c r="G768" s="57" t="n"/>
      <c r="H768" s="57" t="n"/>
    </row>
    <row r="769" ht="15.75" customHeight="1" s="94">
      <c r="A769" s="57" t="n"/>
      <c r="B769" s="57" t="n"/>
      <c r="C769" s="57" t="n"/>
      <c r="D769" s="57" t="n"/>
      <c r="E769" s="57" t="n"/>
      <c r="F769" s="57" t="n"/>
      <c r="G769" s="57" t="n"/>
      <c r="H769" s="57" t="n"/>
    </row>
    <row r="770" ht="15.75" customHeight="1" s="94">
      <c r="A770" s="57" t="n"/>
      <c r="B770" s="57" t="n"/>
      <c r="C770" s="57" t="n"/>
      <c r="D770" s="57" t="n"/>
      <c r="E770" s="57" t="n"/>
      <c r="F770" s="57" t="n"/>
      <c r="G770" s="57" t="n"/>
      <c r="H770" s="57" t="n"/>
    </row>
    <row r="771" ht="15.75" customHeight="1" s="94">
      <c r="A771" s="57" t="n"/>
      <c r="B771" s="57" t="n"/>
      <c r="C771" s="57" t="n"/>
      <c r="D771" s="57" t="n"/>
      <c r="E771" s="57" t="n"/>
      <c r="F771" s="57" t="n"/>
      <c r="G771" s="57" t="n"/>
      <c r="H771" s="57" t="n"/>
    </row>
    <row r="772" ht="15.75" customHeight="1" s="94">
      <c r="A772" s="57" t="n"/>
      <c r="B772" s="57" t="n"/>
      <c r="C772" s="57" t="n"/>
      <c r="D772" s="57" t="n"/>
      <c r="E772" s="57" t="n"/>
      <c r="F772" s="57" t="n"/>
      <c r="G772" s="57" t="n"/>
      <c r="H772" s="57" t="n"/>
    </row>
    <row r="773" ht="15.75" customHeight="1" s="94">
      <c r="A773" s="57" t="n"/>
      <c r="B773" s="57" t="n"/>
      <c r="C773" s="57" t="n"/>
      <c r="D773" s="57" t="n"/>
      <c r="E773" s="57" t="n"/>
      <c r="F773" s="57" t="n"/>
      <c r="G773" s="57" t="n"/>
      <c r="H773" s="57" t="n"/>
    </row>
    <row r="774" ht="15.75" customHeight="1" s="94">
      <c r="A774" s="57" t="n"/>
      <c r="B774" s="57" t="n"/>
      <c r="C774" s="57" t="n"/>
      <c r="D774" s="57" t="n"/>
      <c r="E774" s="57" t="n"/>
      <c r="F774" s="57" t="n"/>
      <c r="G774" s="57" t="n"/>
      <c r="H774" s="57" t="n"/>
    </row>
    <row r="775" ht="15.75" customHeight="1" s="94">
      <c r="A775" s="57" t="n"/>
      <c r="B775" s="57" t="n"/>
      <c r="C775" s="57" t="n"/>
      <c r="D775" s="57" t="n"/>
      <c r="E775" s="57" t="n"/>
      <c r="F775" s="57" t="n"/>
      <c r="G775" s="57" t="n"/>
      <c r="H775" s="57" t="n"/>
    </row>
    <row r="776" ht="15.75" customHeight="1" s="94">
      <c r="A776" s="57" t="n"/>
      <c r="B776" s="57" t="n"/>
      <c r="C776" s="57" t="n"/>
      <c r="D776" s="57" t="n"/>
      <c r="E776" s="57" t="n"/>
      <c r="F776" s="57" t="n"/>
      <c r="G776" s="57" t="n"/>
      <c r="H776" s="57" t="n"/>
    </row>
    <row r="777" ht="15.75" customHeight="1" s="94">
      <c r="A777" s="57" t="n"/>
      <c r="B777" s="57" t="n"/>
      <c r="C777" s="57" t="n"/>
      <c r="D777" s="57" t="n"/>
      <c r="E777" s="57" t="n"/>
      <c r="F777" s="57" t="n"/>
      <c r="G777" s="57" t="n"/>
      <c r="H777" s="57" t="n"/>
    </row>
    <row r="778" ht="15.75" customHeight="1" s="94">
      <c r="A778" s="57" t="n"/>
      <c r="B778" s="57" t="n"/>
      <c r="C778" s="57" t="n"/>
      <c r="D778" s="57" t="n"/>
      <c r="E778" s="57" t="n"/>
      <c r="F778" s="57" t="n"/>
      <c r="G778" s="57" t="n"/>
      <c r="H778" s="57" t="n"/>
    </row>
    <row r="779" ht="15.75" customHeight="1" s="94">
      <c r="A779" s="57" t="n"/>
      <c r="B779" s="57" t="n"/>
      <c r="C779" s="57" t="n"/>
      <c r="D779" s="57" t="n"/>
      <c r="E779" s="57" t="n"/>
      <c r="F779" s="57" t="n"/>
      <c r="G779" s="57" t="n"/>
      <c r="H779" s="57" t="n"/>
    </row>
    <row r="780" ht="15.75" customHeight="1" s="94">
      <c r="A780" s="57" t="n"/>
      <c r="B780" s="57" t="n"/>
      <c r="C780" s="57" t="n"/>
      <c r="D780" s="57" t="n"/>
      <c r="E780" s="57" t="n"/>
      <c r="F780" s="57" t="n"/>
      <c r="G780" s="57" t="n"/>
      <c r="H780" s="57" t="n"/>
    </row>
    <row r="781" ht="15.75" customHeight="1" s="94">
      <c r="A781" s="57" t="n"/>
      <c r="B781" s="57" t="n"/>
      <c r="C781" s="57" t="n"/>
      <c r="D781" s="57" t="n"/>
      <c r="E781" s="57" t="n"/>
      <c r="F781" s="57" t="n"/>
      <c r="G781" s="57" t="n"/>
      <c r="H781" s="57" t="n"/>
    </row>
    <row r="782" ht="15.75" customHeight="1" s="94">
      <c r="A782" s="57" t="n"/>
      <c r="B782" s="57" t="n"/>
      <c r="C782" s="57" t="n"/>
      <c r="D782" s="57" t="n"/>
      <c r="E782" s="57" t="n"/>
      <c r="F782" s="57" t="n"/>
      <c r="G782" s="57" t="n"/>
      <c r="H782" s="57" t="n"/>
    </row>
    <row r="783" ht="15.75" customHeight="1" s="94">
      <c r="A783" s="57" t="n"/>
      <c r="B783" s="57" t="n"/>
      <c r="C783" s="57" t="n"/>
      <c r="D783" s="57" t="n"/>
      <c r="E783" s="57" t="n"/>
      <c r="F783" s="57" t="n"/>
      <c r="G783" s="57" t="n"/>
      <c r="H783" s="57" t="n"/>
    </row>
    <row r="784" ht="15.75" customHeight="1" s="94">
      <c r="A784" s="57" t="n"/>
      <c r="B784" s="57" t="n"/>
      <c r="C784" s="57" t="n"/>
      <c r="D784" s="57" t="n"/>
      <c r="E784" s="57" t="n"/>
      <c r="F784" s="57" t="n"/>
      <c r="G784" s="57" t="n"/>
      <c r="H784" s="57" t="n"/>
    </row>
    <row r="785" ht="15.75" customHeight="1" s="94">
      <c r="A785" s="57" t="n"/>
      <c r="B785" s="57" t="n"/>
      <c r="C785" s="57" t="n"/>
      <c r="D785" s="57" t="n"/>
      <c r="E785" s="57" t="n"/>
      <c r="F785" s="57" t="n"/>
      <c r="G785" s="57" t="n"/>
      <c r="H785" s="57" t="n"/>
    </row>
    <row r="786" ht="15.75" customHeight="1" s="94">
      <c r="A786" s="57" t="n"/>
      <c r="B786" s="57" t="n"/>
      <c r="C786" s="57" t="n"/>
      <c r="D786" s="57" t="n"/>
      <c r="E786" s="57" t="n"/>
      <c r="F786" s="57" t="n"/>
      <c r="G786" s="57" t="n"/>
      <c r="H786" s="57" t="n"/>
    </row>
    <row r="787" ht="15.75" customHeight="1" s="94">
      <c r="A787" s="57" t="n"/>
      <c r="B787" s="57" t="n"/>
      <c r="C787" s="57" t="n"/>
      <c r="D787" s="57" t="n"/>
      <c r="E787" s="57" t="n"/>
      <c r="F787" s="57" t="n"/>
      <c r="G787" s="57" t="n"/>
      <c r="H787" s="57" t="n"/>
    </row>
    <row r="788" ht="15.75" customHeight="1" s="94">
      <c r="A788" s="57" t="n"/>
      <c r="B788" s="57" t="n"/>
      <c r="C788" s="57" t="n"/>
      <c r="D788" s="57" t="n"/>
      <c r="E788" s="57" t="n"/>
      <c r="F788" s="57" t="n"/>
      <c r="G788" s="57" t="n"/>
      <c r="H788" s="57" t="n"/>
    </row>
    <row r="789" ht="15.75" customHeight="1" s="94">
      <c r="A789" s="57" t="n"/>
      <c r="B789" s="57" t="n"/>
      <c r="C789" s="57" t="n"/>
      <c r="D789" s="57" t="n"/>
      <c r="E789" s="57" t="n"/>
      <c r="F789" s="57" t="n"/>
      <c r="G789" s="57" t="n"/>
      <c r="H789" s="57" t="n"/>
    </row>
    <row r="790" ht="15.75" customHeight="1" s="94">
      <c r="A790" s="57" t="n"/>
      <c r="B790" s="57" t="n"/>
      <c r="C790" s="57" t="n"/>
      <c r="D790" s="57" t="n"/>
      <c r="E790" s="57" t="n"/>
      <c r="F790" s="57" t="n"/>
      <c r="G790" s="57" t="n"/>
      <c r="H790" s="57" t="n"/>
    </row>
    <row r="791" ht="15.75" customHeight="1" s="94">
      <c r="A791" s="57" t="n"/>
      <c r="B791" s="57" t="n"/>
      <c r="C791" s="57" t="n"/>
      <c r="D791" s="57" t="n"/>
      <c r="E791" s="57" t="n"/>
      <c r="F791" s="57" t="n"/>
      <c r="G791" s="57" t="n"/>
      <c r="H791" s="57" t="n"/>
    </row>
    <row r="792" ht="15.75" customHeight="1" s="94">
      <c r="A792" s="57" t="n"/>
      <c r="B792" s="57" t="n"/>
      <c r="C792" s="57" t="n"/>
      <c r="D792" s="57" t="n"/>
      <c r="E792" s="57" t="n"/>
      <c r="F792" s="57" t="n"/>
      <c r="G792" s="57" t="n"/>
      <c r="H792" s="57" t="n"/>
    </row>
    <row r="793" ht="15.75" customHeight="1" s="94">
      <c r="A793" s="57" t="n"/>
      <c r="B793" s="57" t="n"/>
      <c r="C793" s="57" t="n"/>
      <c r="D793" s="57" t="n"/>
      <c r="E793" s="57" t="n"/>
      <c r="F793" s="57" t="n"/>
      <c r="G793" s="57" t="n"/>
      <c r="H793" s="57" t="n"/>
    </row>
    <row r="794" ht="15.75" customHeight="1" s="94">
      <c r="A794" s="57" t="n"/>
      <c r="B794" s="57" t="n"/>
      <c r="C794" s="57" t="n"/>
      <c r="D794" s="57" t="n"/>
      <c r="E794" s="57" t="n"/>
      <c r="F794" s="57" t="n"/>
      <c r="G794" s="57" t="n"/>
      <c r="H794" s="57" t="n"/>
    </row>
    <row r="795" ht="15.75" customHeight="1" s="94">
      <c r="A795" s="57" t="n"/>
      <c r="B795" s="57" t="n"/>
      <c r="C795" s="57" t="n"/>
      <c r="D795" s="57" t="n"/>
      <c r="E795" s="57" t="n"/>
      <c r="F795" s="57" t="n"/>
      <c r="G795" s="57" t="n"/>
      <c r="H795" s="57" t="n"/>
    </row>
    <row r="796" ht="15.75" customHeight="1" s="94">
      <c r="A796" s="57" t="n"/>
      <c r="B796" s="57" t="n"/>
      <c r="C796" s="57" t="n"/>
      <c r="D796" s="57" t="n"/>
      <c r="E796" s="57" t="n"/>
      <c r="F796" s="57" t="n"/>
      <c r="G796" s="57" t="n"/>
      <c r="H796" s="57" t="n"/>
    </row>
    <row r="797" ht="15.75" customHeight="1" s="94">
      <c r="A797" s="57" t="n"/>
      <c r="B797" s="57" t="n"/>
      <c r="C797" s="57" t="n"/>
      <c r="D797" s="57" t="n"/>
      <c r="E797" s="57" t="n"/>
      <c r="F797" s="57" t="n"/>
      <c r="G797" s="57" t="n"/>
      <c r="H797" s="57" t="n"/>
    </row>
    <row r="798" ht="15.75" customHeight="1" s="94">
      <c r="A798" s="57" t="n"/>
      <c r="B798" s="57" t="n"/>
      <c r="C798" s="57" t="n"/>
      <c r="D798" s="57" t="n"/>
      <c r="E798" s="57" t="n"/>
      <c r="F798" s="57" t="n"/>
      <c r="G798" s="57" t="n"/>
      <c r="H798" s="57" t="n"/>
    </row>
    <row r="799" ht="15.75" customHeight="1" s="94">
      <c r="A799" s="57" t="n"/>
      <c r="B799" s="57" t="n"/>
      <c r="C799" s="57" t="n"/>
      <c r="D799" s="57" t="n"/>
      <c r="E799" s="57" t="n"/>
      <c r="F799" s="57" t="n"/>
      <c r="G799" s="57" t="n"/>
      <c r="H799" s="57" t="n"/>
    </row>
    <row r="800" ht="15.75" customHeight="1" s="94">
      <c r="A800" s="57" t="n"/>
      <c r="B800" s="57" t="n"/>
      <c r="C800" s="57" t="n"/>
      <c r="D800" s="57" t="n"/>
      <c r="E800" s="57" t="n"/>
      <c r="F800" s="57" t="n"/>
      <c r="G800" s="57" t="n"/>
      <c r="H800" s="57" t="n"/>
    </row>
    <row r="801" ht="15.75" customHeight="1" s="94">
      <c r="A801" s="57" t="n"/>
      <c r="B801" s="57" t="n"/>
      <c r="C801" s="57" t="n"/>
      <c r="D801" s="57" t="n"/>
      <c r="E801" s="57" t="n"/>
      <c r="F801" s="57" t="n"/>
      <c r="G801" s="57" t="n"/>
      <c r="H801" s="57" t="n"/>
    </row>
    <row r="802" ht="15.75" customHeight="1" s="94">
      <c r="A802" s="57" t="n"/>
      <c r="B802" s="57" t="n"/>
      <c r="C802" s="57" t="n"/>
      <c r="D802" s="57" t="n"/>
      <c r="E802" s="57" t="n"/>
      <c r="F802" s="57" t="n"/>
      <c r="G802" s="57" t="n"/>
      <c r="H802" s="57" t="n"/>
    </row>
    <row r="803" ht="15.75" customHeight="1" s="94">
      <c r="A803" s="57" t="n"/>
      <c r="B803" s="57" t="n"/>
      <c r="C803" s="57" t="n"/>
      <c r="D803" s="57" t="n"/>
      <c r="E803" s="57" t="n"/>
      <c r="F803" s="57" t="n"/>
      <c r="G803" s="57" t="n"/>
      <c r="H803" s="57" t="n"/>
    </row>
    <row r="804" ht="15.75" customHeight="1" s="94">
      <c r="A804" s="57" t="n"/>
      <c r="B804" s="57" t="n"/>
      <c r="C804" s="57" t="n"/>
      <c r="D804" s="57" t="n"/>
      <c r="E804" s="57" t="n"/>
      <c r="F804" s="57" t="n"/>
      <c r="G804" s="57" t="n"/>
      <c r="H804" s="57" t="n"/>
    </row>
    <row r="805" ht="15.75" customHeight="1" s="94">
      <c r="A805" s="57" t="n"/>
      <c r="B805" s="57" t="n"/>
      <c r="C805" s="57" t="n"/>
      <c r="D805" s="57" t="n"/>
      <c r="E805" s="57" t="n"/>
      <c r="F805" s="57" t="n"/>
      <c r="G805" s="57" t="n"/>
      <c r="H805" s="57" t="n"/>
    </row>
    <row r="806" ht="15.75" customHeight="1" s="94">
      <c r="A806" s="57" t="n"/>
      <c r="B806" s="57" t="n"/>
      <c r="C806" s="57" t="n"/>
      <c r="D806" s="57" t="n"/>
      <c r="E806" s="57" t="n"/>
      <c r="F806" s="57" t="n"/>
      <c r="G806" s="57" t="n"/>
      <c r="H806" s="57" t="n"/>
    </row>
    <row r="807" ht="15.75" customHeight="1" s="94">
      <c r="A807" s="57" t="n"/>
      <c r="B807" s="57" t="n"/>
      <c r="C807" s="57" t="n"/>
      <c r="D807" s="57" t="n"/>
      <c r="E807" s="57" t="n"/>
      <c r="F807" s="57" t="n"/>
      <c r="G807" s="57" t="n"/>
      <c r="H807" s="57" t="n"/>
    </row>
    <row r="808" ht="15.75" customHeight="1" s="94">
      <c r="A808" s="57" t="n"/>
      <c r="B808" s="57" t="n"/>
      <c r="C808" s="57" t="n"/>
      <c r="D808" s="57" t="n"/>
      <c r="E808" s="57" t="n"/>
      <c r="F808" s="57" t="n"/>
      <c r="G808" s="57" t="n"/>
      <c r="H808" s="57" t="n"/>
    </row>
    <row r="809" ht="15.75" customHeight="1" s="94">
      <c r="A809" s="57" t="n"/>
      <c r="B809" s="57" t="n"/>
      <c r="C809" s="57" t="n"/>
      <c r="D809" s="57" t="n"/>
      <c r="E809" s="57" t="n"/>
      <c r="F809" s="57" t="n"/>
      <c r="G809" s="57" t="n"/>
      <c r="H809" s="57" t="n"/>
    </row>
    <row r="810" ht="15.75" customHeight="1" s="94">
      <c r="A810" s="57" t="n"/>
      <c r="B810" s="57" t="n"/>
      <c r="C810" s="57" t="n"/>
      <c r="D810" s="57" t="n"/>
      <c r="E810" s="57" t="n"/>
      <c r="F810" s="57" t="n"/>
      <c r="G810" s="57" t="n"/>
      <c r="H810" s="57" t="n"/>
    </row>
    <row r="811" ht="15.75" customHeight="1" s="94">
      <c r="A811" s="57" t="n"/>
      <c r="B811" s="57" t="n"/>
      <c r="C811" s="57" t="n"/>
      <c r="D811" s="57" t="n"/>
      <c r="E811" s="57" t="n"/>
      <c r="F811" s="57" t="n"/>
      <c r="G811" s="57" t="n"/>
      <c r="H811" s="57" t="n"/>
    </row>
    <row r="812" ht="15.75" customHeight="1" s="94">
      <c r="A812" s="57" t="n"/>
      <c r="B812" s="57" t="n"/>
      <c r="C812" s="57" t="n"/>
      <c r="D812" s="57" t="n"/>
      <c r="E812" s="57" t="n"/>
      <c r="F812" s="57" t="n"/>
      <c r="G812" s="57" t="n"/>
      <c r="H812" s="57" t="n"/>
    </row>
    <row r="813" ht="15.75" customHeight="1" s="94">
      <c r="A813" s="57" t="n"/>
      <c r="B813" s="57" t="n"/>
      <c r="C813" s="57" t="n"/>
      <c r="D813" s="57" t="n"/>
      <c r="E813" s="57" t="n"/>
      <c r="F813" s="57" t="n"/>
      <c r="G813" s="57" t="n"/>
      <c r="H813" s="57" t="n"/>
    </row>
    <row r="814" ht="15.75" customHeight="1" s="94">
      <c r="A814" s="57" t="n"/>
      <c r="B814" s="57" t="n"/>
      <c r="C814" s="57" t="n"/>
      <c r="D814" s="57" t="n"/>
      <c r="E814" s="57" t="n"/>
      <c r="F814" s="57" t="n"/>
      <c r="G814" s="57" t="n"/>
      <c r="H814" s="57" t="n"/>
    </row>
    <row r="815" ht="15.75" customHeight="1" s="94">
      <c r="A815" s="57" t="n"/>
      <c r="B815" s="57" t="n"/>
      <c r="C815" s="57" t="n"/>
      <c r="D815" s="57" t="n"/>
      <c r="E815" s="57" t="n"/>
      <c r="F815" s="57" t="n"/>
      <c r="G815" s="57" t="n"/>
      <c r="H815" s="57" t="n"/>
    </row>
    <row r="816" ht="15.75" customHeight="1" s="94">
      <c r="A816" s="57" t="n"/>
      <c r="B816" s="57" t="n"/>
      <c r="C816" s="57" t="n"/>
      <c r="D816" s="57" t="n"/>
      <c r="E816" s="57" t="n"/>
      <c r="F816" s="57" t="n"/>
      <c r="G816" s="57" t="n"/>
      <c r="H816" s="57" t="n"/>
    </row>
    <row r="817" ht="15.75" customHeight="1" s="94">
      <c r="A817" s="57" t="n"/>
      <c r="B817" s="57" t="n"/>
      <c r="C817" s="57" t="n"/>
      <c r="D817" s="57" t="n"/>
      <c r="E817" s="57" t="n"/>
      <c r="F817" s="57" t="n"/>
      <c r="G817" s="57" t="n"/>
      <c r="H817" s="57" t="n"/>
    </row>
    <row r="818" ht="15.75" customHeight="1" s="94">
      <c r="A818" s="57" t="n"/>
      <c r="B818" s="57" t="n"/>
      <c r="C818" s="57" t="n"/>
      <c r="D818" s="57" t="n"/>
      <c r="E818" s="57" t="n"/>
      <c r="F818" s="57" t="n"/>
      <c r="G818" s="57" t="n"/>
      <c r="H818" s="57" t="n"/>
    </row>
    <row r="819" ht="15.75" customHeight="1" s="94">
      <c r="A819" s="57" t="n"/>
      <c r="B819" s="57" t="n"/>
      <c r="C819" s="57" t="n"/>
      <c r="D819" s="57" t="n"/>
      <c r="E819" s="57" t="n"/>
      <c r="F819" s="57" t="n"/>
      <c r="G819" s="57" t="n"/>
      <c r="H819" s="57" t="n"/>
    </row>
    <row r="820" ht="15.75" customHeight="1" s="94">
      <c r="A820" s="57" t="n"/>
      <c r="B820" s="57" t="n"/>
      <c r="C820" s="57" t="n"/>
      <c r="D820" s="57" t="n"/>
      <c r="E820" s="57" t="n"/>
      <c r="F820" s="57" t="n"/>
      <c r="G820" s="57" t="n"/>
      <c r="H820" s="57" t="n"/>
    </row>
    <row r="821" ht="15.75" customHeight="1" s="94">
      <c r="A821" s="57" t="n"/>
      <c r="B821" s="57" t="n"/>
      <c r="C821" s="57" t="n"/>
      <c r="D821" s="57" t="n"/>
      <c r="E821" s="57" t="n"/>
      <c r="F821" s="57" t="n"/>
      <c r="G821" s="57" t="n"/>
      <c r="H821" s="57" t="n"/>
    </row>
    <row r="822" ht="15.75" customHeight="1" s="94">
      <c r="A822" s="57" t="n"/>
      <c r="B822" s="57" t="n"/>
      <c r="C822" s="57" t="n"/>
      <c r="D822" s="57" t="n"/>
      <c r="E822" s="57" t="n"/>
      <c r="F822" s="57" t="n"/>
      <c r="G822" s="57" t="n"/>
      <c r="H822" s="57" t="n"/>
    </row>
    <row r="823" ht="15.75" customHeight="1" s="94">
      <c r="A823" s="57" t="n"/>
      <c r="B823" s="57" t="n"/>
      <c r="C823" s="57" t="n"/>
      <c r="D823" s="57" t="n"/>
      <c r="E823" s="57" t="n"/>
      <c r="F823" s="57" t="n"/>
      <c r="G823" s="57" t="n"/>
      <c r="H823" s="57" t="n"/>
    </row>
    <row r="824" ht="15.75" customHeight="1" s="94">
      <c r="A824" s="57" t="n"/>
      <c r="B824" s="57" t="n"/>
      <c r="C824" s="57" t="n"/>
      <c r="D824" s="57" t="n"/>
      <c r="E824" s="57" t="n"/>
      <c r="F824" s="57" t="n"/>
      <c r="G824" s="57" t="n"/>
      <c r="H824" s="57" t="n"/>
    </row>
    <row r="825" ht="15.75" customHeight="1" s="94">
      <c r="A825" s="57" t="n"/>
      <c r="B825" s="57" t="n"/>
      <c r="C825" s="57" t="n"/>
      <c r="D825" s="57" t="n"/>
      <c r="E825" s="57" t="n"/>
      <c r="F825" s="57" t="n"/>
      <c r="G825" s="57" t="n"/>
      <c r="H825" s="57" t="n"/>
    </row>
    <row r="826" ht="15.75" customHeight="1" s="94">
      <c r="A826" s="57" t="n"/>
      <c r="B826" s="57" t="n"/>
      <c r="C826" s="57" t="n"/>
      <c r="D826" s="57" t="n"/>
      <c r="E826" s="57" t="n"/>
      <c r="F826" s="57" t="n"/>
      <c r="G826" s="57" t="n"/>
      <c r="H826" s="57" t="n"/>
    </row>
    <row r="827" ht="15.75" customHeight="1" s="94">
      <c r="A827" s="57" t="n"/>
      <c r="B827" s="57" t="n"/>
      <c r="C827" s="57" t="n"/>
      <c r="D827" s="57" t="n"/>
      <c r="E827" s="57" t="n"/>
      <c r="F827" s="57" t="n"/>
      <c r="G827" s="57" t="n"/>
      <c r="H827" s="57" t="n"/>
    </row>
    <row r="828" ht="15.75" customHeight="1" s="94">
      <c r="A828" s="57" t="n"/>
      <c r="B828" s="57" t="n"/>
      <c r="C828" s="57" t="n"/>
      <c r="D828" s="57" t="n"/>
      <c r="E828" s="57" t="n"/>
      <c r="F828" s="57" t="n"/>
      <c r="G828" s="57" t="n"/>
      <c r="H828" s="57" t="n"/>
    </row>
    <row r="829" ht="15.75" customHeight="1" s="94">
      <c r="A829" s="57" t="n"/>
      <c r="B829" s="57" t="n"/>
      <c r="C829" s="57" t="n"/>
      <c r="D829" s="57" t="n"/>
      <c r="E829" s="57" t="n"/>
      <c r="F829" s="57" t="n"/>
      <c r="G829" s="57" t="n"/>
      <c r="H829" s="57" t="n"/>
    </row>
    <row r="830" ht="15.75" customHeight="1" s="94">
      <c r="A830" s="57" t="n"/>
      <c r="B830" s="57" t="n"/>
      <c r="C830" s="57" t="n"/>
      <c r="D830" s="57" t="n"/>
      <c r="E830" s="57" t="n"/>
      <c r="F830" s="57" t="n"/>
      <c r="G830" s="57" t="n"/>
      <c r="H830" s="57" t="n"/>
    </row>
    <row r="831" ht="15.75" customHeight="1" s="94">
      <c r="A831" s="57" t="n"/>
      <c r="B831" s="57" t="n"/>
      <c r="C831" s="57" t="n"/>
      <c r="D831" s="57" t="n"/>
      <c r="E831" s="57" t="n"/>
      <c r="F831" s="57" t="n"/>
      <c r="G831" s="57" t="n"/>
      <c r="H831" s="57" t="n"/>
    </row>
    <row r="832" ht="15.75" customHeight="1" s="94">
      <c r="A832" s="57" t="n"/>
      <c r="B832" s="57" t="n"/>
      <c r="C832" s="57" t="n"/>
      <c r="D832" s="57" t="n"/>
      <c r="E832" s="57" t="n"/>
      <c r="F832" s="57" t="n"/>
      <c r="G832" s="57" t="n"/>
      <c r="H832" s="57" t="n"/>
    </row>
    <row r="833" ht="15.75" customHeight="1" s="94">
      <c r="A833" s="57" t="n"/>
      <c r="B833" s="57" t="n"/>
      <c r="C833" s="57" t="n"/>
      <c r="D833" s="57" t="n"/>
      <c r="E833" s="57" t="n"/>
      <c r="F833" s="57" t="n"/>
      <c r="G833" s="57" t="n"/>
      <c r="H833" s="57" t="n"/>
    </row>
    <row r="834" ht="15.75" customHeight="1" s="94">
      <c r="A834" s="57" t="n"/>
      <c r="B834" s="57" t="n"/>
      <c r="C834" s="57" t="n"/>
      <c r="D834" s="57" t="n"/>
      <c r="E834" s="57" t="n"/>
      <c r="F834" s="57" t="n"/>
      <c r="G834" s="57" t="n"/>
      <c r="H834" s="57" t="n"/>
    </row>
    <row r="835" ht="15.75" customHeight="1" s="94">
      <c r="A835" s="57" t="n"/>
      <c r="B835" s="57" t="n"/>
      <c r="C835" s="57" t="n"/>
      <c r="D835" s="57" t="n"/>
      <c r="E835" s="57" t="n"/>
      <c r="F835" s="57" t="n"/>
      <c r="G835" s="57" t="n"/>
      <c r="H835" s="57" t="n"/>
    </row>
    <row r="836" ht="15.75" customHeight="1" s="94">
      <c r="A836" s="57" t="n"/>
      <c r="B836" s="57" t="n"/>
      <c r="C836" s="57" t="n"/>
      <c r="D836" s="57" t="n"/>
      <c r="E836" s="57" t="n"/>
      <c r="F836" s="57" t="n"/>
      <c r="G836" s="57" t="n"/>
      <c r="H836" s="57" t="n"/>
    </row>
    <row r="837" ht="15.75" customHeight="1" s="94">
      <c r="A837" s="57" t="n"/>
      <c r="B837" s="57" t="n"/>
      <c r="C837" s="57" t="n"/>
      <c r="D837" s="57" t="n"/>
      <c r="E837" s="57" t="n"/>
      <c r="F837" s="57" t="n"/>
      <c r="G837" s="57" t="n"/>
      <c r="H837" s="57" t="n"/>
    </row>
    <row r="838" ht="15.75" customHeight="1" s="94">
      <c r="A838" s="57" t="n"/>
      <c r="B838" s="57" t="n"/>
      <c r="C838" s="57" t="n"/>
      <c r="D838" s="57" t="n"/>
      <c r="E838" s="57" t="n"/>
      <c r="F838" s="57" t="n"/>
      <c r="G838" s="57" t="n"/>
      <c r="H838" s="57" t="n"/>
    </row>
    <row r="839" ht="15.75" customHeight="1" s="94">
      <c r="A839" s="57" t="n"/>
      <c r="B839" s="57" t="n"/>
      <c r="C839" s="57" t="n"/>
      <c r="D839" s="57" t="n"/>
      <c r="E839" s="57" t="n"/>
      <c r="F839" s="57" t="n"/>
      <c r="G839" s="57" t="n"/>
      <c r="H839" s="57" t="n"/>
    </row>
    <row r="840" ht="15.75" customHeight="1" s="94">
      <c r="A840" s="57" t="n"/>
      <c r="B840" s="57" t="n"/>
      <c r="C840" s="57" t="n"/>
      <c r="D840" s="57" t="n"/>
      <c r="E840" s="57" t="n"/>
      <c r="F840" s="57" t="n"/>
      <c r="G840" s="57" t="n"/>
      <c r="H840" s="57" t="n"/>
    </row>
    <row r="841" ht="15.75" customHeight="1" s="94">
      <c r="A841" s="57" t="n"/>
      <c r="B841" s="57" t="n"/>
      <c r="C841" s="57" t="n"/>
      <c r="D841" s="57" t="n"/>
      <c r="E841" s="57" t="n"/>
      <c r="F841" s="57" t="n"/>
      <c r="G841" s="57" t="n"/>
      <c r="H841" s="57" t="n"/>
    </row>
    <row r="842" ht="15.75" customHeight="1" s="94">
      <c r="A842" s="57" t="n"/>
      <c r="B842" s="57" t="n"/>
      <c r="C842" s="57" t="n"/>
      <c r="D842" s="57" t="n"/>
      <c r="E842" s="57" t="n"/>
      <c r="F842" s="57" t="n"/>
      <c r="G842" s="57" t="n"/>
      <c r="H842" s="57" t="n"/>
    </row>
    <row r="843" ht="15.75" customHeight="1" s="94">
      <c r="A843" s="57" t="n"/>
      <c r="B843" s="57" t="n"/>
      <c r="C843" s="57" t="n"/>
      <c r="D843" s="57" t="n"/>
      <c r="E843" s="57" t="n"/>
      <c r="F843" s="57" t="n"/>
      <c r="G843" s="57" t="n"/>
      <c r="H843" s="57" t="n"/>
    </row>
    <row r="844" ht="15.75" customHeight="1" s="94">
      <c r="A844" s="57" t="n"/>
      <c r="B844" s="57" t="n"/>
      <c r="C844" s="57" t="n"/>
      <c r="D844" s="57" t="n"/>
      <c r="E844" s="57" t="n"/>
      <c r="F844" s="57" t="n"/>
      <c r="G844" s="57" t="n"/>
      <c r="H844" s="57" t="n"/>
    </row>
    <row r="845" ht="15.75" customHeight="1" s="94">
      <c r="A845" s="57" t="n"/>
      <c r="B845" s="57" t="n"/>
      <c r="C845" s="57" t="n"/>
      <c r="D845" s="57" t="n"/>
      <c r="E845" s="57" t="n"/>
      <c r="F845" s="57" t="n"/>
      <c r="G845" s="57" t="n"/>
      <c r="H845" s="57" t="n"/>
    </row>
    <row r="846" ht="15.75" customHeight="1" s="94">
      <c r="A846" s="57" t="n"/>
      <c r="B846" s="57" t="n"/>
      <c r="C846" s="57" t="n"/>
      <c r="D846" s="57" t="n"/>
      <c r="E846" s="57" t="n"/>
      <c r="F846" s="57" t="n"/>
      <c r="G846" s="57" t="n"/>
      <c r="H846" s="57" t="n"/>
    </row>
    <row r="847" ht="15.75" customHeight="1" s="94">
      <c r="A847" s="57" t="n"/>
      <c r="B847" s="57" t="n"/>
      <c r="C847" s="57" t="n"/>
      <c r="D847" s="57" t="n"/>
      <c r="E847" s="57" t="n"/>
      <c r="F847" s="57" t="n"/>
      <c r="G847" s="57" t="n"/>
      <c r="H847" s="57" t="n"/>
    </row>
    <row r="848" ht="15.75" customHeight="1" s="94">
      <c r="A848" s="57" t="n"/>
      <c r="B848" s="57" t="n"/>
      <c r="C848" s="57" t="n"/>
      <c r="D848" s="57" t="n"/>
      <c r="E848" s="57" t="n"/>
      <c r="F848" s="57" t="n"/>
      <c r="G848" s="57" t="n"/>
      <c r="H848" s="57" t="n"/>
    </row>
    <row r="849" ht="15.75" customHeight="1" s="94">
      <c r="A849" s="57" t="n"/>
      <c r="B849" s="57" t="n"/>
      <c r="C849" s="57" t="n"/>
      <c r="D849" s="57" t="n"/>
      <c r="E849" s="57" t="n"/>
      <c r="F849" s="57" t="n"/>
      <c r="G849" s="57" t="n"/>
      <c r="H849" s="57" t="n"/>
    </row>
    <row r="850" ht="15.75" customHeight="1" s="94">
      <c r="A850" s="57" t="n"/>
      <c r="B850" s="57" t="n"/>
      <c r="C850" s="57" t="n"/>
      <c r="D850" s="57" t="n"/>
      <c r="E850" s="57" t="n"/>
      <c r="F850" s="57" t="n"/>
      <c r="G850" s="57" t="n"/>
      <c r="H850" s="57" t="n"/>
    </row>
    <row r="851" ht="15.75" customHeight="1" s="94">
      <c r="A851" s="57" t="n"/>
      <c r="B851" s="57" t="n"/>
      <c r="C851" s="57" t="n"/>
      <c r="D851" s="57" t="n"/>
      <c r="E851" s="57" t="n"/>
      <c r="F851" s="57" t="n"/>
      <c r="G851" s="57" t="n"/>
      <c r="H851" s="57" t="n"/>
    </row>
    <row r="852" ht="15.75" customHeight="1" s="94">
      <c r="A852" s="57" t="n"/>
      <c r="B852" s="57" t="n"/>
      <c r="C852" s="57" t="n"/>
      <c r="D852" s="57" t="n"/>
      <c r="E852" s="57" t="n"/>
      <c r="F852" s="57" t="n"/>
      <c r="G852" s="57" t="n"/>
      <c r="H852" s="57" t="n"/>
    </row>
    <row r="853" ht="15.75" customHeight="1" s="94">
      <c r="A853" s="57" t="n"/>
      <c r="B853" s="57" t="n"/>
      <c r="C853" s="57" t="n"/>
      <c r="D853" s="57" t="n"/>
      <c r="E853" s="57" t="n"/>
      <c r="F853" s="57" t="n"/>
      <c r="G853" s="57" t="n"/>
      <c r="H853" s="57" t="n"/>
    </row>
    <row r="854" ht="15.75" customHeight="1" s="94">
      <c r="A854" s="57" t="n"/>
      <c r="B854" s="57" t="n"/>
      <c r="C854" s="57" t="n"/>
      <c r="D854" s="57" t="n"/>
      <c r="E854" s="57" t="n"/>
      <c r="F854" s="57" t="n"/>
      <c r="G854" s="57" t="n"/>
      <c r="H854" s="57" t="n"/>
    </row>
    <row r="855" ht="15.75" customHeight="1" s="94">
      <c r="A855" s="57" t="n"/>
      <c r="B855" s="57" t="n"/>
      <c r="C855" s="57" t="n"/>
      <c r="D855" s="57" t="n"/>
      <c r="E855" s="57" t="n"/>
      <c r="F855" s="57" t="n"/>
      <c r="G855" s="57" t="n"/>
      <c r="H855" s="57" t="n"/>
    </row>
    <row r="856" ht="15.75" customHeight="1" s="94">
      <c r="A856" s="57" t="n"/>
      <c r="B856" s="57" t="n"/>
      <c r="C856" s="57" t="n"/>
      <c r="D856" s="57" t="n"/>
      <c r="E856" s="57" t="n"/>
      <c r="F856" s="57" t="n"/>
      <c r="G856" s="57" t="n"/>
      <c r="H856" s="57" t="n"/>
    </row>
    <row r="857" ht="15.75" customHeight="1" s="94">
      <c r="A857" s="57" t="n"/>
      <c r="B857" s="57" t="n"/>
      <c r="C857" s="57" t="n"/>
      <c r="D857" s="57" t="n"/>
      <c r="E857" s="57" t="n"/>
      <c r="F857" s="57" t="n"/>
      <c r="G857" s="57" t="n"/>
      <c r="H857" s="57" t="n"/>
    </row>
    <row r="858" ht="15.75" customHeight="1" s="94">
      <c r="A858" s="57" t="n"/>
      <c r="B858" s="57" t="n"/>
      <c r="C858" s="57" t="n"/>
      <c r="D858" s="57" t="n"/>
      <c r="E858" s="57" t="n"/>
      <c r="F858" s="57" t="n"/>
      <c r="G858" s="57" t="n"/>
      <c r="H858" s="57" t="n"/>
    </row>
    <row r="859" ht="15.75" customHeight="1" s="94">
      <c r="A859" s="57" t="n"/>
      <c r="B859" s="57" t="n"/>
      <c r="C859" s="57" t="n"/>
      <c r="D859" s="57" t="n"/>
      <c r="E859" s="57" t="n"/>
      <c r="F859" s="57" t="n"/>
      <c r="G859" s="57" t="n"/>
      <c r="H859" s="57" t="n"/>
    </row>
    <row r="860" ht="15.75" customHeight="1" s="94">
      <c r="A860" s="57" t="n"/>
      <c r="B860" s="57" t="n"/>
      <c r="C860" s="57" t="n"/>
      <c r="D860" s="57" t="n"/>
      <c r="E860" s="57" t="n"/>
      <c r="F860" s="57" t="n"/>
      <c r="G860" s="57" t="n"/>
      <c r="H860" s="57" t="n"/>
    </row>
    <row r="861" ht="15.75" customHeight="1" s="94">
      <c r="A861" s="57" t="n"/>
      <c r="B861" s="57" t="n"/>
      <c r="C861" s="57" t="n"/>
      <c r="D861" s="57" t="n"/>
      <c r="E861" s="57" t="n"/>
      <c r="F861" s="57" t="n"/>
      <c r="G861" s="57" t="n"/>
      <c r="H861" s="57" t="n"/>
    </row>
    <row r="862" ht="15.75" customHeight="1" s="94">
      <c r="A862" s="57" t="n"/>
      <c r="B862" s="57" t="n"/>
      <c r="C862" s="57" t="n"/>
      <c r="D862" s="57" t="n"/>
      <c r="E862" s="57" t="n"/>
      <c r="F862" s="57" t="n"/>
      <c r="G862" s="57" t="n"/>
      <c r="H862" s="57" t="n"/>
    </row>
    <row r="863" ht="15.75" customHeight="1" s="94">
      <c r="A863" s="57" t="n"/>
      <c r="B863" s="57" t="n"/>
      <c r="C863" s="57" t="n"/>
      <c r="D863" s="57" t="n"/>
      <c r="E863" s="57" t="n"/>
      <c r="F863" s="57" t="n"/>
      <c r="G863" s="57" t="n"/>
      <c r="H863" s="57" t="n"/>
    </row>
    <row r="864" ht="15.75" customHeight="1" s="94">
      <c r="A864" s="57" t="n"/>
      <c r="B864" s="57" t="n"/>
      <c r="C864" s="57" t="n"/>
      <c r="D864" s="57" t="n"/>
      <c r="E864" s="57" t="n"/>
      <c r="F864" s="57" t="n"/>
      <c r="G864" s="57" t="n"/>
      <c r="H864" s="57" t="n"/>
    </row>
    <row r="865" ht="15.75" customHeight="1" s="94">
      <c r="A865" s="57" t="n"/>
      <c r="B865" s="57" t="n"/>
      <c r="C865" s="57" t="n"/>
      <c r="D865" s="57" t="n"/>
      <c r="E865" s="57" t="n"/>
      <c r="F865" s="57" t="n"/>
      <c r="G865" s="57" t="n"/>
      <c r="H865" s="57" t="n"/>
    </row>
    <row r="866" ht="15.75" customHeight="1" s="94">
      <c r="A866" s="57" t="n"/>
      <c r="B866" s="57" t="n"/>
      <c r="C866" s="57" t="n"/>
      <c r="D866" s="57" t="n"/>
      <c r="E866" s="57" t="n"/>
      <c r="F866" s="57" t="n"/>
      <c r="G866" s="57" t="n"/>
      <c r="H866" s="57" t="n"/>
    </row>
    <row r="867" ht="15.75" customHeight="1" s="94">
      <c r="A867" s="57" t="n"/>
      <c r="B867" s="57" t="n"/>
      <c r="C867" s="57" t="n"/>
      <c r="D867" s="57" t="n"/>
      <c r="E867" s="57" t="n"/>
      <c r="F867" s="57" t="n"/>
      <c r="G867" s="57" t="n"/>
      <c r="H867" s="57" t="n"/>
    </row>
    <row r="868" ht="15.75" customHeight="1" s="94">
      <c r="A868" s="57" t="n"/>
      <c r="B868" s="57" t="n"/>
      <c r="C868" s="57" t="n"/>
      <c r="D868" s="57" t="n"/>
      <c r="E868" s="57" t="n"/>
      <c r="F868" s="57" t="n"/>
      <c r="G868" s="57" t="n"/>
      <c r="H868" s="57" t="n"/>
    </row>
    <row r="869" ht="15.75" customHeight="1" s="94">
      <c r="A869" s="57" t="n"/>
      <c r="B869" s="57" t="n"/>
      <c r="C869" s="57" t="n"/>
      <c r="D869" s="57" t="n"/>
      <c r="E869" s="57" t="n"/>
      <c r="F869" s="57" t="n"/>
      <c r="G869" s="57" t="n"/>
      <c r="H869" s="57" t="n"/>
    </row>
    <row r="870" ht="15.75" customHeight="1" s="94">
      <c r="A870" s="57" t="n"/>
      <c r="B870" s="57" t="n"/>
      <c r="C870" s="57" t="n"/>
      <c r="D870" s="57" t="n"/>
      <c r="E870" s="57" t="n"/>
      <c r="F870" s="57" t="n"/>
      <c r="G870" s="57" t="n"/>
      <c r="H870" s="57" t="n"/>
    </row>
    <row r="871" ht="15.75" customHeight="1" s="94">
      <c r="A871" s="57" t="n"/>
      <c r="B871" s="57" t="n"/>
      <c r="C871" s="57" t="n"/>
      <c r="D871" s="57" t="n"/>
      <c r="E871" s="57" t="n"/>
      <c r="F871" s="57" t="n"/>
      <c r="G871" s="57" t="n"/>
      <c r="H871" s="57" t="n"/>
    </row>
    <row r="872" ht="15.75" customHeight="1" s="94">
      <c r="A872" s="57" t="n"/>
      <c r="B872" s="57" t="n"/>
      <c r="C872" s="57" t="n"/>
      <c r="D872" s="57" t="n"/>
      <c r="E872" s="57" t="n"/>
      <c r="F872" s="57" t="n"/>
      <c r="G872" s="57" t="n"/>
      <c r="H872" s="57" t="n"/>
    </row>
    <row r="873" ht="15.75" customHeight="1" s="94">
      <c r="A873" s="57" t="n"/>
      <c r="B873" s="57" t="n"/>
      <c r="C873" s="57" t="n"/>
      <c r="D873" s="57" t="n"/>
      <c r="E873" s="57" t="n"/>
      <c r="F873" s="57" t="n"/>
      <c r="G873" s="57" t="n"/>
      <c r="H873" s="57" t="n"/>
    </row>
    <row r="874" ht="15.75" customHeight="1" s="94">
      <c r="A874" s="57" t="n"/>
      <c r="B874" s="57" t="n"/>
      <c r="C874" s="57" t="n"/>
      <c r="D874" s="57" t="n"/>
      <c r="E874" s="57" t="n"/>
      <c r="F874" s="57" t="n"/>
      <c r="G874" s="57" t="n"/>
      <c r="H874" s="57" t="n"/>
    </row>
    <row r="875" ht="15.75" customHeight="1" s="94">
      <c r="A875" s="57" t="n"/>
      <c r="B875" s="57" t="n"/>
      <c r="C875" s="57" t="n"/>
      <c r="D875" s="57" t="n"/>
      <c r="E875" s="57" t="n"/>
      <c r="F875" s="57" t="n"/>
      <c r="G875" s="57" t="n"/>
      <c r="H875" s="57" t="n"/>
    </row>
    <row r="876" ht="15.75" customHeight="1" s="94">
      <c r="A876" s="57" t="n"/>
      <c r="B876" s="57" t="n"/>
      <c r="C876" s="57" t="n"/>
      <c r="D876" s="57" t="n"/>
      <c r="E876" s="57" t="n"/>
      <c r="F876" s="57" t="n"/>
      <c r="G876" s="57" t="n"/>
      <c r="H876" s="57" t="n"/>
    </row>
    <row r="877" ht="15.75" customHeight="1" s="94">
      <c r="A877" s="57" t="n"/>
      <c r="B877" s="57" t="n"/>
      <c r="C877" s="57" t="n"/>
      <c r="D877" s="57" t="n"/>
      <c r="E877" s="57" t="n"/>
      <c r="F877" s="57" t="n"/>
      <c r="G877" s="57" t="n"/>
      <c r="H877" s="57" t="n"/>
    </row>
    <row r="878" ht="15.75" customHeight="1" s="94">
      <c r="A878" s="57" t="n"/>
      <c r="B878" s="57" t="n"/>
      <c r="C878" s="57" t="n"/>
      <c r="D878" s="57" t="n"/>
      <c r="E878" s="57" t="n"/>
      <c r="F878" s="57" t="n"/>
      <c r="G878" s="57" t="n"/>
      <c r="H878" s="57" t="n"/>
    </row>
    <row r="879" ht="15.75" customHeight="1" s="94">
      <c r="A879" s="57" t="n"/>
      <c r="B879" s="57" t="n"/>
      <c r="C879" s="57" t="n"/>
      <c r="D879" s="57" t="n"/>
      <c r="E879" s="57" t="n"/>
      <c r="F879" s="57" t="n"/>
      <c r="G879" s="57" t="n"/>
      <c r="H879" s="57" t="n"/>
    </row>
    <row r="880" ht="15.75" customHeight="1" s="94">
      <c r="A880" s="57" t="n"/>
      <c r="B880" s="57" t="n"/>
      <c r="C880" s="57" t="n"/>
      <c r="D880" s="57" t="n"/>
      <c r="E880" s="57" t="n"/>
      <c r="F880" s="57" t="n"/>
      <c r="G880" s="57" t="n"/>
      <c r="H880" s="57" t="n"/>
    </row>
    <row r="881" ht="15.75" customHeight="1" s="94">
      <c r="A881" s="57" t="n"/>
      <c r="B881" s="57" t="n"/>
      <c r="C881" s="57" t="n"/>
      <c r="D881" s="57" t="n"/>
      <c r="E881" s="57" t="n"/>
      <c r="F881" s="57" t="n"/>
      <c r="G881" s="57" t="n"/>
      <c r="H881" s="57" t="n"/>
    </row>
    <row r="882" ht="15.75" customHeight="1" s="94">
      <c r="A882" s="57" t="n"/>
      <c r="B882" s="57" t="n"/>
      <c r="C882" s="57" t="n"/>
      <c r="D882" s="57" t="n"/>
      <c r="E882" s="57" t="n"/>
      <c r="F882" s="57" t="n"/>
      <c r="G882" s="57" t="n"/>
      <c r="H882" s="57" t="n"/>
    </row>
    <row r="883" ht="15.75" customHeight="1" s="94">
      <c r="A883" s="57" t="n"/>
      <c r="B883" s="57" t="n"/>
      <c r="C883" s="57" t="n"/>
      <c r="D883" s="57" t="n"/>
      <c r="E883" s="57" t="n"/>
      <c r="F883" s="57" t="n"/>
      <c r="G883" s="57" t="n"/>
      <c r="H883" s="57" t="n"/>
    </row>
    <row r="884" ht="15.75" customHeight="1" s="94">
      <c r="A884" s="57" t="n"/>
      <c r="B884" s="57" t="n"/>
      <c r="C884" s="57" t="n"/>
      <c r="D884" s="57" t="n"/>
      <c r="E884" s="57" t="n"/>
      <c r="F884" s="57" t="n"/>
      <c r="G884" s="57" t="n"/>
      <c r="H884" s="57" t="n"/>
    </row>
    <row r="885" ht="15.75" customHeight="1" s="94">
      <c r="A885" s="57" t="n"/>
      <c r="B885" s="57" t="n"/>
      <c r="C885" s="57" t="n"/>
      <c r="D885" s="57" t="n"/>
      <c r="E885" s="57" t="n"/>
      <c r="F885" s="57" t="n"/>
      <c r="G885" s="57" t="n"/>
      <c r="H885" s="57" t="n"/>
    </row>
    <row r="886" ht="15.75" customHeight="1" s="94">
      <c r="A886" s="57" t="n"/>
      <c r="B886" s="57" t="n"/>
      <c r="C886" s="57" t="n"/>
      <c r="D886" s="57" t="n"/>
      <c r="E886" s="57" t="n"/>
      <c r="F886" s="57" t="n"/>
      <c r="G886" s="57" t="n"/>
      <c r="H886" s="57" t="n"/>
    </row>
    <row r="887" ht="15.75" customHeight="1" s="94">
      <c r="A887" s="57" t="n"/>
      <c r="B887" s="57" t="n"/>
      <c r="C887" s="57" t="n"/>
      <c r="D887" s="57" t="n"/>
      <c r="E887" s="57" t="n"/>
      <c r="F887" s="57" t="n"/>
      <c r="G887" s="57" t="n"/>
      <c r="H887" s="57" t="n"/>
    </row>
    <row r="888" ht="15.75" customHeight="1" s="94">
      <c r="A888" s="57" t="n"/>
      <c r="B888" s="57" t="n"/>
      <c r="C888" s="57" t="n"/>
      <c r="D888" s="57" t="n"/>
      <c r="E888" s="57" t="n"/>
      <c r="F888" s="57" t="n"/>
      <c r="G888" s="57" t="n"/>
      <c r="H888" s="57" t="n"/>
    </row>
    <row r="889" ht="15.75" customHeight="1" s="94">
      <c r="A889" s="57" t="n"/>
      <c r="B889" s="57" t="n"/>
      <c r="C889" s="57" t="n"/>
      <c r="D889" s="57" t="n"/>
      <c r="E889" s="57" t="n"/>
      <c r="F889" s="57" t="n"/>
      <c r="G889" s="57" t="n"/>
      <c r="H889" s="57" t="n"/>
    </row>
    <row r="890" ht="15.75" customHeight="1" s="94">
      <c r="A890" s="57" t="n"/>
      <c r="B890" s="57" t="n"/>
      <c r="C890" s="57" t="n"/>
      <c r="D890" s="57" t="n"/>
      <c r="E890" s="57" t="n"/>
      <c r="F890" s="57" t="n"/>
      <c r="G890" s="57" t="n"/>
      <c r="H890" s="57" t="n"/>
    </row>
    <row r="891" ht="15.75" customHeight="1" s="94">
      <c r="A891" s="57" t="n"/>
      <c r="B891" s="57" t="n"/>
      <c r="C891" s="57" t="n"/>
      <c r="D891" s="57" t="n"/>
      <c r="E891" s="57" t="n"/>
      <c r="F891" s="57" t="n"/>
      <c r="G891" s="57" t="n"/>
      <c r="H891" s="57" t="n"/>
    </row>
    <row r="892" ht="15.75" customHeight="1" s="94">
      <c r="A892" s="57" t="n"/>
      <c r="B892" s="57" t="n"/>
      <c r="C892" s="57" t="n"/>
      <c r="D892" s="57" t="n"/>
      <c r="E892" s="57" t="n"/>
      <c r="F892" s="57" t="n"/>
      <c r="G892" s="57" t="n"/>
      <c r="H892" s="57" t="n"/>
    </row>
    <row r="893" ht="15.75" customHeight="1" s="94">
      <c r="A893" s="57" t="n"/>
      <c r="B893" s="57" t="n"/>
      <c r="C893" s="57" t="n"/>
      <c r="D893" s="57" t="n"/>
      <c r="E893" s="57" t="n"/>
      <c r="F893" s="57" t="n"/>
      <c r="G893" s="57" t="n"/>
      <c r="H893" s="57" t="n"/>
    </row>
    <row r="894" ht="15.75" customHeight="1" s="94">
      <c r="A894" s="57" t="n"/>
      <c r="B894" s="57" t="n"/>
      <c r="C894" s="57" t="n"/>
      <c r="D894" s="57" t="n"/>
      <c r="E894" s="57" t="n"/>
      <c r="F894" s="57" t="n"/>
      <c r="G894" s="57" t="n"/>
      <c r="H894" s="57" t="n"/>
    </row>
    <row r="895" ht="15.75" customHeight="1" s="94">
      <c r="A895" s="57" t="n"/>
      <c r="B895" s="57" t="n"/>
      <c r="C895" s="57" t="n"/>
      <c r="D895" s="57" t="n"/>
      <c r="E895" s="57" t="n"/>
      <c r="F895" s="57" t="n"/>
      <c r="G895" s="57" t="n"/>
      <c r="H895" s="57" t="n"/>
    </row>
    <row r="896" ht="15.75" customHeight="1" s="94">
      <c r="A896" s="57" t="n"/>
      <c r="B896" s="57" t="n"/>
      <c r="C896" s="57" t="n"/>
      <c r="D896" s="57" t="n"/>
      <c r="E896" s="57" t="n"/>
      <c r="F896" s="57" t="n"/>
      <c r="G896" s="57" t="n"/>
      <c r="H896" s="57" t="n"/>
    </row>
    <row r="897" ht="15.75" customHeight="1" s="94">
      <c r="A897" s="57" t="n"/>
      <c r="B897" s="57" t="n"/>
      <c r="C897" s="57" t="n"/>
      <c r="D897" s="57" t="n"/>
      <c r="E897" s="57" t="n"/>
      <c r="F897" s="57" t="n"/>
      <c r="G897" s="57" t="n"/>
      <c r="H897" s="57" t="n"/>
    </row>
    <row r="898" ht="15.75" customHeight="1" s="94">
      <c r="A898" s="57" t="n"/>
      <c r="B898" s="57" t="n"/>
      <c r="C898" s="57" t="n"/>
      <c r="D898" s="57" t="n"/>
      <c r="E898" s="57" t="n"/>
      <c r="F898" s="57" t="n"/>
      <c r="G898" s="57" t="n"/>
      <c r="H898" s="57" t="n"/>
    </row>
    <row r="899" ht="15.75" customHeight="1" s="94">
      <c r="A899" s="57" t="n"/>
      <c r="B899" s="57" t="n"/>
      <c r="C899" s="57" t="n"/>
      <c r="D899" s="57" t="n"/>
      <c r="E899" s="57" t="n"/>
      <c r="F899" s="57" t="n"/>
      <c r="G899" s="57" t="n"/>
      <c r="H899" s="57" t="n"/>
    </row>
    <row r="900" ht="15.75" customHeight="1" s="94">
      <c r="A900" s="57" t="n"/>
      <c r="B900" s="57" t="n"/>
      <c r="C900" s="57" t="n"/>
      <c r="D900" s="57" t="n"/>
      <c r="E900" s="57" t="n"/>
      <c r="F900" s="57" t="n"/>
      <c r="G900" s="57" t="n"/>
      <c r="H900" s="57" t="n"/>
    </row>
    <row r="901" ht="15.75" customHeight="1" s="94">
      <c r="A901" s="57" t="n"/>
      <c r="B901" s="57" t="n"/>
      <c r="C901" s="57" t="n"/>
      <c r="D901" s="57" t="n"/>
      <c r="E901" s="57" t="n"/>
      <c r="F901" s="57" t="n"/>
      <c r="G901" s="57" t="n"/>
      <c r="H901" s="57" t="n"/>
    </row>
    <row r="902" ht="15.75" customHeight="1" s="94">
      <c r="A902" s="57" t="n"/>
      <c r="B902" s="57" t="n"/>
      <c r="C902" s="57" t="n"/>
      <c r="D902" s="57" t="n"/>
      <c r="E902" s="57" t="n"/>
      <c r="F902" s="57" t="n"/>
      <c r="G902" s="57" t="n"/>
      <c r="H902" s="57" t="n"/>
    </row>
    <row r="903" ht="15.75" customHeight="1" s="94">
      <c r="A903" s="57" t="n"/>
      <c r="B903" s="57" t="n"/>
      <c r="C903" s="57" t="n"/>
      <c r="D903" s="57" t="n"/>
      <c r="E903" s="57" t="n"/>
      <c r="F903" s="57" t="n"/>
      <c r="G903" s="57" t="n"/>
      <c r="H903" s="57" t="n"/>
    </row>
    <row r="904" ht="15.75" customHeight="1" s="94">
      <c r="A904" s="57" t="n"/>
      <c r="B904" s="57" t="n"/>
      <c r="C904" s="57" t="n"/>
      <c r="D904" s="57" t="n"/>
      <c r="E904" s="57" t="n"/>
      <c r="F904" s="57" t="n"/>
      <c r="G904" s="57" t="n"/>
      <c r="H904" s="57" t="n"/>
    </row>
    <row r="905" ht="15.75" customHeight="1" s="94">
      <c r="A905" s="57" t="n"/>
      <c r="B905" s="57" t="n"/>
      <c r="C905" s="57" t="n"/>
      <c r="D905" s="57" t="n"/>
      <c r="E905" s="57" t="n"/>
      <c r="F905" s="57" t="n"/>
      <c r="G905" s="57" t="n"/>
      <c r="H905" s="57" t="n"/>
    </row>
    <row r="906" ht="15.75" customHeight="1" s="94">
      <c r="A906" s="57" t="n"/>
      <c r="B906" s="57" t="n"/>
      <c r="C906" s="57" t="n"/>
      <c r="D906" s="57" t="n"/>
      <c r="E906" s="57" t="n"/>
      <c r="F906" s="57" t="n"/>
      <c r="G906" s="57" t="n"/>
      <c r="H906" s="57" t="n"/>
    </row>
    <row r="907" ht="15.75" customHeight="1" s="94">
      <c r="A907" s="57" t="n"/>
      <c r="B907" s="57" t="n"/>
      <c r="C907" s="57" t="n"/>
      <c r="D907" s="57" t="n"/>
      <c r="E907" s="57" t="n"/>
      <c r="F907" s="57" t="n"/>
      <c r="G907" s="57" t="n"/>
      <c r="H907" s="57" t="n"/>
    </row>
    <row r="908" ht="15.75" customHeight="1" s="94">
      <c r="A908" s="57" t="n"/>
      <c r="B908" s="57" t="n"/>
      <c r="C908" s="57" t="n"/>
      <c r="D908" s="57" t="n"/>
      <c r="E908" s="57" t="n"/>
      <c r="F908" s="57" t="n"/>
      <c r="G908" s="57" t="n"/>
      <c r="H908" s="57" t="n"/>
    </row>
    <row r="909" ht="15.75" customHeight="1" s="94">
      <c r="A909" s="57" t="n"/>
      <c r="B909" s="57" t="n"/>
      <c r="C909" s="57" t="n"/>
      <c r="D909" s="57" t="n"/>
      <c r="E909" s="57" t="n"/>
      <c r="F909" s="57" t="n"/>
      <c r="G909" s="57" t="n"/>
      <c r="H909" s="57" t="n"/>
    </row>
    <row r="910" ht="15.75" customHeight="1" s="94">
      <c r="A910" s="57" t="n"/>
      <c r="B910" s="57" t="n"/>
      <c r="C910" s="57" t="n"/>
      <c r="D910" s="57" t="n"/>
      <c r="E910" s="57" t="n"/>
      <c r="F910" s="57" t="n"/>
      <c r="G910" s="57" t="n"/>
      <c r="H910" s="57" t="n"/>
    </row>
    <row r="911" ht="15.75" customHeight="1" s="94">
      <c r="A911" s="57" t="n"/>
      <c r="B911" s="57" t="n"/>
      <c r="C911" s="57" t="n"/>
      <c r="D911" s="57" t="n"/>
      <c r="E911" s="57" t="n"/>
      <c r="F911" s="57" t="n"/>
      <c r="G911" s="57" t="n"/>
      <c r="H911" s="57" t="n"/>
    </row>
    <row r="912" ht="15.75" customHeight="1" s="94">
      <c r="A912" s="57" t="n"/>
      <c r="B912" s="57" t="n"/>
      <c r="C912" s="57" t="n"/>
      <c r="D912" s="57" t="n"/>
      <c r="E912" s="57" t="n"/>
      <c r="F912" s="57" t="n"/>
      <c r="G912" s="57" t="n"/>
      <c r="H912" s="57" t="n"/>
    </row>
    <row r="913" ht="15.75" customHeight="1" s="94">
      <c r="A913" s="57" t="n"/>
      <c r="B913" s="57" t="n"/>
      <c r="C913" s="57" t="n"/>
      <c r="D913" s="57" t="n"/>
      <c r="E913" s="57" t="n"/>
      <c r="F913" s="57" t="n"/>
      <c r="G913" s="57" t="n"/>
      <c r="H913" s="57" t="n"/>
    </row>
    <row r="914" ht="15.75" customHeight="1" s="94">
      <c r="A914" s="57" t="n"/>
      <c r="B914" s="57" t="n"/>
      <c r="C914" s="57" t="n"/>
      <c r="D914" s="57" t="n"/>
      <c r="E914" s="57" t="n"/>
      <c r="F914" s="57" t="n"/>
      <c r="G914" s="57" t="n"/>
      <c r="H914" s="57" t="n"/>
    </row>
    <row r="915" ht="15.75" customHeight="1" s="94">
      <c r="A915" s="57" t="n"/>
      <c r="B915" s="57" t="n"/>
      <c r="C915" s="57" t="n"/>
      <c r="D915" s="57" t="n"/>
      <c r="E915" s="57" t="n"/>
      <c r="F915" s="57" t="n"/>
      <c r="G915" s="57" t="n"/>
      <c r="H915" s="57" t="n"/>
    </row>
    <row r="916" ht="15.75" customHeight="1" s="94">
      <c r="A916" s="57" t="n"/>
      <c r="B916" s="57" t="n"/>
      <c r="C916" s="57" t="n"/>
      <c r="D916" s="57" t="n"/>
      <c r="E916" s="57" t="n"/>
      <c r="F916" s="57" t="n"/>
      <c r="G916" s="57" t="n"/>
      <c r="H916" s="57" t="n"/>
    </row>
    <row r="917" ht="15.75" customHeight="1" s="94">
      <c r="A917" s="57" t="n"/>
      <c r="B917" s="57" t="n"/>
      <c r="C917" s="57" t="n"/>
      <c r="D917" s="57" t="n"/>
      <c r="E917" s="57" t="n"/>
      <c r="F917" s="57" t="n"/>
      <c r="G917" s="57" t="n"/>
      <c r="H917" s="57" t="n"/>
    </row>
    <row r="918" ht="15.75" customHeight="1" s="94">
      <c r="A918" s="57" t="n"/>
      <c r="B918" s="57" t="n"/>
      <c r="C918" s="57" t="n"/>
      <c r="D918" s="57" t="n"/>
      <c r="E918" s="57" t="n"/>
      <c r="F918" s="57" t="n"/>
      <c r="G918" s="57" t="n"/>
      <c r="H918" s="57" t="n"/>
    </row>
    <row r="919" ht="15.75" customHeight="1" s="94">
      <c r="A919" s="57" t="n"/>
      <c r="B919" s="57" t="n"/>
      <c r="C919" s="57" t="n"/>
      <c r="D919" s="57" t="n"/>
      <c r="E919" s="57" t="n"/>
      <c r="F919" s="57" t="n"/>
      <c r="G919" s="57" t="n"/>
      <c r="H919" s="57" t="n"/>
    </row>
    <row r="920" ht="15.75" customHeight="1" s="94">
      <c r="A920" s="57" t="n"/>
      <c r="B920" s="57" t="n"/>
      <c r="C920" s="57" t="n"/>
      <c r="D920" s="57" t="n"/>
      <c r="E920" s="57" t="n"/>
      <c r="F920" s="57" t="n"/>
      <c r="G920" s="57" t="n"/>
      <c r="H920" s="57" t="n"/>
    </row>
    <row r="921" ht="15.75" customHeight="1" s="94">
      <c r="A921" s="57" t="n"/>
      <c r="B921" s="57" t="n"/>
      <c r="C921" s="57" t="n"/>
      <c r="D921" s="57" t="n"/>
      <c r="E921" s="57" t="n"/>
      <c r="F921" s="57" t="n"/>
      <c r="G921" s="57" t="n"/>
      <c r="H921" s="57" t="n"/>
    </row>
    <row r="922" ht="15.75" customHeight="1" s="94">
      <c r="A922" s="57" t="n"/>
      <c r="B922" s="57" t="n"/>
      <c r="C922" s="57" t="n"/>
      <c r="D922" s="57" t="n"/>
      <c r="E922" s="57" t="n"/>
      <c r="F922" s="57" t="n"/>
      <c r="G922" s="57" t="n"/>
      <c r="H922" s="57" t="n"/>
    </row>
    <row r="923" ht="15.75" customHeight="1" s="94">
      <c r="A923" s="57" t="n"/>
      <c r="B923" s="57" t="n"/>
      <c r="C923" s="57" t="n"/>
      <c r="D923" s="57" t="n"/>
      <c r="E923" s="57" t="n"/>
      <c r="F923" s="57" t="n"/>
      <c r="G923" s="57" t="n"/>
      <c r="H923" s="57" t="n"/>
    </row>
    <row r="924" ht="15.75" customHeight="1" s="94">
      <c r="A924" s="57" t="n"/>
      <c r="B924" s="57" t="n"/>
      <c r="C924" s="57" t="n"/>
      <c r="D924" s="57" t="n"/>
      <c r="E924" s="57" t="n"/>
      <c r="F924" s="57" t="n"/>
      <c r="G924" s="57" t="n"/>
      <c r="H924" s="57" t="n"/>
    </row>
    <row r="925" ht="15.75" customHeight="1" s="94">
      <c r="A925" s="57" t="n"/>
      <c r="B925" s="57" t="n"/>
      <c r="C925" s="57" t="n"/>
      <c r="D925" s="57" t="n"/>
      <c r="E925" s="57" t="n"/>
      <c r="F925" s="57" t="n"/>
      <c r="G925" s="57" t="n"/>
      <c r="H925" s="57" t="n"/>
    </row>
    <row r="926" ht="15.75" customHeight="1" s="94">
      <c r="A926" s="57" t="n"/>
      <c r="B926" s="57" t="n"/>
      <c r="C926" s="57" t="n"/>
      <c r="D926" s="57" t="n"/>
      <c r="E926" s="57" t="n"/>
      <c r="F926" s="57" t="n"/>
      <c r="G926" s="57" t="n"/>
      <c r="H926" s="57" t="n"/>
    </row>
    <row r="927" ht="15.75" customHeight="1" s="94">
      <c r="A927" s="57" t="n"/>
      <c r="B927" s="57" t="n"/>
      <c r="C927" s="57" t="n"/>
      <c r="D927" s="57" t="n"/>
      <c r="E927" s="57" t="n"/>
      <c r="F927" s="57" t="n"/>
      <c r="G927" s="57" t="n"/>
      <c r="H927" s="57" t="n"/>
    </row>
    <row r="928" ht="15.75" customHeight="1" s="94">
      <c r="A928" s="57" t="n"/>
      <c r="B928" s="57" t="n"/>
      <c r="C928" s="57" t="n"/>
      <c r="D928" s="57" t="n"/>
      <c r="E928" s="57" t="n"/>
      <c r="F928" s="57" t="n"/>
      <c r="G928" s="57" t="n"/>
      <c r="H928" s="57" t="n"/>
    </row>
    <row r="929" ht="15.75" customHeight="1" s="94">
      <c r="A929" s="57" t="n"/>
      <c r="B929" s="57" t="n"/>
      <c r="C929" s="57" t="n"/>
      <c r="D929" s="57" t="n"/>
      <c r="E929" s="57" t="n"/>
      <c r="F929" s="57" t="n"/>
      <c r="G929" s="57" t="n"/>
      <c r="H929" s="57" t="n"/>
    </row>
    <row r="930" ht="15.75" customHeight="1" s="94">
      <c r="A930" s="57" t="n"/>
      <c r="B930" s="57" t="n"/>
      <c r="C930" s="57" t="n"/>
      <c r="D930" s="57" t="n"/>
      <c r="E930" s="57" t="n"/>
      <c r="F930" s="57" t="n"/>
      <c r="G930" s="57" t="n"/>
      <c r="H930" s="57" t="n"/>
    </row>
    <row r="931" ht="15.75" customHeight="1" s="94">
      <c r="A931" s="57" t="n"/>
      <c r="B931" s="57" t="n"/>
      <c r="C931" s="57" t="n"/>
      <c r="D931" s="57" t="n"/>
      <c r="E931" s="57" t="n"/>
      <c r="F931" s="57" t="n"/>
      <c r="G931" s="57" t="n"/>
      <c r="H931" s="57" t="n"/>
    </row>
    <row r="932" ht="15.75" customHeight="1" s="94">
      <c r="A932" s="57" t="n"/>
      <c r="B932" s="57" t="n"/>
      <c r="C932" s="57" t="n"/>
      <c r="D932" s="57" t="n"/>
      <c r="E932" s="57" t="n"/>
      <c r="F932" s="57" t="n"/>
      <c r="G932" s="57" t="n"/>
      <c r="H932" s="57" t="n"/>
    </row>
    <row r="933" ht="15.75" customHeight="1" s="94">
      <c r="A933" s="57" t="n"/>
      <c r="B933" s="57" t="n"/>
      <c r="C933" s="57" t="n"/>
      <c r="D933" s="57" t="n"/>
      <c r="E933" s="57" t="n"/>
      <c r="F933" s="57" t="n"/>
      <c r="G933" s="57" t="n"/>
      <c r="H933" s="57" t="n"/>
    </row>
    <row r="934" ht="15.75" customHeight="1" s="94">
      <c r="A934" s="57" t="n"/>
      <c r="B934" s="57" t="n"/>
      <c r="C934" s="57" t="n"/>
      <c r="D934" s="57" t="n"/>
      <c r="E934" s="57" t="n"/>
      <c r="F934" s="57" t="n"/>
      <c r="G934" s="57" t="n"/>
      <c r="H934" s="57" t="n"/>
    </row>
    <row r="935" ht="15.75" customHeight="1" s="94">
      <c r="A935" s="57" t="n"/>
      <c r="B935" s="57" t="n"/>
      <c r="C935" s="57" t="n"/>
      <c r="D935" s="57" t="n"/>
      <c r="E935" s="57" t="n"/>
      <c r="F935" s="57" t="n"/>
      <c r="G935" s="57" t="n"/>
      <c r="H935" s="57" t="n"/>
    </row>
    <row r="936" ht="15.75" customHeight="1" s="94">
      <c r="A936" s="57" t="n"/>
      <c r="B936" s="57" t="n"/>
      <c r="C936" s="57" t="n"/>
      <c r="D936" s="57" t="n"/>
      <c r="E936" s="57" t="n"/>
      <c r="F936" s="57" t="n"/>
      <c r="G936" s="57" t="n"/>
      <c r="H936" s="57" t="n"/>
    </row>
    <row r="937" ht="15.75" customHeight="1" s="94">
      <c r="A937" s="57" t="n"/>
      <c r="B937" s="57" t="n"/>
      <c r="C937" s="57" t="n"/>
      <c r="D937" s="57" t="n"/>
      <c r="E937" s="57" t="n"/>
      <c r="F937" s="57" t="n"/>
      <c r="G937" s="57" t="n"/>
      <c r="H937" s="57" t="n"/>
    </row>
    <row r="938" ht="15.75" customHeight="1" s="94">
      <c r="A938" s="57" t="n"/>
      <c r="B938" s="57" t="n"/>
      <c r="C938" s="57" t="n"/>
      <c r="D938" s="57" t="n"/>
      <c r="E938" s="57" t="n"/>
      <c r="F938" s="57" t="n"/>
      <c r="G938" s="57" t="n"/>
      <c r="H938" s="57" t="n"/>
    </row>
    <row r="939" ht="15.75" customHeight="1" s="94">
      <c r="A939" s="57" t="n"/>
      <c r="B939" s="57" t="n"/>
      <c r="C939" s="57" t="n"/>
      <c r="D939" s="57" t="n"/>
      <c r="E939" s="57" t="n"/>
      <c r="F939" s="57" t="n"/>
      <c r="G939" s="57" t="n"/>
      <c r="H939" s="57" t="n"/>
    </row>
    <row r="940" ht="15.75" customHeight="1" s="94">
      <c r="A940" s="57" t="n"/>
      <c r="B940" s="57" t="n"/>
      <c r="C940" s="57" t="n"/>
      <c r="D940" s="57" t="n"/>
      <c r="E940" s="57" t="n"/>
      <c r="F940" s="57" t="n"/>
      <c r="G940" s="57" t="n"/>
      <c r="H940" s="57" t="n"/>
    </row>
    <row r="941" ht="15.75" customHeight="1" s="94">
      <c r="A941" s="57" t="n"/>
      <c r="B941" s="57" t="n"/>
      <c r="C941" s="57" t="n"/>
      <c r="D941" s="57" t="n"/>
      <c r="E941" s="57" t="n"/>
      <c r="F941" s="57" t="n"/>
      <c r="G941" s="57" t="n"/>
      <c r="H941" s="57" t="n"/>
    </row>
    <row r="942" ht="15.75" customHeight="1" s="94">
      <c r="A942" s="57" t="n"/>
      <c r="B942" s="57" t="n"/>
      <c r="C942" s="57" t="n"/>
      <c r="D942" s="57" t="n"/>
      <c r="E942" s="57" t="n"/>
      <c r="F942" s="57" t="n"/>
      <c r="G942" s="57" t="n"/>
      <c r="H942" s="57" t="n"/>
    </row>
    <row r="943" ht="15.75" customHeight="1" s="94">
      <c r="A943" s="57" t="n"/>
      <c r="B943" s="57" t="n"/>
      <c r="C943" s="57" t="n"/>
      <c r="D943" s="57" t="n"/>
      <c r="E943" s="57" t="n"/>
      <c r="F943" s="57" t="n"/>
      <c r="G943" s="57" t="n"/>
      <c r="H943" s="57" t="n"/>
    </row>
    <row r="944" ht="15.75" customHeight="1" s="94">
      <c r="A944" s="57" t="n"/>
      <c r="B944" s="57" t="n"/>
      <c r="C944" s="57" t="n"/>
      <c r="D944" s="57" t="n"/>
      <c r="E944" s="57" t="n"/>
      <c r="F944" s="57" t="n"/>
      <c r="G944" s="57" t="n"/>
      <c r="H944" s="57" t="n"/>
    </row>
    <row r="945" ht="15.75" customHeight="1" s="94">
      <c r="A945" s="57" t="n"/>
      <c r="B945" s="57" t="n"/>
      <c r="C945" s="57" t="n"/>
      <c r="D945" s="57" t="n"/>
      <c r="E945" s="57" t="n"/>
      <c r="F945" s="57" t="n"/>
      <c r="G945" s="57" t="n"/>
      <c r="H945" s="57" t="n"/>
    </row>
    <row r="946" ht="15.75" customHeight="1" s="94">
      <c r="A946" s="57" t="n"/>
      <c r="B946" s="57" t="n"/>
      <c r="C946" s="57" t="n"/>
      <c r="D946" s="57" t="n"/>
      <c r="E946" s="57" t="n"/>
      <c r="F946" s="57" t="n"/>
      <c r="G946" s="57" t="n"/>
      <c r="H946" s="57" t="n"/>
    </row>
    <row r="947" ht="15.75" customHeight="1" s="94">
      <c r="A947" s="57" t="n"/>
      <c r="B947" s="57" t="n"/>
      <c r="C947" s="57" t="n"/>
      <c r="D947" s="57" t="n"/>
      <c r="E947" s="57" t="n"/>
      <c r="F947" s="57" t="n"/>
      <c r="G947" s="57" t="n"/>
      <c r="H947" s="57" t="n"/>
    </row>
    <row r="948" ht="15.75" customHeight="1" s="94">
      <c r="A948" s="57" t="n"/>
      <c r="B948" s="57" t="n"/>
      <c r="C948" s="57" t="n"/>
      <c r="D948" s="57" t="n"/>
      <c r="E948" s="57" t="n"/>
      <c r="F948" s="57" t="n"/>
      <c r="G948" s="57" t="n"/>
      <c r="H948" s="57" t="n"/>
    </row>
    <row r="949" ht="15.75" customHeight="1" s="94">
      <c r="A949" s="57" t="n"/>
      <c r="B949" s="57" t="n"/>
      <c r="C949" s="57" t="n"/>
      <c r="D949" s="57" t="n"/>
      <c r="E949" s="57" t="n"/>
      <c r="F949" s="57" t="n"/>
      <c r="G949" s="57" t="n"/>
      <c r="H949" s="57" t="n"/>
    </row>
    <row r="950" ht="15.75" customHeight="1" s="94">
      <c r="A950" s="57" t="n"/>
      <c r="B950" s="57" t="n"/>
      <c r="C950" s="57" t="n"/>
      <c r="D950" s="57" t="n"/>
      <c r="E950" s="57" t="n"/>
      <c r="F950" s="57" t="n"/>
      <c r="G950" s="57" t="n"/>
      <c r="H950" s="57" t="n"/>
    </row>
    <row r="951" ht="15.75" customHeight="1" s="94">
      <c r="A951" s="57" t="n"/>
      <c r="B951" s="57" t="n"/>
      <c r="C951" s="57" t="n"/>
      <c r="D951" s="57" t="n"/>
      <c r="E951" s="57" t="n"/>
      <c r="F951" s="57" t="n"/>
      <c r="G951" s="57" t="n"/>
      <c r="H951" s="57" t="n"/>
    </row>
    <row r="952" ht="15.75" customHeight="1" s="94">
      <c r="A952" s="57" t="n"/>
      <c r="B952" s="57" t="n"/>
      <c r="C952" s="57" t="n"/>
      <c r="D952" s="57" t="n"/>
      <c r="E952" s="57" t="n"/>
      <c r="F952" s="57" t="n"/>
      <c r="G952" s="57" t="n"/>
      <c r="H952" s="57" t="n"/>
    </row>
    <row r="953" ht="15.75" customHeight="1" s="94">
      <c r="A953" s="57" t="n"/>
      <c r="B953" s="57" t="n"/>
      <c r="C953" s="57" t="n"/>
      <c r="D953" s="57" t="n"/>
      <c r="E953" s="57" t="n"/>
      <c r="F953" s="57" t="n"/>
      <c r="G953" s="57" t="n"/>
      <c r="H953" s="57" t="n"/>
    </row>
    <row r="954" ht="15.75" customHeight="1" s="94">
      <c r="A954" s="57" t="n"/>
      <c r="B954" s="57" t="n"/>
      <c r="C954" s="57" t="n"/>
      <c r="D954" s="57" t="n"/>
      <c r="E954" s="57" t="n"/>
      <c r="F954" s="57" t="n"/>
      <c r="G954" s="57" t="n"/>
      <c r="H954" s="57" t="n"/>
    </row>
    <row r="955" ht="15.75" customHeight="1" s="94">
      <c r="A955" s="57" t="n"/>
      <c r="B955" s="57" t="n"/>
      <c r="C955" s="57" t="n"/>
      <c r="D955" s="57" t="n"/>
      <c r="E955" s="57" t="n"/>
      <c r="F955" s="57" t="n"/>
      <c r="G955" s="57" t="n"/>
      <c r="H955" s="57" t="n"/>
    </row>
    <row r="956" ht="15.75" customHeight="1" s="94">
      <c r="A956" s="57" t="n"/>
      <c r="B956" s="57" t="n"/>
      <c r="C956" s="57" t="n"/>
      <c r="D956" s="57" t="n"/>
      <c r="E956" s="57" t="n"/>
      <c r="F956" s="57" t="n"/>
      <c r="G956" s="57" t="n"/>
      <c r="H956" s="57" t="n"/>
    </row>
    <row r="957" ht="15.75" customHeight="1" s="94">
      <c r="A957" s="57" t="n"/>
      <c r="B957" s="57" t="n"/>
      <c r="C957" s="57" t="n"/>
      <c r="D957" s="57" t="n"/>
      <c r="E957" s="57" t="n"/>
      <c r="F957" s="57" t="n"/>
      <c r="G957" s="57" t="n"/>
      <c r="H957" s="57" t="n"/>
    </row>
    <row r="958" ht="15.75" customHeight="1" s="94">
      <c r="A958" s="57" t="n"/>
      <c r="B958" s="57" t="n"/>
      <c r="C958" s="57" t="n"/>
      <c r="D958" s="57" t="n"/>
      <c r="E958" s="57" t="n"/>
      <c r="F958" s="57" t="n"/>
      <c r="G958" s="57" t="n"/>
      <c r="H958" s="57" t="n"/>
    </row>
    <row r="959" ht="15.75" customHeight="1" s="94">
      <c r="A959" s="57" t="n"/>
      <c r="B959" s="57" t="n"/>
      <c r="C959" s="57" t="n"/>
      <c r="D959" s="57" t="n"/>
      <c r="E959" s="57" t="n"/>
      <c r="F959" s="57" t="n"/>
      <c r="G959" s="57" t="n"/>
      <c r="H959" s="57" t="n"/>
    </row>
    <row r="960" ht="15.75" customHeight="1" s="94">
      <c r="A960" s="57" t="n"/>
      <c r="B960" s="57" t="n"/>
      <c r="C960" s="57" t="n"/>
      <c r="D960" s="57" t="n"/>
      <c r="E960" s="57" t="n"/>
      <c r="F960" s="57" t="n"/>
      <c r="G960" s="57" t="n"/>
      <c r="H960" s="57" t="n"/>
    </row>
    <row r="961" ht="15.75" customHeight="1" s="94">
      <c r="A961" s="57" t="n"/>
      <c r="B961" s="57" t="n"/>
      <c r="C961" s="57" t="n"/>
      <c r="D961" s="57" t="n"/>
      <c r="E961" s="57" t="n"/>
      <c r="F961" s="57" t="n"/>
      <c r="G961" s="57" t="n"/>
      <c r="H961" s="57" t="n"/>
    </row>
    <row r="962" ht="15.75" customHeight="1" s="94">
      <c r="A962" s="57" t="n"/>
      <c r="B962" s="57" t="n"/>
      <c r="C962" s="57" t="n"/>
      <c r="D962" s="57" t="n"/>
      <c r="E962" s="57" t="n"/>
      <c r="F962" s="57" t="n"/>
      <c r="G962" s="57" t="n"/>
      <c r="H962" s="57" t="n"/>
    </row>
    <row r="963" ht="15.75" customHeight="1" s="94">
      <c r="A963" s="57" t="n"/>
      <c r="B963" s="57" t="n"/>
      <c r="C963" s="57" t="n"/>
      <c r="D963" s="57" t="n"/>
      <c r="E963" s="57" t="n"/>
      <c r="F963" s="57" t="n"/>
      <c r="G963" s="57" t="n"/>
      <c r="H963" s="57" t="n"/>
    </row>
    <row r="964" ht="15.75" customHeight="1" s="94">
      <c r="A964" s="57" t="n"/>
      <c r="B964" s="57" t="n"/>
      <c r="C964" s="57" t="n"/>
      <c r="D964" s="57" t="n"/>
      <c r="E964" s="57" t="n"/>
      <c r="F964" s="57" t="n"/>
      <c r="G964" s="57" t="n"/>
      <c r="H964" s="57" t="n"/>
    </row>
    <row r="965" ht="15.75" customHeight="1" s="94">
      <c r="A965" s="57" t="n"/>
      <c r="B965" s="57" t="n"/>
      <c r="C965" s="57" t="n"/>
      <c r="D965" s="57" t="n"/>
      <c r="E965" s="57" t="n"/>
      <c r="F965" s="57" t="n"/>
      <c r="G965" s="57" t="n"/>
      <c r="H965" s="57" t="n"/>
    </row>
    <row r="966" ht="15.75" customHeight="1" s="94">
      <c r="A966" s="57" t="n"/>
      <c r="B966" s="57" t="n"/>
      <c r="C966" s="57" t="n"/>
      <c r="D966" s="57" t="n"/>
      <c r="E966" s="57" t="n"/>
      <c r="F966" s="57" t="n"/>
      <c r="G966" s="57" t="n"/>
      <c r="H966" s="57" t="n"/>
    </row>
    <row r="967" ht="15.75" customHeight="1" s="94">
      <c r="A967" s="57" t="n"/>
      <c r="B967" s="57" t="n"/>
      <c r="C967" s="57" t="n"/>
      <c r="D967" s="57" t="n"/>
      <c r="E967" s="57" t="n"/>
      <c r="F967" s="57" t="n"/>
      <c r="G967" s="57" t="n"/>
      <c r="H967" s="57" t="n"/>
    </row>
    <row r="968" ht="15.75" customHeight="1" s="94">
      <c r="A968" s="57" t="n"/>
      <c r="B968" s="57" t="n"/>
      <c r="C968" s="57" t="n"/>
      <c r="D968" s="57" t="n"/>
      <c r="E968" s="57" t="n"/>
      <c r="F968" s="57" t="n"/>
      <c r="G968" s="57" t="n"/>
      <c r="H968" s="57" t="n"/>
    </row>
    <row r="969" ht="15.75" customHeight="1" s="94">
      <c r="A969" s="57" t="n"/>
      <c r="B969" s="57" t="n"/>
      <c r="C969" s="57" t="n"/>
      <c r="D969" s="57" t="n"/>
      <c r="E969" s="57" t="n"/>
      <c r="F969" s="57" t="n"/>
      <c r="G969" s="57" t="n"/>
      <c r="H969" s="57" t="n"/>
    </row>
    <row r="970" ht="15.75" customHeight="1" s="94">
      <c r="A970" s="57" t="n"/>
      <c r="B970" s="57" t="n"/>
      <c r="C970" s="57" t="n"/>
      <c r="D970" s="57" t="n"/>
      <c r="E970" s="57" t="n"/>
      <c r="F970" s="57" t="n"/>
      <c r="G970" s="57" t="n"/>
      <c r="H970" s="57" t="n"/>
    </row>
    <row r="971" ht="15.75" customHeight="1" s="94">
      <c r="A971" s="57" t="n"/>
      <c r="B971" s="57" t="n"/>
      <c r="C971" s="57" t="n"/>
      <c r="D971" s="57" t="n"/>
      <c r="E971" s="57" t="n"/>
      <c r="F971" s="57" t="n"/>
      <c r="G971" s="57" t="n"/>
      <c r="H971" s="57" t="n"/>
    </row>
    <row r="972" ht="15.75" customHeight="1" s="94">
      <c r="A972" s="57" t="n"/>
      <c r="B972" s="57" t="n"/>
      <c r="C972" s="57" t="n"/>
      <c r="D972" s="57" t="n"/>
      <c r="E972" s="57" t="n"/>
      <c r="F972" s="57" t="n"/>
      <c r="G972" s="57" t="n"/>
      <c r="H972" s="57" t="n"/>
    </row>
    <row r="973" ht="15.75" customHeight="1" s="94">
      <c r="A973" s="57" t="n"/>
      <c r="B973" s="57" t="n"/>
      <c r="C973" s="57" t="n"/>
      <c r="D973" s="57" t="n"/>
      <c r="E973" s="57" t="n"/>
      <c r="F973" s="57" t="n"/>
      <c r="G973" s="57" t="n"/>
      <c r="H973" s="57" t="n"/>
    </row>
    <row r="974" ht="15.75" customHeight="1" s="94">
      <c r="A974" s="57" t="n"/>
      <c r="B974" s="57" t="n"/>
      <c r="C974" s="57" t="n"/>
      <c r="D974" s="57" t="n"/>
      <c r="E974" s="57" t="n"/>
      <c r="F974" s="57" t="n"/>
      <c r="G974" s="57" t="n"/>
      <c r="H974" s="57" t="n"/>
    </row>
    <row r="975" ht="15.75" customHeight="1" s="94">
      <c r="A975" s="57" t="n"/>
      <c r="B975" s="57" t="n"/>
      <c r="C975" s="57" t="n"/>
      <c r="D975" s="57" t="n"/>
      <c r="E975" s="57" t="n"/>
      <c r="F975" s="57" t="n"/>
      <c r="G975" s="57" t="n"/>
      <c r="H975" s="57" t="n"/>
    </row>
    <row r="976" ht="15.75" customHeight="1" s="94">
      <c r="A976" s="57" t="n"/>
      <c r="B976" s="57" t="n"/>
      <c r="C976" s="57" t="n"/>
      <c r="D976" s="57" t="n"/>
      <c r="E976" s="57" t="n"/>
      <c r="F976" s="57" t="n"/>
      <c r="G976" s="57" t="n"/>
      <c r="H976" s="57" t="n"/>
    </row>
    <row r="977" ht="15.75" customHeight="1" s="94">
      <c r="A977" s="57" t="n"/>
      <c r="B977" s="57" t="n"/>
      <c r="C977" s="57" t="n"/>
      <c r="D977" s="57" t="n"/>
      <c r="E977" s="57" t="n"/>
      <c r="F977" s="57" t="n"/>
      <c r="G977" s="57" t="n"/>
      <c r="H977" s="57" t="n"/>
    </row>
    <row r="978" ht="15.75" customHeight="1" s="94">
      <c r="A978" s="57" t="n"/>
      <c r="B978" s="57" t="n"/>
      <c r="C978" s="57" t="n"/>
      <c r="D978" s="57" t="n"/>
      <c r="E978" s="57" t="n"/>
      <c r="F978" s="57" t="n"/>
      <c r="G978" s="57" t="n"/>
      <c r="H978" s="57" t="n"/>
    </row>
    <row r="979" ht="15.75" customHeight="1" s="94">
      <c r="A979" s="57" t="n"/>
      <c r="B979" s="57" t="n"/>
      <c r="C979" s="57" t="n"/>
      <c r="D979" s="57" t="n"/>
      <c r="E979" s="57" t="n"/>
      <c r="F979" s="57" t="n"/>
      <c r="G979" s="57" t="n"/>
      <c r="H979" s="57" t="n"/>
    </row>
    <row r="980" ht="15.75" customHeight="1" s="94">
      <c r="A980" s="57" t="n"/>
      <c r="B980" s="57" t="n"/>
      <c r="C980" s="57" t="n"/>
      <c r="D980" s="57" t="n"/>
      <c r="E980" s="57" t="n"/>
      <c r="F980" s="57" t="n"/>
      <c r="G980" s="57" t="n"/>
      <c r="H980" s="57" t="n"/>
    </row>
    <row r="981" ht="15.75" customHeight="1" s="94">
      <c r="A981" s="57" t="n"/>
      <c r="B981" s="57" t="n"/>
      <c r="C981" s="57" t="n"/>
      <c r="D981" s="57" t="n"/>
      <c r="E981" s="57" t="n"/>
      <c r="F981" s="57" t="n"/>
      <c r="G981" s="57" t="n"/>
      <c r="H981" s="57" t="n"/>
    </row>
    <row r="982" ht="15.75" customHeight="1" s="94">
      <c r="A982" s="57" t="n"/>
      <c r="B982" s="57" t="n"/>
      <c r="C982" s="57" t="n"/>
      <c r="D982" s="57" t="n"/>
      <c r="E982" s="57" t="n"/>
      <c r="F982" s="57" t="n"/>
      <c r="G982" s="57" t="n"/>
      <c r="H982" s="57" t="n"/>
    </row>
    <row r="983" ht="15.75" customHeight="1" s="94">
      <c r="A983" s="57" t="n"/>
      <c r="B983" s="57" t="n"/>
      <c r="C983" s="57" t="n"/>
      <c r="D983" s="57" t="n"/>
      <c r="E983" s="57" t="n"/>
      <c r="F983" s="57" t="n"/>
      <c r="G983" s="57" t="n"/>
      <c r="H983" s="57" t="n"/>
    </row>
    <row r="984" ht="15.75" customHeight="1" s="94">
      <c r="A984" s="57" t="n"/>
      <c r="B984" s="57" t="n"/>
      <c r="C984" s="57" t="n"/>
      <c r="D984" s="57" t="n"/>
      <c r="E984" s="57" t="n"/>
      <c r="F984" s="57" t="n"/>
      <c r="G984" s="57" t="n"/>
      <c r="H984" s="57" t="n"/>
    </row>
    <row r="985" ht="15.75" customHeight="1" s="94">
      <c r="A985" s="57" t="n"/>
      <c r="B985" s="57" t="n"/>
      <c r="C985" s="57" t="n"/>
      <c r="D985" s="57" t="n"/>
      <c r="E985" s="57" t="n"/>
      <c r="F985" s="57" t="n"/>
      <c r="G985" s="57" t="n"/>
      <c r="H985" s="57" t="n"/>
    </row>
    <row r="986" ht="15.75" customHeight="1" s="94">
      <c r="A986" s="57" t="n"/>
      <c r="B986" s="57" t="n"/>
      <c r="C986" s="57" t="n"/>
      <c r="D986" s="57" t="n"/>
      <c r="E986" s="57" t="n"/>
      <c r="F986" s="57" t="n"/>
      <c r="G986" s="57" t="n"/>
      <c r="H986" s="57" t="n"/>
    </row>
    <row r="987" ht="15.75" customHeight="1" s="94">
      <c r="A987" s="57" t="n"/>
      <c r="B987" s="57" t="n"/>
      <c r="C987" s="57" t="n"/>
      <c r="D987" s="57" t="n"/>
      <c r="E987" s="57" t="n"/>
      <c r="F987" s="57" t="n"/>
      <c r="G987" s="57" t="n"/>
      <c r="H987" s="57" t="n"/>
    </row>
    <row r="988" ht="15.75" customHeight="1" s="94">
      <c r="A988" s="57" t="n"/>
      <c r="B988" s="57" t="n"/>
      <c r="C988" s="57" t="n"/>
      <c r="D988" s="57" t="n"/>
      <c r="E988" s="57" t="n"/>
      <c r="F988" s="57" t="n"/>
      <c r="G988" s="57" t="n"/>
      <c r="H988" s="57" t="n"/>
    </row>
    <row r="989" ht="15.75" customHeight="1" s="94">
      <c r="A989" s="57" t="n"/>
      <c r="B989" s="57" t="n"/>
      <c r="C989" s="57" t="n"/>
      <c r="D989" s="57" t="n"/>
      <c r="E989" s="57" t="n"/>
      <c r="F989" s="57" t="n"/>
      <c r="G989" s="57" t="n"/>
      <c r="H989" s="57" t="n"/>
    </row>
    <row r="990" ht="15.75" customHeight="1" s="94">
      <c r="A990" s="57" t="n"/>
      <c r="B990" s="57" t="n"/>
      <c r="C990" s="57" t="n"/>
      <c r="D990" s="57" t="n"/>
      <c r="E990" s="57" t="n"/>
      <c r="F990" s="57" t="n"/>
      <c r="G990" s="57" t="n"/>
      <c r="H990" s="57" t="n"/>
    </row>
    <row r="991" ht="15.75" customHeight="1" s="94">
      <c r="A991" s="57" t="n"/>
      <c r="B991" s="57" t="n"/>
      <c r="C991" s="57" t="n"/>
      <c r="D991" s="57" t="n"/>
      <c r="E991" s="57" t="n"/>
      <c r="F991" s="57" t="n"/>
      <c r="G991" s="57" t="n"/>
      <c r="H991" s="57" t="n"/>
    </row>
    <row r="992" ht="15.75" customHeight="1" s="94">
      <c r="A992" s="57" t="n"/>
      <c r="B992" s="57" t="n"/>
      <c r="C992" s="57" t="n"/>
      <c r="D992" s="57" t="n"/>
      <c r="E992" s="57" t="n"/>
      <c r="F992" s="57" t="n"/>
      <c r="G992" s="57" t="n"/>
      <c r="H992" s="57" t="n"/>
    </row>
    <row r="993" ht="15.75" customHeight="1" s="94">
      <c r="A993" s="57" t="n"/>
      <c r="B993" s="57" t="n"/>
      <c r="C993" s="57" t="n"/>
      <c r="D993" s="57" t="n"/>
      <c r="E993" s="57" t="n"/>
      <c r="F993" s="57" t="n"/>
      <c r="G993" s="57" t="n"/>
      <c r="H993" s="57" t="n"/>
    </row>
    <row r="994" ht="15.75" customHeight="1" s="94">
      <c r="A994" s="57" t="n"/>
      <c r="B994" s="57" t="n"/>
      <c r="C994" s="57" t="n"/>
      <c r="D994" s="57" t="n"/>
      <c r="E994" s="57" t="n"/>
      <c r="F994" s="57" t="n"/>
      <c r="G994" s="57" t="n"/>
      <c r="H994" s="57" t="n"/>
    </row>
    <row r="995" ht="15.75" customHeight="1" s="94">
      <c r="A995" s="57" t="n"/>
      <c r="B995" s="57" t="n"/>
      <c r="C995" s="57" t="n"/>
      <c r="D995" s="57" t="n"/>
      <c r="E995" s="57" t="n"/>
      <c r="F995" s="57" t="n"/>
      <c r="G995" s="57" t="n"/>
      <c r="H995" s="57" t="n"/>
    </row>
    <row r="996" ht="15.75" customHeight="1" s="94">
      <c r="A996" s="57" t="n"/>
      <c r="B996" s="57" t="n"/>
      <c r="C996" s="57" t="n"/>
      <c r="D996" s="57" t="n"/>
      <c r="E996" s="57" t="n"/>
      <c r="F996" s="57" t="n"/>
      <c r="G996" s="57" t="n"/>
      <c r="H996" s="57" t="n"/>
    </row>
    <row r="997" ht="15.75" customHeight="1" s="94">
      <c r="A997" s="57" t="n"/>
      <c r="B997" s="57" t="n"/>
      <c r="C997" s="57" t="n"/>
      <c r="D997" s="57" t="n"/>
      <c r="E997" s="57" t="n"/>
      <c r="F997" s="57" t="n"/>
      <c r="G997" s="57" t="n"/>
      <c r="H997" s="57" t="n"/>
    </row>
    <row r="998" ht="15.75" customHeight="1" s="94">
      <c r="A998" s="57" t="n"/>
      <c r="B998" s="57" t="n"/>
      <c r="C998" s="57" t="n"/>
      <c r="D998" s="57" t="n"/>
      <c r="E998" s="57" t="n"/>
      <c r="F998" s="57" t="n"/>
      <c r="G998" s="57" t="n"/>
      <c r="H998" s="57" t="n"/>
    </row>
    <row r="999" ht="15.75" customHeight="1" s="94">
      <c r="A999" s="57" t="n"/>
      <c r="B999" s="57" t="n"/>
      <c r="C999" s="57" t="n"/>
      <c r="D999" s="57" t="n"/>
      <c r="E999" s="57" t="n"/>
      <c r="F999" s="57" t="n"/>
      <c r="G999" s="57" t="n"/>
      <c r="H999" s="57" t="n"/>
    </row>
    <row r="1000" ht="15.75" customHeight="1" s="94">
      <c r="A1000" s="57" t="n"/>
      <c r="B1000" s="57" t="n"/>
      <c r="C1000" s="57" t="n"/>
      <c r="D1000" s="57" t="n"/>
      <c r="E1000" s="57" t="n"/>
      <c r="F1000" s="57" t="n"/>
      <c r="G1000" s="57" t="n"/>
      <c r="H1000" s="57" t="n"/>
    </row>
  </sheetData>
  <autoFilter ref="$A$4:$H$16"/>
  <mergeCells count="2">
    <mergeCell ref="A2:H2"/>
    <mergeCell ref="A1:H1"/>
  </mergeCells>
  <printOptions horizontalCentered="1"/>
  <pageMargins left="0.25" right="0.25" top="1" bottom="1" header="0" footer="0"/>
  <pageSetup orientation="landscape"/>
</worksheet>
</file>

<file path=xl/worksheets/sheet19.xml><?xml version="1.0" encoding="utf-8"?>
<worksheet xmlns="http://schemas.openxmlformats.org/spreadsheetml/2006/main">
  <sheetPr>
    <outlinePr summaryBelow="1" summaryRight="1"/>
    <pageSetUpPr fitToPage="1"/>
  </sheetPr>
  <dimension ref="A1:E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94" min="1" max="1"/>
    <col width="28" customWidth="1" style="94" min="2" max="2"/>
    <col width="83" customWidth="1" style="94" min="3" max="3"/>
    <col width="105" customWidth="1" style="94" min="4" max="4"/>
    <col width="22" customWidth="1" style="94" min="5" max="5"/>
    <col width="8.710000000000001" customWidth="1" style="94" min="6" max="26"/>
  </cols>
  <sheetData>
    <row r="1" ht="33.75" customHeight="1" s="94">
      <c r="A1" s="86" t="inlineStr">
        <is>
          <t>V4 | NHẬT KÝ ĐÍNH CHÍNH</t>
        </is>
      </c>
    </row>
    <row r="2" ht="27.75" customHeight="1" s="94">
      <c r="A2" s="87" t="inlineStr">
        <is>
          <t>Ưu tiên diễn giải mới nhất của người dùng, KHÔNG thay đổi câu trả lời gốc trong tab 01.</t>
        </is>
      </c>
    </row>
    <row r="3">
      <c r="A3" s="57" t="n"/>
      <c r="B3" s="57" t="n"/>
      <c r="C3" s="57" t="n"/>
      <c r="D3" s="57" t="n"/>
      <c r="E3" s="57" t="n"/>
    </row>
    <row r="4" ht="33" customHeight="1" s="94">
      <c r="A4" s="88" t="inlineStr">
        <is>
          <t>STT</t>
        </is>
      </c>
      <c r="B4" s="88" t="inlineStr">
        <is>
          <t>Mốc</t>
        </is>
      </c>
      <c r="C4" s="88" t="inlineStr">
        <is>
          <t>Nội dung đính chính</t>
        </is>
      </c>
      <c r="D4" s="88" t="inlineStr">
        <is>
          <t>Áp dụng từ V4</t>
        </is>
      </c>
      <c r="E4" s="88" t="inlineStr">
        <is>
          <t>Tham chiếu</t>
        </is>
      </c>
    </row>
    <row r="5" ht="51" customHeight="1" s="94">
      <c r="A5" s="89" t="n">
        <v>1</v>
      </c>
      <c r="B5" s="90" t="inlineStr">
        <is>
          <t>Đính chính L04</t>
        </is>
      </c>
      <c r="C5" s="90" t="inlineStr">
        <is>
          <t>Loại bỏ phương án khóa/bảo lưu phí lưu trước 22:00</t>
        </is>
      </c>
      <c r="D5" s="90" t="inlineStr">
        <is>
          <t>Phí lưu chỉ tính theo GIO_CONT_VAO và GIO_CONT_RA thực tế khi container xuất</t>
        </is>
      </c>
      <c r="E5" s="90" t="inlineStr">
        <is>
          <t>L04,T09,CNT01</t>
        </is>
      </c>
    </row>
    <row r="6" ht="51" customHeight="1" s="94">
      <c r="A6" s="91" t="n">
        <v>2</v>
      </c>
      <c r="B6" s="92" t="inlineStr">
        <is>
          <t>Trách nhiệm phí lưu</t>
        </is>
      </c>
      <c r="C6" s="92" t="inlineStr">
        <is>
          <t>Đính chính người thu phí lưu: An ninh (không phải CCKB)</t>
        </is>
      </c>
      <c r="D6" s="92" t="inlineStr">
        <is>
          <t>An ninh chốt/thu phí lưu lúc ra; CCKB xác nhận tài chính cho container</t>
        </is>
      </c>
      <c r="E6" s="92" t="inlineStr">
        <is>
          <t>CNT01,T03</t>
        </is>
      </c>
    </row>
    <row r="7" ht="51" customHeight="1" s="94">
      <c r="A7" s="89" t="n">
        <v>3</v>
      </c>
      <c r="B7" s="90" t="inlineStr">
        <is>
          <t>Thời điểm phí điện</t>
        </is>
      </c>
      <c r="C7" s="90" t="inlineStr">
        <is>
          <t>Giờ rút điện chốt thời lượng/tiền điện, không ảnh hưởng kỳ đêm</t>
        </is>
      </c>
      <c r="D7" s="90" t="inlineStr">
        <is>
          <t>CCKB nhập/sửa giờ cắm/rút thực tế và thu điện; điện có thể thu khi rút/ra</t>
        </is>
      </c>
      <c r="E7" s="90" t="inlineStr">
        <is>
          <t>E01,E04,E06</t>
        </is>
      </c>
    </row>
    <row r="8" ht="51" customHeight="1" s="94">
      <c r="A8" s="91" t="n">
        <v>4</v>
      </c>
      <c r="B8" s="92" t="inlineStr">
        <is>
          <t>Điều chỉnh sau thu</t>
        </is>
      </c>
      <c r="C8" s="92" t="inlineStr">
        <is>
          <t>Chốt tự làm tròn lên theo 15 phút, CCKB được điều chỉnh có audit</t>
        </is>
      </c>
      <c r="D8" s="92" t="inlineStr">
        <is>
          <t>NV đề nghị/TBP phê duyệt hoặc TBP trực tiếp sau thu; giữ giao dịch thu gốc</t>
        </is>
      </c>
      <c r="E8" s="92" t="inlineStr">
        <is>
          <t>E06,E09,E10,E11</t>
        </is>
      </c>
    </row>
    <row r="9" ht="51" customHeight="1" s="94">
      <c r="A9" s="89" t="n">
        <v>5</v>
      </c>
      <c r="B9" s="90" t="inlineStr">
        <is>
          <t>Điện dự kiến</t>
        </is>
      </c>
      <c r="C9" s="90" t="inlineStr">
        <is>
          <t>Cho tạo trước container vào, phiếu riêng mỗi cont</t>
        </is>
      </c>
      <c r="D9" s="90" t="inlineStr">
        <is>
          <t>Bảng yêu cầu dự kiến độc lập, An ninh đối chiếu và liên kết thủ công</t>
        </is>
      </c>
      <c r="E9" s="90" t="inlineStr">
        <is>
          <t>PR01-PR07</t>
        </is>
      </c>
    </row>
    <row r="10" ht="51" customHeight="1" s="94">
      <c r="A10" s="91" t="n">
        <v>6</v>
      </c>
      <c r="B10" s="92" t="inlineStr">
        <is>
          <t>Sửa mã cont</t>
        </is>
      </c>
      <c r="C10" s="92" t="inlineStr">
        <is>
          <t>An ninh được sửa mã sai, CCKB nhận thông báo</t>
        </is>
      </c>
      <c r="D10" s="92" t="inlineStr">
        <is>
          <t>Không mất liên kết/tiền đã thu, trùng mã có cảnh báo, không tự ghép</t>
        </is>
      </c>
      <c r="E10" s="92" t="inlineStr">
        <is>
          <t>SC01-SC08</t>
        </is>
      </c>
    </row>
    <row r="11" ht="51" customHeight="1" s="94">
      <c r="A11" s="89" t="n">
        <v>7</v>
      </c>
      <c r="B11" s="90" t="inlineStr">
        <is>
          <t>Cho xuất chưa đủ tiền</t>
        </is>
      </c>
      <c r="C11" s="90" t="inlineStr">
        <is>
          <t>CCKB được xác nhận thủ công có lý do khi khoản tiền điện/chung chưa ghi nhận đủ</t>
        </is>
      </c>
      <c r="D11" s="90" t="inlineStr">
        <is>
          <t>Cảnh báo công nợ; không tự xóa nợ hoặc tự xác nhận Đã thu</t>
        </is>
      </c>
      <c r="E11" s="90" t="inlineStr">
        <is>
          <t>T08,OUT01</t>
        </is>
      </c>
    </row>
    <row r="12">
      <c r="A12" s="57" t="n"/>
      <c r="B12" s="57" t="n"/>
      <c r="C12" s="57" t="n"/>
      <c r="D12" s="57" t="n"/>
      <c r="E12" s="57" t="n"/>
    </row>
    <row r="13">
      <c r="A13" s="57" t="n"/>
      <c r="B13" s="57" t="n"/>
      <c r="C13" s="57" t="n"/>
      <c r="D13" s="57" t="n"/>
      <c r="E13" s="57" t="n"/>
    </row>
    <row r="14">
      <c r="A14" s="57" t="n"/>
      <c r="B14" s="57" t="n"/>
      <c r="C14" s="57" t="n"/>
      <c r="D14" s="57" t="n"/>
      <c r="E14" s="57" t="n"/>
    </row>
    <row r="15">
      <c r="A15" s="57" t="n"/>
      <c r="B15" s="57" t="n"/>
      <c r="C15" s="57" t="n"/>
      <c r="D15" s="57" t="n"/>
      <c r="E15" s="57" t="n"/>
    </row>
    <row r="16">
      <c r="A16" s="57" t="n"/>
      <c r="B16" s="57" t="n"/>
      <c r="C16" s="57" t="n"/>
      <c r="D16" s="57" t="n"/>
      <c r="E16" s="57" t="n"/>
    </row>
    <row r="17">
      <c r="A17" s="57" t="n"/>
      <c r="B17" s="57" t="n"/>
      <c r="C17" s="57" t="n"/>
      <c r="D17" s="57" t="n"/>
      <c r="E17" s="57" t="n"/>
    </row>
    <row r="18">
      <c r="A18" s="57" t="n"/>
      <c r="B18" s="57" t="n"/>
      <c r="C18" s="57" t="n"/>
      <c r="D18" s="57" t="n"/>
      <c r="E18" s="57" t="n"/>
    </row>
    <row r="19">
      <c r="A19" s="57" t="n"/>
      <c r="B19" s="57" t="n"/>
      <c r="C19" s="57" t="n"/>
      <c r="D19" s="57" t="n"/>
      <c r="E19" s="57" t="n"/>
    </row>
    <row r="20">
      <c r="A20" s="57" t="n"/>
      <c r="B20" s="57" t="n"/>
      <c r="C20" s="57" t="n"/>
      <c r="D20" s="57" t="n"/>
      <c r="E20" s="57" t="n"/>
    </row>
    <row r="21" ht="15.75" customHeight="1" s="94">
      <c r="A21" s="57" t="n"/>
      <c r="B21" s="57" t="n"/>
      <c r="C21" s="57" t="n"/>
      <c r="D21" s="57" t="n"/>
      <c r="E21" s="57" t="n"/>
    </row>
    <row r="22" ht="15.75" customHeight="1" s="94">
      <c r="A22" s="57" t="n"/>
      <c r="B22" s="57" t="n"/>
      <c r="C22" s="57" t="n"/>
      <c r="D22" s="57" t="n"/>
      <c r="E22" s="57" t="n"/>
    </row>
    <row r="23" ht="15.75" customHeight="1" s="94">
      <c r="A23" s="57" t="n"/>
      <c r="B23" s="57" t="n"/>
      <c r="C23" s="57" t="n"/>
      <c r="D23" s="57" t="n"/>
      <c r="E23" s="57" t="n"/>
    </row>
    <row r="24" ht="15.75" customHeight="1" s="94">
      <c r="A24" s="57" t="n"/>
      <c r="B24" s="57" t="n"/>
      <c r="C24" s="57" t="n"/>
      <c r="D24" s="57" t="n"/>
      <c r="E24" s="57" t="n"/>
    </row>
    <row r="25" ht="15.75" customHeight="1" s="94">
      <c r="A25" s="57" t="n"/>
      <c r="B25" s="57" t="n"/>
      <c r="C25" s="57" t="n"/>
      <c r="D25" s="57" t="n"/>
      <c r="E25" s="57" t="n"/>
    </row>
    <row r="26" ht="15.75" customHeight="1" s="94">
      <c r="A26" s="57" t="n"/>
      <c r="B26" s="57" t="n"/>
      <c r="C26" s="57" t="n"/>
      <c r="D26" s="57" t="n"/>
      <c r="E26" s="57" t="n"/>
    </row>
    <row r="27" ht="15.75" customHeight="1" s="94">
      <c r="A27" s="57" t="n"/>
      <c r="B27" s="57" t="n"/>
      <c r="C27" s="57" t="n"/>
      <c r="D27" s="57" t="n"/>
      <c r="E27" s="57" t="n"/>
    </row>
    <row r="28" ht="15.75" customHeight="1" s="94">
      <c r="A28" s="57" t="n"/>
      <c r="B28" s="57" t="n"/>
      <c r="C28" s="57" t="n"/>
      <c r="D28" s="57" t="n"/>
      <c r="E28" s="57" t="n"/>
    </row>
    <row r="29" ht="15.75" customHeight="1" s="94">
      <c r="A29" s="57" t="n"/>
      <c r="B29" s="57" t="n"/>
      <c r="C29" s="57" t="n"/>
      <c r="D29" s="57" t="n"/>
      <c r="E29" s="57" t="n"/>
    </row>
    <row r="30" ht="15.75" customHeight="1" s="94">
      <c r="A30" s="57" t="n"/>
      <c r="B30" s="57" t="n"/>
      <c r="C30" s="57" t="n"/>
      <c r="D30" s="57" t="n"/>
      <c r="E30" s="57" t="n"/>
    </row>
    <row r="31" ht="15.75" customHeight="1" s="94">
      <c r="A31" s="57" t="n"/>
      <c r="B31" s="57" t="n"/>
      <c r="C31" s="57" t="n"/>
      <c r="D31" s="57" t="n"/>
      <c r="E31" s="57" t="n"/>
    </row>
    <row r="32" ht="15.75" customHeight="1" s="94">
      <c r="A32" s="57" t="n"/>
      <c r="B32" s="57" t="n"/>
      <c r="C32" s="57" t="n"/>
      <c r="D32" s="57" t="n"/>
      <c r="E32" s="57" t="n"/>
    </row>
    <row r="33" ht="15.75" customHeight="1" s="94">
      <c r="A33" s="57" t="n"/>
      <c r="B33" s="57" t="n"/>
      <c r="C33" s="57" t="n"/>
      <c r="D33" s="57" t="n"/>
      <c r="E33" s="57" t="n"/>
    </row>
    <row r="34" ht="15.75" customHeight="1" s="94">
      <c r="A34" s="57" t="n"/>
      <c r="B34" s="57" t="n"/>
      <c r="C34" s="57" t="n"/>
      <c r="D34" s="57" t="n"/>
      <c r="E34" s="57" t="n"/>
    </row>
    <row r="35" ht="15.75" customHeight="1" s="94">
      <c r="A35" s="57" t="n"/>
      <c r="B35" s="57" t="n"/>
      <c r="C35" s="57" t="n"/>
      <c r="D35" s="57" t="n"/>
      <c r="E35" s="57" t="n"/>
    </row>
    <row r="36" ht="15.75" customHeight="1" s="94">
      <c r="A36" s="57" t="n"/>
      <c r="B36" s="57" t="n"/>
      <c r="C36" s="57" t="n"/>
      <c r="D36" s="57" t="n"/>
      <c r="E36" s="57" t="n"/>
    </row>
    <row r="37" ht="15.75" customHeight="1" s="94">
      <c r="A37" s="57" t="n"/>
      <c r="B37" s="57" t="n"/>
      <c r="C37" s="57" t="n"/>
      <c r="D37" s="57" t="n"/>
      <c r="E37" s="57" t="n"/>
    </row>
    <row r="38" ht="15.75" customHeight="1" s="94">
      <c r="A38" s="57" t="n"/>
      <c r="B38" s="57" t="n"/>
      <c r="C38" s="57" t="n"/>
      <c r="D38" s="57" t="n"/>
      <c r="E38" s="57" t="n"/>
    </row>
    <row r="39" ht="15.75" customHeight="1" s="94">
      <c r="A39" s="57" t="n"/>
      <c r="B39" s="57" t="n"/>
      <c r="C39" s="57" t="n"/>
      <c r="D39" s="57" t="n"/>
      <c r="E39" s="57" t="n"/>
    </row>
    <row r="40" ht="15.75" customHeight="1" s="94">
      <c r="A40" s="57" t="n"/>
      <c r="B40" s="57" t="n"/>
      <c r="C40" s="57" t="n"/>
      <c r="D40" s="57" t="n"/>
      <c r="E40" s="57" t="n"/>
    </row>
    <row r="41" ht="15.75" customHeight="1" s="94">
      <c r="A41" s="57" t="n"/>
      <c r="B41" s="57" t="n"/>
      <c r="C41" s="57" t="n"/>
      <c r="D41" s="57" t="n"/>
      <c r="E41" s="57" t="n"/>
    </row>
    <row r="42" ht="15.75" customHeight="1" s="94">
      <c r="A42" s="57" t="n"/>
      <c r="B42" s="57" t="n"/>
      <c r="C42" s="57" t="n"/>
      <c r="D42" s="57" t="n"/>
      <c r="E42" s="57" t="n"/>
    </row>
    <row r="43" ht="15.75" customHeight="1" s="94">
      <c r="A43" s="57" t="n"/>
      <c r="B43" s="57" t="n"/>
      <c r="C43" s="57" t="n"/>
      <c r="D43" s="57" t="n"/>
      <c r="E43" s="57" t="n"/>
    </row>
    <row r="44" ht="15.75" customHeight="1" s="94">
      <c r="A44" s="57" t="n"/>
      <c r="B44" s="57" t="n"/>
      <c r="C44" s="57" t="n"/>
      <c r="D44" s="57" t="n"/>
      <c r="E44" s="57" t="n"/>
    </row>
    <row r="45" ht="15.75" customHeight="1" s="94">
      <c r="A45" s="57" t="n"/>
      <c r="B45" s="57" t="n"/>
      <c r="C45" s="57" t="n"/>
      <c r="D45" s="57" t="n"/>
      <c r="E45" s="57" t="n"/>
    </row>
    <row r="46" ht="15.75" customHeight="1" s="94">
      <c r="A46" s="57" t="n"/>
      <c r="B46" s="57" t="n"/>
      <c r="C46" s="57" t="n"/>
      <c r="D46" s="57" t="n"/>
      <c r="E46" s="57" t="n"/>
    </row>
    <row r="47" ht="15.75" customHeight="1" s="94">
      <c r="A47" s="57" t="n"/>
      <c r="B47" s="57" t="n"/>
      <c r="C47" s="57" t="n"/>
      <c r="D47" s="57" t="n"/>
      <c r="E47" s="57" t="n"/>
    </row>
    <row r="48" ht="15.75" customHeight="1" s="94">
      <c r="A48" s="57" t="n"/>
      <c r="B48" s="57" t="n"/>
      <c r="C48" s="57" t="n"/>
      <c r="D48" s="57" t="n"/>
      <c r="E48" s="57" t="n"/>
    </row>
    <row r="49" ht="15.75" customHeight="1" s="94">
      <c r="A49" s="57" t="n"/>
      <c r="B49" s="57" t="n"/>
      <c r="C49" s="57" t="n"/>
      <c r="D49" s="57" t="n"/>
      <c r="E49" s="57" t="n"/>
    </row>
    <row r="50" ht="15.75" customHeight="1" s="94">
      <c r="A50" s="57" t="n"/>
      <c r="B50" s="57" t="n"/>
      <c r="C50" s="57" t="n"/>
      <c r="D50" s="57" t="n"/>
      <c r="E50" s="57" t="n"/>
    </row>
    <row r="51" ht="15.75" customHeight="1" s="94">
      <c r="A51" s="57" t="n"/>
      <c r="B51" s="57" t="n"/>
      <c r="C51" s="57" t="n"/>
      <c r="D51" s="57" t="n"/>
      <c r="E51" s="57" t="n"/>
    </row>
    <row r="52" ht="15.75" customHeight="1" s="94">
      <c r="A52" s="57" t="n"/>
      <c r="B52" s="57" t="n"/>
      <c r="C52" s="57" t="n"/>
      <c r="D52" s="57" t="n"/>
      <c r="E52" s="57" t="n"/>
    </row>
    <row r="53" ht="15.75" customHeight="1" s="94">
      <c r="A53" s="57" t="n"/>
      <c r="B53" s="57" t="n"/>
      <c r="C53" s="57" t="n"/>
      <c r="D53" s="57" t="n"/>
      <c r="E53" s="57" t="n"/>
    </row>
    <row r="54" ht="15.75" customHeight="1" s="94">
      <c r="A54" s="57" t="n"/>
      <c r="B54" s="57" t="n"/>
      <c r="C54" s="57" t="n"/>
      <c r="D54" s="57" t="n"/>
      <c r="E54" s="57" t="n"/>
    </row>
    <row r="55" ht="15.75" customHeight="1" s="94">
      <c r="A55" s="57" t="n"/>
      <c r="B55" s="57" t="n"/>
      <c r="C55" s="57" t="n"/>
      <c r="D55" s="57" t="n"/>
      <c r="E55" s="57" t="n"/>
    </row>
    <row r="56" ht="15.75" customHeight="1" s="94">
      <c r="A56" s="57" t="n"/>
      <c r="B56" s="57" t="n"/>
      <c r="C56" s="57" t="n"/>
      <c r="D56" s="57" t="n"/>
      <c r="E56" s="57" t="n"/>
    </row>
    <row r="57" ht="15.75" customHeight="1" s="94">
      <c r="A57" s="57" t="n"/>
      <c r="B57" s="57" t="n"/>
      <c r="C57" s="57" t="n"/>
      <c r="D57" s="57" t="n"/>
      <c r="E57" s="57" t="n"/>
    </row>
    <row r="58" ht="15.75" customHeight="1" s="94">
      <c r="A58" s="57" t="n"/>
      <c r="B58" s="57" t="n"/>
      <c r="C58" s="57" t="n"/>
      <c r="D58" s="57" t="n"/>
      <c r="E58" s="57" t="n"/>
    </row>
    <row r="59" ht="15.75" customHeight="1" s="94">
      <c r="A59" s="57" t="n"/>
      <c r="B59" s="57" t="n"/>
      <c r="C59" s="57" t="n"/>
      <c r="D59" s="57" t="n"/>
      <c r="E59" s="57" t="n"/>
    </row>
    <row r="60" ht="15.75" customHeight="1" s="94">
      <c r="A60" s="57" t="n"/>
      <c r="B60" s="57" t="n"/>
      <c r="C60" s="57" t="n"/>
      <c r="D60" s="57" t="n"/>
      <c r="E60" s="57" t="n"/>
    </row>
    <row r="61" ht="15.75" customHeight="1" s="94">
      <c r="A61" s="57" t="n"/>
      <c r="B61" s="57" t="n"/>
      <c r="C61" s="57" t="n"/>
      <c r="D61" s="57" t="n"/>
      <c r="E61" s="57" t="n"/>
    </row>
    <row r="62" ht="15.75" customHeight="1" s="94">
      <c r="A62" s="57" t="n"/>
      <c r="B62" s="57" t="n"/>
      <c r="C62" s="57" t="n"/>
      <c r="D62" s="57" t="n"/>
      <c r="E62" s="57" t="n"/>
    </row>
    <row r="63" ht="15.75" customHeight="1" s="94">
      <c r="A63" s="57" t="n"/>
      <c r="B63" s="57" t="n"/>
      <c r="C63" s="57" t="n"/>
      <c r="D63" s="57" t="n"/>
      <c r="E63" s="57" t="n"/>
    </row>
    <row r="64" ht="15.75" customHeight="1" s="94">
      <c r="A64" s="57" t="n"/>
      <c r="B64" s="57" t="n"/>
      <c r="C64" s="57" t="n"/>
      <c r="D64" s="57" t="n"/>
      <c r="E64" s="57" t="n"/>
    </row>
    <row r="65" ht="15.75" customHeight="1" s="94">
      <c r="A65" s="57" t="n"/>
      <c r="B65" s="57" t="n"/>
      <c r="C65" s="57" t="n"/>
      <c r="D65" s="57" t="n"/>
      <c r="E65" s="57" t="n"/>
    </row>
    <row r="66" ht="15.75" customHeight="1" s="94">
      <c r="A66" s="57" t="n"/>
      <c r="B66" s="57" t="n"/>
      <c r="C66" s="57" t="n"/>
      <c r="D66" s="57" t="n"/>
      <c r="E66" s="57" t="n"/>
    </row>
    <row r="67" ht="15.75" customHeight="1" s="94">
      <c r="A67" s="57" t="n"/>
      <c r="B67" s="57" t="n"/>
      <c r="C67" s="57" t="n"/>
      <c r="D67" s="57" t="n"/>
      <c r="E67" s="57" t="n"/>
    </row>
    <row r="68" ht="15.75" customHeight="1" s="94">
      <c r="A68" s="57" t="n"/>
      <c r="B68" s="57" t="n"/>
      <c r="C68" s="57" t="n"/>
      <c r="D68" s="57" t="n"/>
      <c r="E68" s="57" t="n"/>
    </row>
    <row r="69" ht="15.75" customHeight="1" s="94">
      <c r="A69" s="57" t="n"/>
      <c r="B69" s="57" t="n"/>
      <c r="C69" s="57" t="n"/>
      <c r="D69" s="57" t="n"/>
      <c r="E69" s="57" t="n"/>
    </row>
    <row r="70" ht="15.75" customHeight="1" s="94">
      <c r="A70" s="57" t="n"/>
      <c r="B70" s="57" t="n"/>
      <c r="C70" s="57" t="n"/>
      <c r="D70" s="57" t="n"/>
      <c r="E70" s="57" t="n"/>
    </row>
    <row r="71" ht="15.75" customHeight="1" s="94">
      <c r="A71" s="57" t="n"/>
      <c r="B71" s="57" t="n"/>
      <c r="C71" s="57" t="n"/>
      <c r="D71" s="57" t="n"/>
      <c r="E71" s="57" t="n"/>
    </row>
    <row r="72" ht="15.75" customHeight="1" s="94">
      <c r="A72" s="57" t="n"/>
      <c r="B72" s="57" t="n"/>
      <c r="C72" s="57" t="n"/>
      <c r="D72" s="57" t="n"/>
      <c r="E72" s="57" t="n"/>
    </row>
    <row r="73" ht="15.75" customHeight="1" s="94">
      <c r="A73" s="57" t="n"/>
      <c r="B73" s="57" t="n"/>
      <c r="C73" s="57" t="n"/>
      <c r="D73" s="57" t="n"/>
      <c r="E73" s="57" t="n"/>
    </row>
    <row r="74" ht="15.75" customHeight="1" s="94">
      <c r="A74" s="57" t="n"/>
      <c r="B74" s="57" t="n"/>
      <c r="C74" s="57" t="n"/>
      <c r="D74" s="57" t="n"/>
      <c r="E74" s="57" t="n"/>
    </row>
    <row r="75" ht="15.75" customHeight="1" s="94">
      <c r="A75" s="57" t="n"/>
      <c r="B75" s="57" t="n"/>
      <c r="C75" s="57" t="n"/>
      <c r="D75" s="57" t="n"/>
      <c r="E75" s="57" t="n"/>
    </row>
    <row r="76" ht="15.75" customHeight="1" s="94">
      <c r="A76" s="57" t="n"/>
      <c r="B76" s="57" t="n"/>
      <c r="C76" s="57" t="n"/>
      <c r="D76" s="57" t="n"/>
      <c r="E76" s="57" t="n"/>
    </row>
    <row r="77" ht="15.75" customHeight="1" s="94">
      <c r="A77" s="57" t="n"/>
      <c r="B77" s="57" t="n"/>
      <c r="C77" s="57" t="n"/>
      <c r="D77" s="57" t="n"/>
      <c r="E77" s="57" t="n"/>
    </row>
    <row r="78" ht="15.75" customHeight="1" s="94">
      <c r="A78" s="57" t="n"/>
      <c r="B78" s="57" t="n"/>
      <c r="C78" s="57" t="n"/>
      <c r="D78" s="57" t="n"/>
      <c r="E78" s="57" t="n"/>
    </row>
    <row r="79" ht="15.75" customHeight="1" s="94">
      <c r="A79" s="57" t="n"/>
      <c r="B79" s="57" t="n"/>
      <c r="C79" s="57" t="n"/>
      <c r="D79" s="57" t="n"/>
      <c r="E79" s="57" t="n"/>
    </row>
    <row r="80" ht="15.75" customHeight="1" s="94">
      <c r="A80" s="57" t="n"/>
      <c r="B80" s="57" t="n"/>
      <c r="C80" s="57" t="n"/>
      <c r="D80" s="57" t="n"/>
      <c r="E80" s="57" t="n"/>
    </row>
    <row r="81" ht="15.75" customHeight="1" s="94">
      <c r="A81" s="57" t="n"/>
      <c r="B81" s="57" t="n"/>
      <c r="C81" s="57" t="n"/>
      <c r="D81" s="57" t="n"/>
      <c r="E81" s="57" t="n"/>
    </row>
    <row r="82" ht="15.75" customHeight="1" s="94">
      <c r="A82" s="57" t="n"/>
      <c r="B82" s="57" t="n"/>
      <c r="C82" s="57" t="n"/>
      <c r="D82" s="57" t="n"/>
      <c r="E82" s="57" t="n"/>
    </row>
    <row r="83" ht="15.75" customHeight="1" s="94">
      <c r="A83" s="57" t="n"/>
      <c r="B83" s="57" t="n"/>
      <c r="C83" s="57" t="n"/>
      <c r="D83" s="57" t="n"/>
      <c r="E83" s="57" t="n"/>
    </row>
    <row r="84" ht="15.75" customHeight="1" s="94">
      <c r="A84" s="57" t="n"/>
      <c r="B84" s="57" t="n"/>
      <c r="C84" s="57" t="n"/>
      <c r="D84" s="57" t="n"/>
      <c r="E84" s="57" t="n"/>
    </row>
    <row r="85" ht="15.75" customHeight="1" s="94">
      <c r="A85" s="57" t="n"/>
      <c r="B85" s="57" t="n"/>
      <c r="C85" s="57" t="n"/>
      <c r="D85" s="57" t="n"/>
      <c r="E85" s="57" t="n"/>
    </row>
    <row r="86" ht="15.75" customHeight="1" s="94">
      <c r="A86" s="57" t="n"/>
      <c r="B86" s="57" t="n"/>
      <c r="C86" s="57" t="n"/>
      <c r="D86" s="57" t="n"/>
      <c r="E86" s="57" t="n"/>
    </row>
    <row r="87" ht="15.75" customHeight="1" s="94">
      <c r="A87" s="57" t="n"/>
      <c r="B87" s="57" t="n"/>
      <c r="C87" s="57" t="n"/>
      <c r="D87" s="57" t="n"/>
      <c r="E87" s="57" t="n"/>
    </row>
    <row r="88" ht="15.75" customHeight="1" s="94">
      <c r="A88" s="57" t="n"/>
      <c r="B88" s="57" t="n"/>
      <c r="C88" s="57" t="n"/>
      <c r="D88" s="57" t="n"/>
      <c r="E88" s="57" t="n"/>
    </row>
    <row r="89" ht="15.75" customHeight="1" s="94">
      <c r="A89" s="57" t="n"/>
      <c r="B89" s="57" t="n"/>
      <c r="C89" s="57" t="n"/>
      <c r="D89" s="57" t="n"/>
      <c r="E89" s="57" t="n"/>
    </row>
    <row r="90" ht="15.75" customHeight="1" s="94">
      <c r="A90" s="57" t="n"/>
      <c r="B90" s="57" t="n"/>
      <c r="C90" s="57" t="n"/>
      <c r="D90" s="57" t="n"/>
      <c r="E90" s="57" t="n"/>
    </row>
    <row r="91" ht="15.75" customHeight="1" s="94">
      <c r="A91" s="57" t="n"/>
      <c r="B91" s="57" t="n"/>
      <c r="C91" s="57" t="n"/>
      <c r="D91" s="57" t="n"/>
      <c r="E91" s="57" t="n"/>
    </row>
    <row r="92" ht="15.75" customHeight="1" s="94">
      <c r="A92" s="57" t="n"/>
      <c r="B92" s="57" t="n"/>
      <c r="C92" s="57" t="n"/>
      <c r="D92" s="57" t="n"/>
      <c r="E92" s="57" t="n"/>
    </row>
    <row r="93" ht="15.75" customHeight="1" s="94">
      <c r="A93" s="57" t="n"/>
      <c r="B93" s="57" t="n"/>
      <c r="C93" s="57" t="n"/>
      <c r="D93" s="57" t="n"/>
      <c r="E93" s="57" t="n"/>
    </row>
    <row r="94" ht="15.75" customHeight="1" s="94">
      <c r="A94" s="57" t="n"/>
      <c r="B94" s="57" t="n"/>
      <c r="C94" s="57" t="n"/>
      <c r="D94" s="57" t="n"/>
      <c r="E94" s="57" t="n"/>
    </row>
    <row r="95" ht="15.75" customHeight="1" s="94">
      <c r="A95" s="57" t="n"/>
      <c r="B95" s="57" t="n"/>
      <c r="C95" s="57" t="n"/>
      <c r="D95" s="57" t="n"/>
      <c r="E95" s="57" t="n"/>
    </row>
    <row r="96" ht="15.75" customHeight="1" s="94">
      <c r="A96" s="57" t="n"/>
      <c r="B96" s="57" t="n"/>
      <c r="C96" s="57" t="n"/>
      <c r="D96" s="57" t="n"/>
      <c r="E96" s="57" t="n"/>
    </row>
    <row r="97" ht="15.75" customHeight="1" s="94">
      <c r="A97" s="57" t="n"/>
      <c r="B97" s="57" t="n"/>
      <c r="C97" s="57" t="n"/>
      <c r="D97" s="57" t="n"/>
      <c r="E97" s="57" t="n"/>
    </row>
    <row r="98" ht="15.75" customHeight="1" s="94">
      <c r="A98" s="57" t="n"/>
      <c r="B98" s="57" t="n"/>
      <c r="C98" s="57" t="n"/>
      <c r="D98" s="57" t="n"/>
      <c r="E98" s="57" t="n"/>
    </row>
    <row r="99" ht="15.75" customHeight="1" s="94">
      <c r="A99" s="57" t="n"/>
      <c r="B99" s="57" t="n"/>
      <c r="C99" s="57" t="n"/>
      <c r="D99" s="57" t="n"/>
      <c r="E99" s="57" t="n"/>
    </row>
    <row r="100" ht="15.75" customHeight="1" s="94">
      <c r="A100" s="57" t="n"/>
      <c r="B100" s="57" t="n"/>
      <c r="C100" s="57" t="n"/>
      <c r="D100" s="57" t="n"/>
      <c r="E100" s="57" t="n"/>
    </row>
    <row r="101" ht="15.75" customHeight="1" s="94">
      <c r="A101" s="57" t="n"/>
      <c r="B101" s="57" t="n"/>
      <c r="C101" s="57" t="n"/>
      <c r="D101" s="57" t="n"/>
      <c r="E101" s="57" t="n"/>
    </row>
    <row r="102" ht="15.75" customHeight="1" s="94">
      <c r="A102" s="57" t="n"/>
      <c r="B102" s="57" t="n"/>
      <c r="C102" s="57" t="n"/>
      <c r="D102" s="57" t="n"/>
      <c r="E102" s="57" t="n"/>
    </row>
    <row r="103" ht="15.75" customHeight="1" s="94">
      <c r="A103" s="57" t="n"/>
      <c r="B103" s="57" t="n"/>
      <c r="C103" s="57" t="n"/>
      <c r="D103" s="57" t="n"/>
      <c r="E103" s="57" t="n"/>
    </row>
    <row r="104" ht="15.75" customHeight="1" s="94">
      <c r="A104" s="57" t="n"/>
      <c r="B104" s="57" t="n"/>
      <c r="C104" s="57" t="n"/>
      <c r="D104" s="57" t="n"/>
      <c r="E104" s="57" t="n"/>
    </row>
    <row r="105" ht="15.75" customHeight="1" s="94">
      <c r="A105" s="57" t="n"/>
      <c r="B105" s="57" t="n"/>
      <c r="C105" s="57" t="n"/>
      <c r="D105" s="57" t="n"/>
      <c r="E105" s="57" t="n"/>
    </row>
    <row r="106" ht="15.75" customHeight="1" s="94">
      <c r="A106" s="57" t="n"/>
      <c r="B106" s="57" t="n"/>
      <c r="C106" s="57" t="n"/>
      <c r="D106" s="57" t="n"/>
      <c r="E106" s="57" t="n"/>
    </row>
    <row r="107" ht="15.75" customHeight="1" s="94">
      <c r="A107" s="57" t="n"/>
      <c r="B107" s="57" t="n"/>
      <c r="C107" s="57" t="n"/>
      <c r="D107" s="57" t="n"/>
      <c r="E107" s="57" t="n"/>
    </row>
    <row r="108" ht="15.75" customHeight="1" s="94">
      <c r="A108" s="57" t="n"/>
      <c r="B108" s="57" t="n"/>
      <c r="C108" s="57" t="n"/>
      <c r="D108" s="57" t="n"/>
      <c r="E108" s="57" t="n"/>
    </row>
    <row r="109" ht="15.75" customHeight="1" s="94">
      <c r="A109" s="57" t="n"/>
      <c r="B109" s="57" t="n"/>
      <c r="C109" s="57" t="n"/>
      <c r="D109" s="57" t="n"/>
      <c r="E109" s="57" t="n"/>
    </row>
    <row r="110" ht="15.75" customHeight="1" s="94">
      <c r="A110" s="57" t="n"/>
      <c r="B110" s="57" t="n"/>
      <c r="C110" s="57" t="n"/>
      <c r="D110" s="57" t="n"/>
      <c r="E110" s="57" t="n"/>
    </row>
    <row r="111" ht="15.75" customHeight="1" s="94">
      <c r="A111" s="57" t="n"/>
      <c r="B111" s="57" t="n"/>
      <c r="C111" s="57" t="n"/>
      <c r="D111" s="57" t="n"/>
      <c r="E111" s="57" t="n"/>
    </row>
    <row r="112" ht="15.75" customHeight="1" s="94">
      <c r="A112" s="57" t="n"/>
      <c r="B112" s="57" t="n"/>
      <c r="C112" s="57" t="n"/>
      <c r="D112" s="57" t="n"/>
      <c r="E112" s="57" t="n"/>
    </row>
    <row r="113" ht="15.75" customHeight="1" s="94">
      <c r="A113" s="57" t="n"/>
      <c r="B113" s="57" t="n"/>
      <c r="C113" s="57" t="n"/>
      <c r="D113" s="57" t="n"/>
      <c r="E113" s="57" t="n"/>
    </row>
    <row r="114" ht="15.75" customHeight="1" s="94">
      <c r="A114" s="57" t="n"/>
      <c r="B114" s="57" t="n"/>
      <c r="C114" s="57" t="n"/>
      <c r="D114" s="57" t="n"/>
      <c r="E114" s="57" t="n"/>
    </row>
    <row r="115" ht="15.75" customHeight="1" s="94">
      <c r="A115" s="57" t="n"/>
      <c r="B115" s="57" t="n"/>
      <c r="C115" s="57" t="n"/>
      <c r="D115" s="57" t="n"/>
      <c r="E115" s="57" t="n"/>
    </row>
    <row r="116" ht="15.75" customHeight="1" s="94">
      <c r="A116" s="57" t="n"/>
      <c r="B116" s="57" t="n"/>
      <c r="C116" s="57" t="n"/>
      <c r="D116" s="57" t="n"/>
      <c r="E116" s="57" t="n"/>
    </row>
    <row r="117" ht="15.75" customHeight="1" s="94">
      <c r="A117" s="57" t="n"/>
      <c r="B117" s="57" t="n"/>
      <c r="C117" s="57" t="n"/>
      <c r="D117" s="57" t="n"/>
      <c r="E117" s="57" t="n"/>
    </row>
    <row r="118" ht="15.75" customHeight="1" s="94">
      <c r="A118" s="57" t="n"/>
      <c r="B118" s="57" t="n"/>
      <c r="C118" s="57" t="n"/>
      <c r="D118" s="57" t="n"/>
      <c r="E118" s="57" t="n"/>
    </row>
    <row r="119" ht="15.75" customHeight="1" s="94">
      <c r="A119" s="57" t="n"/>
      <c r="B119" s="57" t="n"/>
      <c r="C119" s="57" t="n"/>
      <c r="D119" s="57" t="n"/>
      <c r="E119" s="57" t="n"/>
    </row>
    <row r="120" ht="15.75" customHeight="1" s="94">
      <c r="A120" s="57" t="n"/>
      <c r="B120" s="57" t="n"/>
      <c r="C120" s="57" t="n"/>
      <c r="D120" s="57" t="n"/>
      <c r="E120" s="57" t="n"/>
    </row>
    <row r="121" ht="15.75" customHeight="1" s="94">
      <c r="A121" s="57" t="n"/>
      <c r="B121" s="57" t="n"/>
      <c r="C121" s="57" t="n"/>
      <c r="D121" s="57" t="n"/>
      <c r="E121" s="57" t="n"/>
    </row>
    <row r="122" ht="15.75" customHeight="1" s="94">
      <c r="A122" s="57" t="n"/>
      <c r="B122" s="57" t="n"/>
      <c r="C122" s="57" t="n"/>
      <c r="D122" s="57" t="n"/>
      <c r="E122" s="57" t="n"/>
    </row>
    <row r="123" ht="15.75" customHeight="1" s="94">
      <c r="A123" s="57" t="n"/>
      <c r="B123" s="57" t="n"/>
      <c r="C123" s="57" t="n"/>
      <c r="D123" s="57" t="n"/>
      <c r="E123" s="57" t="n"/>
    </row>
    <row r="124" ht="15.75" customHeight="1" s="94">
      <c r="A124" s="57" t="n"/>
      <c r="B124" s="57" t="n"/>
      <c r="C124" s="57" t="n"/>
      <c r="D124" s="57" t="n"/>
      <c r="E124" s="57" t="n"/>
    </row>
    <row r="125" ht="15.75" customHeight="1" s="94">
      <c r="A125" s="57" t="n"/>
      <c r="B125" s="57" t="n"/>
      <c r="C125" s="57" t="n"/>
      <c r="D125" s="57" t="n"/>
      <c r="E125" s="57" t="n"/>
    </row>
    <row r="126" ht="15.75" customHeight="1" s="94">
      <c r="A126" s="57" t="n"/>
      <c r="B126" s="57" t="n"/>
      <c r="C126" s="57" t="n"/>
      <c r="D126" s="57" t="n"/>
      <c r="E126" s="57" t="n"/>
    </row>
    <row r="127" ht="15.75" customHeight="1" s="94">
      <c r="A127" s="57" t="n"/>
      <c r="B127" s="57" t="n"/>
      <c r="C127" s="57" t="n"/>
      <c r="D127" s="57" t="n"/>
      <c r="E127" s="57" t="n"/>
    </row>
    <row r="128" ht="15.75" customHeight="1" s="94">
      <c r="A128" s="57" t="n"/>
      <c r="B128" s="57" t="n"/>
      <c r="C128" s="57" t="n"/>
      <c r="D128" s="57" t="n"/>
      <c r="E128" s="57" t="n"/>
    </row>
    <row r="129" ht="15.75" customHeight="1" s="94">
      <c r="A129" s="57" t="n"/>
      <c r="B129" s="57" t="n"/>
      <c r="C129" s="57" t="n"/>
      <c r="D129" s="57" t="n"/>
      <c r="E129" s="57" t="n"/>
    </row>
    <row r="130" ht="15.75" customHeight="1" s="94">
      <c r="A130" s="57" t="n"/>
      <c r="B130" s="57" t="n"/>
      <c r="C130" s="57" t="n"/>
      <c r="D130" s="57" t="n"/>
      <c r="E130" s="57" t="n"/>
    </row>
    <row r="131" ht="15.75" customHeight="1" s="94">
      <c r="A131" s="57" t="n"/>
      <c r="B131" s="57" t="n"/>
      <c r="C131" s="57" t="n"/>
      <c r="D131" s="57" t="n"/>
      <c r="E131" s="57" t="n"/>
    </row>
    <row r="132" ht="15.75" customHeight="1" s="94">
      <c r="A132" s="57" t="n"/>
      <c r="B132" s="57" t="n"/>
      <c r="C132" s="57" t="n"/>
      <c r="D132" s="57" t="n"/>
      <c r="E132" s="57" t="n"/>
    </row>
    <row r="133" ht="15.75" customHeight="1" s="94">
      <c r="A133" s="57" t="n"/>
      <c r="B133" s="57" t="n"/>
      <c r="C133" s="57" t="n"/>
      <c r="D133" s="57" t="n"/>
      <c r="E133" s="57" t="n"/>
    </row>
    <row r="134" ht="15.75" customHeight="1" s="94">
      <c r="A134" s="57" t="n"/>
      <c r="B134" s="57" t="n"/>
      <c r="C134" s="57" t="n"/>
      <c r="D134" s="57" t="n"/>
      <c r="E134" s="57" t="n"/>
    </row>
    <row r="135" ht="15.75" customHeight="1" s="94">
      <c r="A135" s="57" t="n"/>
      <c r="B135" s="57" t="n"/>
      <c r="C135" s="57" t="n"/>
      <c r="D135" s="57" t="n"/>
      <c r="E135" s="57" t="n"/>
    </row>
    <row r="136" ht="15.75" customHeight="1" s="94">
      <c r="A136" s="57" t="n"/>
      <c r="B136" s="57" t="n"/>
      <c r="C136" s="57" t="n"/>
      <c r="D136" s="57" t="n"/>
      <c r="E136" s="57" t="n"/>
    </row>
    <row r="137" ht="15.75" customHeight="1" s="94">
      <c r="A137" s="57" t="n"/>
      <c r="B137" s="57" t="n"/>
      <c r="C137" s="57" t="n"/>
      <c r="D137" s="57" t="n"/>
      <c r="E137" s="57" t="n"/>
    </row>
    <row r="138" ht="15.75" customHeight="1" s="94">
      <c r="A138" s="57" t="n"/>
      <c r="B138" s="57" t="n"/>
      <c r="C138" s="57" t="n"/>
      <c r="D138" s="57" t="n"/>
      <c r="E138" s="57" t="n"/>
    </row>
    <row r="139" ht="15.75" customHeight="1" s="94">
      <c r="A139" s="57" t="n"/>
      <c r="B139" s="57" t="n"/>
      <c r="C139" s="57" t="n"/>
      <c r="D139" s="57" t="n"/>
      <c r="E139" s="57" t="n"/>
    </row>
    <row r="140" ht="15.75" customHeight="1" s="94">
      <c r="A140" s="57" t="n"/>
      <c r="B140" s="57" t="n"/>
      <c r="C140" s="57" t="n"/>
      <c r="D140" s="57" t="n"/>
      <c r="E140" s="57" t="n"/>
    </row>
    <row r="141" ht="15.75" customHeight="1" s="94">
      <c r="A141" s="57" t="n"/>
      <c r="B141" s="57" t="n"/>
      <c r="C141" s="57" t="n"/>
      <c r="D141" s="57" t="n"/>
      <c r="E141" s="57" t="n"/>
    </row>
    <row r="142" ht="15.75" customHeight="1" s="94">
      <c r="A142" s="57" t="n"/>
      <c r="B142" s="57" t="n"/>
      <c r="C142" s="57" t="n"/>
      <c r="D142" s="57" t="n"/>
      <c r="E142" s="57" t="n"/>
    </row>
    <row r="143" ht="15.75" customHeight="1" s="94">
      <c r="A143" s="57" t="n"/>
      <c r="B143" s="57" t="n"/>
      <c r="C143" s="57" t="n"/>
      <c r="D143" s="57" t="n"/>
      <c r="E143" s="57" t="n"/>
    </row>
    <row r="144" ht="15.75" customHeight="1" s="94">
      <c r="A144" s="57" t="n"/>
      <c r="B144" s="57" t="n"/>
      <c r="C144" s="57" t="n"/>
      <c r="D144" s="57" t="n"/>
      <c r="E144" s="57" t="n"/>
    </row>
    <row r="145" ht="15.75" customHeight="1" s="94">
      <c r="A145" s="57" t="n"/>
      <c r="B145" s="57" t="n"/>
      <c r="C145" s="57" t="n"/>
      <c r="D145" s="57" t="n"/>
      <c r="E145" s="57" t="n"/>
    </row>
    <row r="146" ht="15.75" customHeight="1" s="94">
      <c r="A146" s="57" t="n"/>
      <c r="B146" s="57" t="n"/>
      <c r="C146" s="57" t="n"/>
      <c r="D146" s="57" t="n"/>
      <c r="E146" s="57" t="n"/>
    </row>
    <row r="147" ht="15.75" customHeight="1" s="94">
      <c r="A147" s="57" t="n"/>
      <c r="B147" s="57" t="n"/>
      <c r="C147" s="57" t="n"/>
      <c r="D147" s="57" t="n"/>
      <c r="E147" s="57" t="n"/>
    </row>
    <row r="148" ht="15.75" customHeight="1" s="94">
      <c r="A148" s="57" t="n"/>
      <c r="B148" s="57" t="n"/>
      <c r="C148" s="57" t="n"/>
      <c r="D148" s="57" t="n"/>
      <c r="E148" s="57" t="n"/>
    </row>
    <row r="149" ht="15.75" customHeight="1" s="94">
      <c r="A149" s="57" t="n"/>
      <c r="B149" s="57" t="n"/>
      <c r="C149" s="57" t="n"/>
      <c r="D149" s="57" t="n"/>
      <c r="E149" s="57" t="n"/>
    </row>
    <row r="150" ht="15.75" customHeight="1" s="94">
      <c r="A150" s="57" t="n"/>
      <c r="B150" s="57" t="n"/>
      <c r="C150" s="57" t="n"/>
      <c r="D150" s="57" t="n"/>
      <c r="E150" s="57" t="n"/>
    </row>
    <row r="151" ht="15.75" customHeight="1" s="94">
      <c r="A151" s="57" t="n"/>
      <c r="B151" s="57" t="n"/>
      <c r="C151" s="57" t="n"/>
      <c r="D151" s="57" t="n"/>
      <c r="E151" s="57" t="n"/>
    </row>
    <row r="152" ht="15.75" customHeight="1" s="94">
      <c r="A152" s="57" t="n"/>
      <c r="B152" s="57" t="n"/>
      <c r="C152" s="57" t="n"/>
      <c r="D152" s="57" t="n"/>
      <c r="E152" s="57" t="n"/>
    </row>
    <row r="153" ht="15.75" customHeight="1" s="94">
      <c r="A153" s="57" t="n"/>
      <c r="B153" s="57" t="n"/>
      <c r="C153" s="57" t="n"/>
      <c r="D153" s="57" t="n"/>
      <c r="E153" s="57" t="n"/>
    </row>
    <row r="154" ht="15.75" customHeight="1" s="94">
      <c r="A154" s="57" t="n"/>
      <c r="B154" s="57" t="n"/>
      <c r="C154" s="57" t="n"/>
      <c r="D154" s="57" t="n"/>
      <c r="E154" s="57" t="n"/>
    </row>
    <row r="155" ht="15.75" customHeight="1" s="94">
      <c r="A155" s="57" t="n"/>
      <c r="B155" s="57" t="n"/>
      <c r="C155" s="57" t="n"/>
      <c r="D155" s="57" t="n"/>
      <c r="E155" s="57" t="n"/>
    </row>
    <row r="156" ht="15.75" customHeight="1" s="94">
      <c r="A156" s="57" t="n"/>
      <c r="B156" s="57" t="n"/>
      <c r="C156" s="57" t="n"/>
      <c r="D156" s="57" t="n"/>
      <c r="E156" s="57" t="n"/>
    </row>
    <row r="157" ht="15.75" customHeight="1" s="94">
      <c r="A157" s="57" t="n"/>
      <c r="B157" s="57" t="n"/>
      <c r="C157" s="57" t="n"/>
      <c r="D157" s="57" t="n"/>
      <c r="E157" s="57" t="n"/>
    </row>
    <row r="158" ht="15.75" customHeight="1" s="94">
      <c r="A158" s="57" t="n"/>
      <c r="B158" s="57" t="n"/>
      <c r="C158" s="57" t="n"/>
      <c r="D158" s="57" t="n"/>
      <c r="E158" s="57" t="n"/>
    </row>
    <row r="159" ht="15.75" customHeight="1" s="94">
      <c r="A159" s="57" t="n"/>
      <c r="B159" s="57" t="n"/>
      <c r="C159" s="57" t="n"/>
      <c r="D159" s="57" t="n"/>
      <c r="E159" s="57" t="n"/>
    </row>
    <row r="160" ht="15.75" customHeight="1" s="94">
      <c r="A160" s="57" t="n"/>
      <c r="B160" s="57" t="n"/>
      <c r="C160" s="57" t="n"/>
      <c r="D160" s="57" t="n"/>
      <c r="E160" s="57" t="n"/>
    </row>
    <row r="161" ht="15.75" customHeight="1" s="94">
      <c r="A161" s="57" t="n"/>
      <c r="B161" s="57" t="n"/>
      <c r="C161" s="57" t="n"/>
      <c r="D161" s="57" t="n"/>
      <c r="E161" s="57" t="n"/>
    </row>
    <row r="162" ht="15.75" customHeight="1" s="94">
      <c r="A162" s="57" t="n"/>
      <c r="B162" s="57" t="n"/>
      <c r="C162" s="57" t="n"/>
      <c r="D162" s="57" t="n"/>
      <c r="E162" s="57" t="n"/>
    </row>
    <row r="163" ht="15.75" customHeight="1" s="94">
      <c r="A163" s="57" t="n"/>
      <c r="B163" s="57" t="n"/>
      <c r="C163" s="57" t="n"/>
      <c r="D163" s="57" t="n"/>
      <c r="E163" s="57" t="n"/>
    </row>
    <row r="164" ht="15.75" customHeight="1" s="94">
      <c r="A164" s="57" t="n"/>
      <c r="B164" s="57" t="n"/>
      <c r="C164" s="57" t="n"/>
      <c r="D164" s="57" t="n"/>
      <c r="E164" s="57" t="n"/>
    </row>
    <row r="165" ht="15.75" customHeight="1" s="94">
      <c r="A165" s="57" t="n"/>
      <c r="B165" s="57" t="n"/>
      <c r="C165" s="57" t="n"/>
      <c r="D165" s="57" t="n"/>
      <c r="E165" s="57" t="n"/>
    </row>
    <row r="166" ht="15.75" customHeight="1" s="94">
      <c r="A166" s="57" t="n"/>
      <c r="B166" s="57" t="n"/>
      <c r="C166" s="57" t="n"/>
      <c r="D166" s="57" t="n"/>
      <c r="E166" s="57" t="n"/>
    </row>
    <row r="167" ht="15.75" customHeight="1" s="94">
      <c r="A167" s="57" t="n"/>
      <c r="B167" s="57" t="n"/>
      <c r="C167" s="57" t="n"/>
      <c r="D167" s="57" t="n"/>
      <c r="E167" s="57" t="n"/>
    </row>
    <row r="168" ht="15.75" customHeight="1" s="94">
      <c r="A168" s="57" t="n"/>
      <c r="B168" s="57" t="n"/>
      <c r="C168" s="57" t="n"/>
      <c r="D168" s="57" t="n"/>
      <c r="E168" s="57" t="n"/>
    </row>
    <row r="169" ht="15.75" customHeight="1" s="94">
      <c r="A169" s="57" t="n"/>
      <c r="B169" s="57" t="n"/>
      <c r="C169" s="57" t="n"/>
      <c r="D169" s="57" t="n"/>
      <c r="E169" s="57" t="n"/>
    </row>
    <row r="170" ht="15.75" customHeight="1" s="94">
      <c r="A170" s="57" t="n"/>
      <c r="B170" s="57" t="n"/>
      <c r="C170" s="57" t="n"/>
      <c r="D170" s="57" t="n"/>
      <c r="E170" s="57" t="n"/>
    </row>
    <row r="171" ht="15.75" customHeight="1" s="94">
      <c r="A171" s="57" t="n"/>
      <c r="B171" s="57" t="n"/>
      <c r="C171" s="57" t="n"/>
      <c r="D171" s="57" t="n"/>
      <c r="E171" s="57" t="n"/>
    </row>
    <row r="172" ht="15.75" customHeight="1" s="94">
      <c r="A172" s="57" t="n"/>
      <c r="B172" s="57" t="n"/>
      <c r="C172" s="57" t="n"/>
      <c r="D172" s="57" t="n"/>
      <c r="E172" s="57" t="n"/>
    </row>
    <row r="173" ht="15.75" customHeight="1" s="94">
      <c r="A173" s="57" t="n"/>
      <c r="B173" s="57" t="n"/>
      <c r="C173" s="57" t="n"/>
      <c r="D173" s="57" t="n"/>
      <c r="E173" s="57" t="n"/>
    </row>
    <row r="174" ht="15.75" customHeight="1" s="94">
      <c r="A174" s="57" t="n"/>
      <c r="B174" s="57" t="n"/>
      <c r="C174" s="57" t="n"/>
      <c r="D174" s="57" t="n"/>
      <c r="E174" s="57" t="n"/>
    </row>
    <row r="175" ht="15.75" customHeight="1" s="94">
      <c r="A175" s="57" t="n"/>
      <c r="B175" s="57" t="n"/>
      <c r="C175" s="57" t="n"/>
      <c r="D175" s="57" t="n"/>
      <c r="E175" s="57" t="n"/>
    </row>
    <row r="176" ht="15.75" customHeight="1" s="94">
      <c r="A176" s="57" t="n"/>
      <c r="B176" s="57" t="n"/>
      <c r="C176" s="57" t="n"/>
      <c r="D176" s="57" t="n"/>
      <c r="E176" s="57" t="n"/>
    </row>
    <row r="177" ht="15.75" customHeight="1" s="94">
      <c r="A177" s="57" t="n"/>
      <c r="B177" s="57" t="n"/>
      <c r="C177" s="57" t="n"/>
      <c r="D177" s="57" t="n"/>
      <c r="E177" s="57" t="n"/>
    </row>
    <row r="178" ht="15.75" customHeight="1" s="94">
      <c r="A178" s="57" t="n"/>
      <c r="B178" s="57" t="n"/>
      <c r="C178" s="57" t="n"/>
      <c r="D178" s="57" t="n"/>
      <c r="E178" s="57" t="n"/>
    </row>
    <row r="179" ht="15.75" customHeight="1" s="94">
      <c r="A179" s="57" t="n"/>
      <c r="B179" s="57" t="n"/>
      <c r="C179" s="57" t="n"/>
      <c r="D179" s="57" t="n"/>
      <c r="E179" s="57" t="n"/>
    </row>
    <row r="180" ht="15.75" customHeight="1" s="94">
      <c r="A180" s="57" t="n"/>
      <c r="B180" s="57" t="n"/>
      <c r="C180" s="57" t="n"/>
      <c r="D180" s="57" t="n"/>
      <c r="E180" s="57" t="n"/>
    </row>
    <row r="181" ht="15.75" customHeight="1" s="94">
      <c r="A181" s="57" t="n"/>
      <c r="B181" s="57" t="n"/>
      <c r="C181" s="57" t="n"/>
      <c r="D181" s="57" t="n"/>
      <c r="E181" s="57" t="n"/>
    </row>
    <row r="182" ht="15.75" customHeight="1" s="94">
      <c r="A182" s="57" t="n"/>
      <c r="B182" s="57" t="n"/>
      <c r="C182" s="57" t="n"/>
      <c r="D182" s="57" t="n"/>
      <c r="E182" s="57" t="n"/>
    </row>
    <row r="183" ht="15.75" customHeight="1" s="94">
      <c r="A183" s="57" t="n"/>
      <c r="B183" s="57" t="n"/>
      <c r="C183" s="57" t="n"/>
      <c r="D183" s="57" t="n"/>
      <c r="E183" s="57" t="n"/>
    </row>
    <row r="184" ht="15.75" customHeight="1" s="94">
      <c r="A184" s="57" t="n"/>
      <c r="B184" s="57" t="n"/>
      <c r="C184" s="57" t="n"/>
      <c r="D184" s="57" t="n"/>
      <c r="E184" s="57" t="n"/>
    </row>
    <row r="185" ht="15.75" customHeight="1" s="94">
      <c r="A185" s="57" t="n"/>
      <c r="B185" s="57" t="n"/>
      <c r="C185" s="57" t="n"/>
      <c r="D185" s="57" t="n"/>
      <c r="E185" s="57" t="n"/>
    </row>
    <row r="186" ht="15.75" customHeight="1" s="94">
      <c r="A186" s="57" t="n"/>
      <c r="B186" s="57" t="n"/>
      <c r="C186" s="57" t="n"/>
      <c r="D186" s="57" t="n"/>
      <c r="E186" s="57" t="n"/>
    </row>
    <row r="187" ht="15.75" customHeight="1" s="94">
      <c r="A187" s="57" t="n"/>
      <c r="B187" s="57" t="n"/>
      <c r="C187" s="57" t="n"/>
      <c r="D187" s="57" t="n"/>
      <c r="E187" s="57" t="n"/>
    </row>
    <row r="188" ht="15.75" customHeight="1" s="94">
      <c r="A188" s="57" t="n"/>
      <c r="B188" s="57" t="n"/>
      <c r="C188" s="57" t="n"/>
      <c r="D188" s="57" t="n"/>
      <c r="E188" s="57" t="n"/>
    </row>
    <row r="189" ht="15.75" customHeight="1" s="94">
      <c r="A189" s="57" t="n"/>
      <c r="B189" s="57" t="n"/>
      <c r="C189" s="57" t="n"/>
      <c r="D189" s="57" t="n"/>
      <c r="E189" s="57" t="n"/>
    </row>
    <row r="190" ht="15.75" customHeight="1" s="94">
      <c r="A190" s="57" t="n"/>
      <c r="B190" s="57" t="n"/>
      <c r="C190" s="57" t="n"/>
      <c r="D190" s="57" t="n"/>
      <c r="E190" s="57" t="n"/>
    </row>
    <row r="191" ht="15.75" customHeight="1" s="94">
      <c r="A191" s="57" t="n"/>
      <c r="B191" s="57" t="n"/>
      <c r="C191" s="57" t="n"/>
      <c r="D191" s="57" t="n"/>
      <c r="E191" s="57" t="n"/>
    </row>
    <row r="192" ht="15.75" customHeight="1" s="94">
      <c r="A192" s="57" t="n"/>
      <c r="B192" s="57" t="n"/>
      <c r="C192" s="57" t="n"/>
      <c r="D192" s="57" t="n"/>
      <c r="E192" s="57" t="n"/>
    </row>
    <row r="193" ht="15.75" customHeight="1" s="94">
      <c r="A193" s="57" t="n"/>
      <c r="B193" s="57" t="n"/>
      <c r="C193" s="57" t="n"/>
      <c r="D193" s="57" t="n"/>
      <c r="E193" s="57" t="n"/>
    </row>
    <row r="194" ht="15.75" customHeight="1" s="94">
      <c r="A194" s="57" t="n"/>
      <c r="B194" s="57" t="n"/>
      <c r="C194" s="57" t="n"/>
      <c r="D194" s="57" t="n"/>
      <c r="E194" s="57" t="n"/>
    </row>
    <row r="195" ht="15.75" customHeight="1" s="94">
      <c r="A195" s="57" t="n"/>
      <c r="B195" s="57" t="n"/>
      <c r="C195" s="57" t="n"/>
      <c r="D195" s="57" t="n"/>
      <c r="E195" s="57" t="n"/>
    </row>
    <row r="196" ht="15.75" customHeight="1" s="94">
      <c r="A196" s="57" t="n"/>
      <c r="B196" s="57" t="n"/>
      <c r="C196" s="57" t="n"/>
      <c r="D196" s="57" t="n"/>
      <c r="E196" s="57" t="n"/>
    </row>
    <row r="197" ht="15.75" customHeight="1" s="94">
      <c r="A197" s="57" t="n"/>
      <c r="B197" s="57" t="n"/>
      <c r="C197" s="57" t="n"/>
      <c r="D197" s="57" t="n"/>
      <c r="E197" s="57" t="n"/>
    </row>
    <row r="198" ht="15.75" customHeight="1" s="94">
      <c r="A198" s="57" t="n"/>
      <c r="B198" s="57" t="n"/>
      <c r="C198" s="57" t="n"/>
      <c r="D198" s="57" t="n"/>
      <c r="E198" s="57" t="n"/>
    </row>
    <row r="199" ht="15.75" customHeight="1" s="94">
      <c r="A199" s="57" t="n"/>
      <c r="B199" s="57" t="n"/>
      <c r="C199" s="57" t="n"/>
      <c r="D199" s="57" t="n"/>
      <c r="E199" s="57" t="n"/>
    </row>
    <row r="200" ht="15.75" customHeight="1" s="94">
      <c r="A200" s="57" t="n"/>
      <c r="B200" s="57" t="n"/>
      <c r="C200" s="57" t="n"/>
      <c r="D200" s="57" t="n"/>
      <c r="E200" s="57" t="n"/>
    </row>
    <row r="201" ht="15.75" customHeight="1" s="94">
      <c r="A201" s="57" t="n"/>
      <c r="B201" s="57" t="n"/>
      <c r="C201" s="57" t="n"/>
      <c r="D201" s="57" t="n"/>
      <c r="E201" s="57" t="n"/>
    </row>
    <row r="202" ht="15.75" customHeight="1" s="94">
      <c r="A202" s="57" t="n"/>
      <c r="B202" s="57" t="n"/>
      <c r="C202" s="57" t="n"/>
      <c r="D202" s="57" t="n"/>
      <c r="E202" s="57" t="n"/>
    </row>
    <row r="203" ht="15.75" customHeight="1" s="94">
      <c r="A203" s="57" t="n"/>
      <c r="B203" s="57" t="n"/>
      <c r="C203" s="57" t="n"/>
      <c r="D203" s="57" t="n"/>
      <c r="E203" s="57" t="n"/>
    </row>
    <row r="204" ht="15.75" customHeight="1" s="94">
      <c r="A204" s="57" t="n"/>
      <c r="B204" s="57" t="n"/>
      <c r="C204" s="57" t="n"/>
      <c r="D204" s="57" t="n"/>
      <c r="E204" s="57" t="n"/>
    </row>
    <row r="205" ht="15.75" customHeight="1" s="94">
      <c r="A205" s="57" t="n"/>
      <c r="B205" s="57" t="n"/>
      <c r="C205" s="57" t="n"/>
      <c r="D205" s="57" t="n"/>
      <c r="E205" s="57" t="n"/>
    </row>
    <row r="206" ht="15.75" customHeight="1" s="94">
      <c r="A206" s="57" t="n"/>
      <c r="B206" s="57" t="n"/>
      <c r="C206" s="57" t="n"/>
      <c r="D206" s="57" t="n"/>
      <c r="E206" s="57" t="n"/>
    </row>
    <row r="207" ht="15.75" customHeight="1" s="94">
      <c r="A207" s="57" t="n"/>
      <c r="B207" s="57" t="n"/>
      <c r="C207" s="57" t="n"/>
      <c r="D207" s="57" t="n"/>
      <c r="E207" s="57" t="n"/>
    </row>
    <row r="208" ht="15.75" customHeight="1" s="94">
      <c r="A208" s="57" t="n"/>
      <c r="B208" s="57" t="n"/>
      <c r="C208" s="57" t="n"/>
      <c r="D208" s="57" t="n"/>
      <c r="E208" s="57" t="n"/>
    </row>
    <row r="209" ht="15.75" customHeight="1" s="94">
      <c r="A209" s="57" t="n"/>
      <c r="B209" s="57" t="n"/>
      <c r="C209" s="57" t="n"/>
      <c r="D209" s="57" t="n"/>
      <c r="E209" s="57" t="n"/>
    </row>
    <row r="210" ht="15.75" customHeight="1" s="94">
      <c r="A210" s="57" t="n"/>
      <c r="B210" s="57" t="n"/>
      <c r="C210" s="57" t="n"/>
      <c r="D210" s="57" t="n"/>
      <c r="E210" s="57" t="n"/>
    </row>
    <row r="211" ht="15.75" customHeight="1" s="94">
      <c r="A211" s="57" t="n"/>
      <c r="B211" s="57" t="n"/>
      <c r="C211" s="57" t="n"/>
      <c r="D211" s="57" t="n"/>
      <c r="E211" s="57" t="n"/>
    </row>
    <row r="212" ht="15.75" customHeight="1" s="94">
      <c r="A212" s="57" t="n"/>
      <c r="B212" s="57" t="n"/>
      <c r="C212" s="57" t="n"/>
      <c r="D212" s="57" t="n"/>
      <c r="E212" s="57" t="n"/>
    </row>
    <row r="213" ht="15.75" customHeight="1" s="94">
      <c r="A213" s="57" t="n"/>
      <c r="B213" s="57" t="n"/>
      <c r="C213" s="57" t="n"/>
      <c r="D213" s="57" t="n"/>
      <c r="E213" s="57" t="n"/>
    </row>
    <row r="214" ht="15.75" customHeight="1" s="94">
      <c r="A214" s="57" t="n"/>
      <c r="B214" s="57" t="n"/>
      <c r="C214" s="57" t="n"/>
      <c r="D214" s="57" t="n"/>
      <c r="E214" s="57" t="n"/>
    </row>
    <row r="215" ht="15.75" customHeight="1" s="94">
      <c r="A215" s="57" t="n"/>
      <c r="B215" s="57" t="n"/>
      <c r="C215" s="57" t="n"/>
      <c r="D215" s="57" t="n"/>
      <c r="E215" s="57" t="n"/>
    </row>
    <row r="216" ht="15.75" customHeight="1" s="94">
      <c r="A216" s="57" t="n"/>
      <c r="B216" s="57" t="n"/>
      <c r="C216" s="57" t="n"/>
      <c r="D216" s="57" t="n"/>
      <c r="E216" s="57" t="n"/>
    </row>
    <row r="217" ht="15.75" customHeight="1" s="94">
      <c r="A217" s="57" t="n"/>
      <c r="B217" s="57" t="n"/>
      <c r="C217" s="57" t="n"/>
      <c r="D217" s="57" t="n"/>
      <c r="E217" s="57" t="n"/>
    </row>
    <row r="218" ht="15.75" customHeight="1" s="94">
      <c r="A218" s="57" t="n"/>
      <c r="B218" s="57" t="n"/>
      <c r="C218" s="57" t="n"/>
      <c r="D218" s="57" t="n"/>
      <c r="E218" s="57" t="n"/>
    </row>
    <row r="219" ht="15.75" customHeight="1" s="94">
      <c r="A219" s="57" t="n"/>
      <c r="B219" s="57" t="n"/>
      <c r="C219" s="57" t="n"/>
      <c r="D219" s="57" t="n"/>
      <c r="E219" s="57" t="n"/>
    </row>
    <row r="220" ht="15.75" customHeight="1" s="94">
      <c r="A220" s="57" t="n"/>
      <c r="B220" s="57" t="n"/>
      <c r="C220" s="57" t="n"/>
      <c r="D220" s="57" t="n"/>
      <c r="E220" s="57" t="n"/>
    </row>
    <row r="221" ht="15.75" customHeight="1" s="94">
      <c r="A221" s="57" t="n"/>
      <c r="B221" s="57" t="n"/>
      <c r="C221" s="57" t="n"/>
      <c r="D221" s="57" t="n"/>
      <c r="E221" s="57" t="n"/>
    </row>
    <row r="222" ht="15.75" customHeight="1" s="94">
      <c r="A222" s="57" t="n"/>
      <c r="B222" s="57" t="n"/>
      <c r="C222" s="57" t="n"/>
      <c r="D222" s="57" t="n"/>
      <c r="E222" s="57" t="n"/>
    </row>
    <row r="223" ht="15.75" customHeight="1" s="94">
      <c r="A223" s="57" t="n"/>
      <c r="B223" s="57" t="n"/>
      <c r="C223" s="57" t="n"/>
      <c r="D223" s="57" t="n"/>
      <c r="E223" s="57" t="n"/>
    </row>
    <row r="224" ht="15.75" customHeight="1" s="94">
      <c r="A224" s="57" t="n"/>
      <c r="B224" s="57" t="n"/>
      <c r="C224" s="57" t="n"/>
      <c r="D224" s="57" t="n"/>
      <c r="E224" s="57" t="n"/>
    </row>
    <row r="225" ht="15.75" customHeight="1" s="94">
      <c r="A225" s="57" t="n"/>
      <c r="B225" s="57" t="n"/>
      <c r="C225" s="57" t="n"/>
      <c r="D225" s="57" t="n"/>
      <c r="E225" s="57" t="n"/>
    </row>
    <row r="226" ht="15.75" customHeight="1" s="94">
      <c r="A226" s="57" t="n"/>
      <c r="B226" s="57" t="n"/>
      <c r="C226" s="57" t="n"/>
      <c r="D226" s="57" t="n"/>
      <c r="E226" s="57" t="n"/>
    </row>
    <row r="227" ht="15.75" customHeight="1" s="94">
      <c r="A227" s="57" t="n"/>
      <c r="B227" s="57" t="n"/>
      <c r="C227" s="57" t="n"/>
      <c r="D227" s="57" t="n"/>
      <c r="E227" s="57" t="n"/>
    </row>
    <row r="228" ht="15.75" customHeight="1" s="94">
      <c r="A228" s="57" t="n"/>
      <c r="B228" s="57" t="n"/>
      <c r="C228" s="57" t="n"/>
      <c r="D228" s="57" t="n"/>
      <c r="E228" s="57" t="n"/>
    </row>
    <row r="229" ht="15.75" customHeight="1" s="94">
      <c r="A229" s="57" t="n"/>
      <c r="B229" s="57" t="n"/>
      <c r="C229" s="57" t="n"/>
      <c r="D229" s="57" t="n"/>
      <c r="E229" s="57" t="n"/>
    </row>
    <row r="230" ht="15.75" customHeight="1" s="94">
      <c r="A230" s="57" t="n"/>
      <c r="B230" s="57" t="n"/>
      <c r="C230" s="57" t="n"/>
      <c r="D230" s="57" t="n"/>
      <c r="E230" s="57" t="n"/>
    </row>
    <row r="231" ht="15.75" customHeight="1" s="94">
      <c r="A231" s="57" t="n"/>
      <c r="B231" s="57" t="n"/>
      <c r="C231" s="57" t="n"/>
      <c r="D231" s="57" t="n"/>
      <c r="E231" s="57" t="n"/>
    </row>
    <row r="232" ht="15.75" customHeight="1" s="94">
      <c r="A232" s="57" t="n"/>
      <c r="B232" s="57" t="n"/>
      <c r="C232" s="57" t="n"/>
      <c r="D232" s="57" t="n"/>
      <c r="E232" s="57" t="n"/>
    </row>
    <row r="233" ht="15.75" customHeight="1" s="94">
      <c r="A233" s="57" t="n"/>
      <c r="B233" s="57" t="n"/>
      <c r="C233" s="57" t="n"/>
      <c r="D233" s="57" t="n"/>
      <c r="E233" s="57" t="n"/>
    </row>
    <row r="234" ht="15.75" customHeight="1" s="94">
      <c r="A234" s="57" t="n"/>
      <c r="B234" s="57" t="n"/>
      <c r="C234" s="57" t="n"/>
      <c r="D234" s="57" t="n"/>
      <c r="E234" s="57" t="n"/>
    </row>
    <row r="235" ht="15.75" customHeight="1" s="94">
      <c r="A235" s="57" t="n"/>
      <c r="B235" s="57" t="n"/>
      <c r="C235" s="57" t="n"/>
      <c r="D235" s="57" t="n"/>
      <c r="E235" s="57" t="n"/>
    </row>
    <row r="236" ht="15.75" customHeight="1" s="94">
      <c r="A236" s="57" t="n"/>
      <c r="B236" s="57" t="n"/>
      <c r="C236" s="57" t="n"/>
      <c r="D236" s="57" t="n"/>
      <c r="E236" s="57" t="n"/>
    </row>
    <row r="237" ht="15.75" customHeight="1" s="94">
      <c r="A237" s="57" t="n"/>
      <c r="B237" s="57" t="n"/>
      <c r="C237" s="57" t="n"/>
      <c r="D237" s="57" t="n"/>
      <c r="E237" s="57" t="n"/>
    </row>
    <row r="238" ht="15.75" customHeight="1" s="94">
      <c r="A238" s="57" t="n"/>
      <c r="B238" s="57" t="n"/>
      <c r="C238" s="57" t="n"/>
      <c r="D238" s="57" t="n"/>
      <c r="E238" s="57" t="n"/>
    </row>
    <row r="239" ht="15.75" customHeight="1" s="94">
      <c r="A239" s="57" t="n"/>
      <c r="B239" s="57" t="n"/>
      <c r="C239" s="57" t="n"/>
      <c r="D239" s="57" t="n"/>
      <c r="E239" s="57" t="n"/>
    </row>
    <row r="240" ht="15.75" customHeight="1" s="94">
      <c r="A240" s="57" t="n"/>
      <c r="B240" s="57" t="n"/>
      <c r="C240" s="57" t="n"/>
      <c r="D240" s="57" t="n"/>
      <c r="E240" s="57" t="n"/>
    </row>
    <row r="241" ht="15.75" customHeight="1" s="94">
      <c r="A241" s="57" t="n"/>
      <c r="B241" s="57" t="n"/>
      <c r="C241" s="57" t="n"/>
      <c r="D241" s="57" t="n"/>
      <c r="E241" s="57" t="n"/>
    </row>
    <row r="242" ht="15.75" customHeight="1" s="94">
      <c r="A242" s="57" t="n"/>
      <c r="B242" s="57" t="n"/>
      <c r="C242" s="57" t="n"/>
      <c r="D242" s="57" t="n"/>
      <c r="E242" s="57" t="n"/>
    </row>
    <row r="243" ht="15.75" customHeight="1" s="94">
      <c r="A243" s="57" t="n"/>
      <c r="B243" s="57" t="n"/>
      <c r="C243" s="57" t="n"/>
      <c r="D243" s="57" t="n"/>
      <c r="E243" s="57" t="n"/>
    </row>
    <row r="244" ht="15.75" customHeight="1" s="94">
      <c r="A244" s="57" t="n"/>
      <c r="B244" s="57" t="n"/>
      <c r="C244" s="57" t="n"/>
      <c r="D244" s="57" t="n"/>
      <c r="E244" s="57" t="n"/>
    </row>
    <row r="245" ht="15.75" customHeight="1" s="94">
      <c r="A245" s="57" t="n"/>
      <c r="B245" s="57" t="n"/>
      <c r="C245" s="57" t="n"/>
      <c r="D245" s="57" t="n"/>
      <c r="E245" s="57" t="n"/>
    </row>
    <row r="246" ht="15.75" customHeight="1" s="94">
      <c r="A246" s="57" t="n"/>
      <c r="B246" s="57" t="n"/>
      <c r="C246" s="57" t="n"/>
      <c r="D246" s="57" t="n"/>
      <c r="E246" s="57" t="n"/>
    </row>
    <row r="247" ht="15.75" customHeight="1" s="94">
      <c r="A247" s="57" t="n"/>
      <c r="B247" s="57" t="n"/>
      <c r="C247" s="57" t="n"/>
      <c r="D247" s="57" t="n"/>
      <c r="E247" s="57" t="n"/>
    </row>
    <row r="248" ht="15.75" customHeight="1" s="94">
      <c r="A248" s="57" t="n"/>
      <c r="B248" s="57" t="n"/>
      <c r="C248" s="57" t="n"/>
      <c r="D248" s="57" t="n"/>
      <c r="E248" s="57" t="n"/>
    </row>
    <row r="249" ht="15.75" customHeight="1" s="94">
      <c r="A249" s="57" t="n"/>
      <c r="B249" s="57" t="n"/>
      <c r="C249" s="57" t="n"/>
      <c r="D249" s="57" t="n"/>
      <c r="E249" s="57" t="n"/>
    </row>
    <row r="250" ht="15.75" customHeight="1" s="94">
      <c r="A250" s="57" t="n"/>
      <c r="B250" s="57" t="n"/>
      <c r="C250" s="57" t="n"/>
      <c r="D250" s="57" t="n"/>
      <c r="E250" s="57" t="n"/>
    </row>
    <row r="251" ht="15.75" customHeight="1" s="94">
      <c r="A251" s="57" t="n"/>
      <c r="B251" s="57" t="n"/>
      <c r="C251" s="57" t="n"/>
      <c r="D251" s="57" t="n"/>
      <c r="E251" s="57" t="n"/>
    </row>
    <row r="252" ht="15.75" customHeight="1" s="94">
      <c r="A252" s="57" t="n"/>
      <c r="B252" s="57" t="n"/>
      <c r="C252" s="57" t="n"/>
      <c r="D252" s="57" t="n"/>
      <c r="E252" s="57" t="n"/>
    </row>
    <row r="253" ht="15.75" customHeight="1" s="94">
      <c r="A253" s="57" t="n"/>
      <c r="B253" s="57" t="n"/>
      <c r="C253" s="57" t="n"/>
      <c r="D253" s="57" t="n"/>
      <c r="E253" s="57" t="n"/>
    </row>
    <row r="254" ht="15.75" customHeight="1" s="94">
      <c r="A254" s="57" t="n"/>
      <c r="B254" s="57" t="n"/>
      <c r="C254" s="57" t="n"/>
      <c r="D254" s="57" t="n"/>
      <c r="E254" s="57" t="n"/>
    </row>
    <row r="255" ht="15.75" customHeight="1" s="94">
      <c r="A255" s="57" t="n"/>
      <c r="B255" s="57" t="n"/>
      <c r="C255" s="57" t="n"/>
      <c r="D255" s="57" t="n"/>
      <c r="E255" s="57" t="n"/>
    </row>
    <row r="256" ht="15.75" customHeight="1" s="94">
      <c r="A256" s="57" t="n"/>
      <c r="B256" s="57" t="n"/>
      <c r="C256" s="57" t="n"/>
      <c r="D256" s="57" t="n"/>
      <c r="E256" s="57" t="n"/>
    </row>
    <row r="257" ht="15.75" customHeight="1" s="94">
      <c r="A257" s="57" t="n"/>
      <c r="B257" s="57" t="n"/>
      <c r="C257" s="57" t="n"/>
      <c r="D257" s="57" t="n"/>
      <c r="E257" s="57" t="n"/>
    </row>
    <row r="258" ht="15.75" customHeight="1" s="94">
      <c r="A258" s="57" t="n"/>
      <c r="B258" s="57" t="n"/>
      <c r="C258" s="57" t="n"/>
      <c r="D258" s="57" t="n"/>
      <c r="E258" s="57" t="n"/>
    </row>
    <row r="259" ht="15.75" customHeight="1" s="94">
      <c r="A259" s="57" t="n"/>
      <c r="B259" s="57" t="n"/>
      <c r="C259" s="57" t="n"/>
      <c r="D259" s="57" t="n"/>
      <c r="E259" s="57" t="n"/>
    </row>
    <row r="260" ht="15.75" customHeight="1" s="94">
      <c r="A260" s="57" t="n"/>
      <c r="B260" s="57" t="n"/>
      <c r="C260" s="57" t="n"/>
      <c r="D260" s="57" t="n"/>
      <c r="E260" s="57" t="n"/>
    </row>
    <row r="261" ht="15.75" customHeight="1" s="94">
      <c r="A261" s="57" t="n"/>
      <c r="B261" s="57" t="n"/>
      <c r="C261" s="57" t="n"/>
      <c r="D261" s="57" t="n"/>
      <c r="E261" s="57" t="n"/>
    </row>
    <row r="262" ht="15.75" customHeight="1" s="94">
      <c r="A262" s="57" t="n"/>
      <c r="B262" s="57" t="n"/>
      <c r="C262" s="57" t="n"/>
      <c r="D262" s="57" t="n"/>
      <c r="E262" s="57" t="n"/>
    </row>
    <row r="263" ht="15.75" customHeight="1" s="94">
      <c r="A263" s="57" t="n"/>
      <c r="B263" s="57" t="n"/>
      <c r="C263" s="57" t="n"/>
      <c r="D263" s="57" t="n"/>
      <c r="E263" s="57" t="n"/>
    </row>
    <row r="264" ht="15.75" customHeight="1" s="94">
      <c r="A264" s="57" t="n"/>
      <c r="B264" s="57" t="n"/>
      <c r="C264" s="57" t="n"/>
      <c r="D264" s="57" t="n"/>
      <c r="E264" s="57" t="n"/>
    </row>
    <row r="265" ht="15.75" customHeight="1" s="94">
      <c r="A265" s="57" t="n"/>
      <c r="B265" s="57" t="n"/>
      <c r="C265" s="57" t="n"/>
      <c r="D265" s="57" t="n"/>
      <c r="E265" s="57" t="n"/>
    </row>
    <row r="266" ht="15.75" customHeight="1" s="94">
      <c r="A266" s="57" t="n"/>
      <c r="B266" s="57" t="n"/>
      <c r="C266" s="57" t="n"/>
      <c r="D266" s="57" t="n"/>
      <c r="E266" s="57" t="n"/>
    </row>
    <row r="267" ht="15.75" customHeight="1" s="94">
      <c r="A267" s="57" t="n"/>
      <c r="B267" s="57" t="n"/>
      <c r="C267" s="57" t="n"/>
      <c r="D267" s="57" t="n"/>
      <c r="E267" s="57" t="n"/>
    </row>
    <row r="268" ht="15.75" customHeight="1" s="94">
      <c r="A268" s="57" t="n"/>
      <c r="B268" s="57" t="n"/>
      <c r="C268" s="57" t="n"/>
      <c r="D268" s="57" t="n"/>
      <c r="E268" s="57" t="n"/>
    </row>
    <row r="269" ht="15.75" customHeight="1" s="94">
      <c r="A269" s="57" t="n"/>
      <c r="B269" s="57" t="n"/>
      <c r="C269" s="57" t="n"/>
      <c r="D269" s="57" t="n"/>
      <c r="E269" s="57" t="n"/>
    </row>
    <row r="270" ht="15.75" customHeight="1" s="94">
      <c r="A270" s="57" t="n"/>
      <c r="B270" s="57" t="n"/>
      <c r="C270" s="57" t="n"/>
      <c r="D270" s="57" t="n"/>
      <c r="E270" s="57" t="n"/>
    </row>
    <row r="271" ht="15.75" customHeight="1" s="94">
      <c r="A271" s="57" t="n"/>
      <c r="B271" s="57" t="n"/>
      <c r="C271" s="57" t="n"/>
      <c r="D271" s="57" t="n"/>
      <c r="E271" s="57" t="n"/>
    </row>
    <row r="272" ht="15.75" customHeight="1" s="94">
      <c r="A272" s="57" t="n"/>
      <c r="B272" s="57" t="n"/>
      <c r="C272" s="57" t="n"/>
      <c r="D272" s="57" t="n"/>
      <c r="E272" s="57" t="n"/>
    </row>
    <row r="273" ht="15.75" customHeight="1" s="94">
      <c r="A273" s="57" t="n"/>
      <c r="B273" s="57" t="n"/>
      <c r="C273" s="57" t="n"/>
      <c r="D273" s="57" t="n"/>
      <c r="E273" s="57" t="n"/>
    </row>
    <row r="274" ht="15.75" customHeight="1" s="94">
      <c r="A274" s="57" t="n"/>
      <c r="B274" s="57" t="n"/>
      <c r="C274" s="57" t="n"/>
      <c r="D274" s="57" t="n"/>
      <c r="E274" s="57" t="n"/>
    </row>
    <row r="275" ht="15.75" customHeight="1" s="94">
      <c r="A275" s="57" t="n"/>
      <c r="B275" s="57" t="n"/>
      <c r="C275" s="57" t="n"/>
      <c r="D275" s="57" t="n"/>
      <c r="E275" s="57" t="n"/>
    </row>
    <row r="276" ht="15.75" customHeight="1" s="94">
      <c r="A276" s="57" t="n"/>
      <c r="B276" s="57" t="n"/>
      <c r="C276" s="57" t="n"/>
      <c r="D276" s="57" t="n"/>
      <c r="E276" s="57" t="n"/>
    </row>
    <row r="277" ht="15.75" customHeight="1" s="94">
      <c r="A277" s="57" t="n"/>
      <c r="B277" s="57" t="n"/>
      <c r="C277" s="57" t="n"/>
      <c r="D277" s="57" t="n"/>
      <c r="E277" s="57" t="n"/>
    </row>
    <row r="278" ht="15.75" customHeight="1" s="94">
      <c r="A278" s="57" t="n"/>
      <c r="B278" s="57" t="n"/>
      <c r="C278" s="57" t="n"/>
      <c r="D278" s="57" t="n"/>
      <c r="E278" s="57" t="n"/>
    </row>
    <row r="279" ht="15.75" customHeight="1" s="94">
      <c r="A279" s="57" t="n"/>
      <c r="B279" s="57" t="n"/>
      <c r="C279" s="57" t="n"/>
      <c r="D279" s="57" t="n"/>
      <c r="E279" s="57" t="n"/>
    </row>
    <row r="280" ht="15.75" customHeight="1" s="94">
      <c r="A280" s="57" t="n"/>
      <c r="B280" s="57" t="n"/>
      <c r="C280" s="57" t="n"/>
      <c r="D280" s="57" t="n"/>
      <c r="E280" s="57" t="n"/>
    </row>
    <row r="281" ht="15.75" customHeight="1" s="94">
      <c r="A281" s="57" t="n"/>
      <c r="B281" s="57" t="n"/>
      <c r="C281" s="57" t="n"/>
      <c r="D281" s="57" t="n"/>
      <c r="E281" s="57" t="n"/>
    </row>
    <row r="282" ht="15.75" customHeight="1" s="94">
      <c r="A282" s="57" t="n"/>
      <c r="B282" s="57" t="n"/>
      <c r="C282" s="57" t="n"/>
      <c r="D282" s="57" t="n"/>
      <c r="E282" s="57" t="n"/>
    </row>
    <row r="283" ht="15.75" customHeight="1" s="94">
      <c r="A283" s="57" t="n"/>
      <c r="B283" s="57" t="n"/>
      <c r="C283" s="57" t="n"/>
      <c r="D283" s="57" t="n"/>
      <c r="E283" s="57" t="n"/>
    </row>
    <row r="284" ht="15.75" customHeight="1" s="94">
      <c r="A284" s="57" t="n"/>
      <c r="B284" s="57" t="n"/>
      <c r="C284" s="57" t="n"/>
      <c r="D284" s="57" t="n"/>
      <c r="E284" s="57" t="n"/>
    </row>
    <row r="285" ht="15.75" customHeight="1" s="94">
      <c r="A285" s="57" t="n"/>
      <c r="B285" s="57" t="n"/>
      <c r="C285" s="57" t="n"/>
      <c r="D285" s="57" t="n"/>
      <c r="E285" s="57" t="n"/>
    </row>
    <row r="286" ht="15.75" customHeight="1" s="94">
      <c r="A286" s="57" t="n"/>
      <c r="B286" s="57" t="n"/>
      <c r="C286" s="57" t="n"/>
      <c r="D286" s="57" t="n"/>
      <c r="E286" s="57" t="n"/>
    </row>
    <row r="287" ht="15.75" customHeight="1" s="94">
      <c r="A287" s="57" t="n"/>
      <c r="B287" s="57" t="n"/>
      <c r="C287" s="57" t="n"/>
      <c r="D287" s="57" t="n"/>
      <c r="E287" s="57" t="n"/>
    </row>
    <row r="288" ht="15.75" customHeight="1" s="94">
      <c r="A288" s="57" t="n"/>
      <c r="B288" s="57" t="n"/>
      <c r="C288" s="57" t="n"/>
      <c r="D288" s="57" t="n"/>
      <c r="E288" s="57" t="n"/>
    </row>
    <row r="289" ht="15.75" customHeight="1" s="94">
      <c r="A289" s="57" t="n"/>
      <c r="B289" s="57" t="n"/>
      <c r="C289" s="57" t="n"/>
      <c r="D289" s="57" t="n"/>
      <c r="E289" s="57" t="n"/>
    </row>
    <row r="290" ht="15.75" customHeight="1" s="94">
      <c r="A290" s="57" t="n"/>
      <c r="B290" s="57" t="n"/>
      <c r="C290" s="57" t="n"/>
      <c r="D290" s="57" t="n"/>
      <c r="E290" s="57" t="n"/>
    </row>
    <row r="291" ht="15.75" customHeight="1" s="94">
      <c r="A291" s="57" t="n"/>
      <c r="B291" s="57" t="n"/>
      <c r="C291" s="57" t="n"/>
      <c r="D291" s="57" t="n"/>
      <c r="E291" s="57" t="n"/>
    </row>
    <row r="292" ht="15.75" customHeight="1" s="94">
      <c r="A292" s="57" t="n"/>
      <c r="B292" s="57" t="n"/>
      <c r="C292" s="57" t="n"/>
      <c r="D292" s="57" t="n"/>
      <c r="E292" s="57" t="n"/>
    </row>
    <row r="293" ht="15.75" customHeight="1" s="94">
      <c r="A293" s="57" t="n"/>
      <c r="B293" s="57" t="n"/>
      <c r="C293" s="57" t="n"/>
      <c r="D293" s="57" t="n"/>
      <c r="E293" s="57" t="n"/>
    </row>
    <row r="294" ht="15.75" customHeight="1" s="94">
      <c r="A294" s="57" t="n"/>
      <c r="B294" s="57" t="n"/>
      <c r="C294" s="57" t="n"/>
      <c r="D294" s="57" t="n"/>
      <c r="E294" s="57" t="n"/>
    </row>
    <row r="295" ht="15.75" customHeight="1" s="94">
      <c r="A295" s="57" t="n"/>
      <c r="B295" s="57" t="n"/>
      <c r="C295" s="57" t="n"/>
      <c r="D295" s="57" t="n"/>
      <c r="E295" s="57" t="n"/>
    </row>
    <row r="296" ht="15.75" customHeight="1" s="94">
      <c r="A296" s="57" t="n"/>
      <c r="B296" s="57" t="n"/>
      <c r="C296" s="57" t="n"/>
      <c r="D296" s="57" t="n"/>
      <c r="E296" s="57" t="n"/>
    </row>
    <row r="297" ht="15.75" customHeight="1" s="94">
      <c r="A297" s="57" t="n"/>
      <c r="B297" s="57" t="n"/>
      <c r="C297" s="57" t="n"/>
      <c r="D297" s="57" t="n"/>
      <c r="E297" s="57" t="n"/>
    </row>
    <row r="298" ht="15.75" customHeight="1" s="94">
      <c r="A298" s="57" t="n"/>
      <c r="B298" s="57" t="n"/>
      <c r="C298" s="57" t="n"/>
      <c r="D298" s="57" t="n"/>
      <c r="E298" s="57" t="n"/>
    </row>
    <row r="299" ht="15.75" customHeight="1" s="94">
      <c r="A299" s="57" t="n"/>
      <c r="B299" s="57" t="n"/>
      <c r="C299" s="57" t="n"/>
      <c r="D299" s="57" t="n"/>
      <c r="E299" s="57" t="n"/>
    </row>
    <row r="300" ht="15.75" customHeight="1" s="94">
      <c r="A300" s="57" t="n"/>
      <c r="B300" s="57" t="n"/>
      <c r="C300" s="57" t="n"/>
      <c r="D300" s="57" t="n"/>
      <c r="E300" s="57" t="n"/>
    </row>
    <row r="301" ht="15.75" customHeight="1" s="94">
      <c r="A301" s="57" t="n"/>
      <c r="B301" s="57" t="n"/>
      <c r="C301" s="57" t="n"/>
      <c r="D301" s="57" t="n"/>
      <c r="E301" s="57" t="n"/>
    </row>
    <row r="302" ht="15.75" customHeight="1" s="94">
      <c r="A302" s="57" t="n"/>
      <c r="B302" s="57" t="n"/>
      <c r="C302" s="57" t="n"/>
      <c r="D302" s="57" t="n"/>
      <c r="E302" s="57" t="n"/>
    </row>
    <row r="303" ht="15.75" customHeight="1" s="94">
      <c r="A303" s="57" t="n"/>
      <c r="B303" s="57" t="n"/>
      <c r="C303" s="57" t="n"/>
      <c r="D303" s="57" t="n"/>
      <c r="E303" s="57" t="n"/>
    </row>
    <row r="304" ht="15.75" customHeight="1" s="94">
      <c r="A304" s="57" t="n"/>
      <c r="B304" s="57" t="n"/>
      <c r="C304" s="57" t="n"/>
      <c r="D304" s="57" t="n"/>
      <c r="E304" s="57" t="n"/>
    </row>
    <row r="305" ht="15.75" customHeight="1" s="94">
      <c r="A305" s="57" t="n"/>
      <c r="B305" s="57" t="n"/>
      <c r="C305" s="57" t="n"/>
      <c r="D305" s="57" t="n"/>
      <c r="E305" s="57" t="n"/>
    </row>
    <row r="306" ht="15.75" customHeight="1" s="94">
      <c r="A306" s="57" t="n"/>
      <c r="B306" s="57" t="n"/>
      <c r="C306" s="57" t="n"/>
      <c r="D306" s="57" t="n"/>
      <c r="E306" s="57" t="n"/>
    </row>
    <row r="307" ht="15.75" customHeight="1" s="94">
      <c r="A307" s="57" t="n"/>
      <c r="B307" s="57" t="n"/>
      <c r="C307" s="57" t="n"/>
      <c r="D307" s="57" t="n"/>
      <c r="E307" s="57" t="n"/>
    </row>
    <row r="308" ht="15.75" customHeight="1" s="94">
      <c r="A308" s="57" t="n"/>
      <c r="B308" s="57" t="n"/>
      <c r="C308" s="57" t="n"/>
      <c r="D308" s="57" t="n"/>
      <c r="E308" s="57" t="n"/>
    </row>
    <row r="309" ht="15.75" customHeight="1" s="94">
      <c r="A309" s="57" t="n"/>
      <c r="B309" s="57" t="n"/>
      <c r="C309" s="57" t="n"/>
      <c r="D309" s="57" t="n"/>
      <c r="E309" s="57" t="n"/>
    </row>
    <row r="310" ht="15.75" customHeight="1" s="94">
      <c r="A310" s="57" t="n"/>
      <c r="B310" s="57" t="n"/>
      <c r="C310" s="57" t="n"/>
      <c r="D310" s="57" t="n"/>
      <c r="E310" s="57" t="n"/>
    </row>
    <row r="311" ht="15.75" customHeight="1" s="94">
      <c r="A311" s="57" t="n"/>
      <c r="B311" s="57" t="n"/>
      <c r="C311" s="57" t="n"/>
      <c r="D311" s="57" t="n"/>
      <c r="E311" s="57" t="n"/>
    </row>
    <row r="312" ht="15.75" customHeight="1" s="94">
      <c r="A312" s="57" t="n"/>
      <c r="B312" s="57" t="n"/>
      <c r="C312" s="57" t="n"/>
      <c r="D312" s="57" t="n"/>
      <c r="E312" s="57" t="n"/>
    </row>
    <row r="313" ht="15.75" customHeight="1" s="94">
      <c r="A313" s="57" t="n"/>
      <c r="B313" s="57" t="n"/>
      <c r="C313" s="57" t="n"/>
      <c r="D313" s="57" t="n"/>
      <c r="E313" s="57" t="n"/>
    </row>
    <row r="314" ht="15.75" customHeight="1" s="94">
      <c r="A314" s="57" t="n"/>
      <c r="B314" s="57" t="n"/>
      <c r="C314" s="57" t="n"/>
      <c r="D314" s="57" t="n"/>
      <c r="E314" s="57" t="n"/>
    </row>
    <row r="315" ht="15.75" customHeight="1" s="94">
      <c r="A315" s="57" t="n"/>
      <c r="B315" s="57" t="n"/>
      <c r="C315" s="57" t="n"/>
      <c r="D315" s="57" t="n"/>
      <c r="E315" s="57" t="n"/>
    </row>
    <row r="316" ht="15.75" customHeight="1" s="94">
      <c r="A316" s="57" t="n"/>
      <c r="B316" s="57" t="n"/>
      <c r="C316" s="57" t="n"/>
      <c r="D316" s="57" t="n"/>
      <c r="E316" s="57" t="n"/>
    </row>
    <row r="317" ht="15.75" customHeight="1" s="94">
      <c r="A317" s="57" t="n"/>
      <c r="B317" s="57" t="n"/>
      <c r="C317" s="57" t="n"/>
      <c r="D317" s="57" t="n"/>
      <c r="E317" s="57" t="n"/>
    </row>
    <row r="318" ht="15.75" customHeight="1" s="94">
      <c r="A318" s="57" t="n"/>
      <c r="B318" s="57" t="n"/>
      <c r="C318" s="57" t="n"/>
      <c r="D318" s="57" t="n"/>
      <c r="E318" s="57" t="n"/>
    </row>
    <row r="319" ht="15.75" customHeight="1" s="94">
      <c r="A319" s="57" t="n"/>
      <c r="B319" s="57" t="n"/>
      <c r="C319" s="57" t="n"/>
      <c r="D319" s="57" t="n"/>
      <c r="E319" s="57" t="n"/>
    </row>
    <row r="320" ht="15.75" customHeight="1" s="94">
      <c r="A320" s="57" t="n"/>
      <c r="B320" s="57" t="n"/>
      <c r="C320" s="57" t="n"/>
      <c r="D320" s="57" t="n"/>
      <c r="E320" s="57" t="n"/>
    </row>
    <row r="321" ht="15.75" customHeight="1" s="94">
      <c r="A321" s="57" t="n"/>
      <c r="B321" s="57" t="n"/>
      <c r="C321" s="57" t="n"/>
      <c r="D321" s="57" t="n"/>
      <c r="E321" s="57" t="n"/>
    </row>
    <row r="322" ht="15.75" customHeight="1" s="94">
      <c r="A322" s="57" t="n"/>
      <c r="B322" s="57" t="n"/>
      <c r="C322" s="57" t="n"/>
      <c r="D322" s="57" t="n"/>
      <c r="E322" s="57" t="n"/>
    </row>
    <row r="323" ht="15.75" customHeight="1" s="94">
      <c r="A323" s="57" t="n"/>
      <c r="B323" s="57" t="n"/>
      <c r="C323" s="57" t="n"/>
      <c r="D323" s="57" t="n"/>
      <c r="E323" s="57" t="n"/>
    </row>
    <row r="324" ht="15.75" customHeight="1" s="94">
      <c r="A324" s="57" t="n"/>
      <c r="B324" s="57" t="n"/>
      <c r="C324" s="57" t="n"/>
      <c r="D324" s="57" t="n"/>
      <c r="E324" s="57" t="n"/>
    </row>
    <row r="325" ht="15.75" customHeight="1" s="94">
      <c r="A325" s="57" t="n"/>
      <c r="B325" s="57" t="n"/>
      <c r="C325" s="57" t="n"/>
      <c r="D325" s="57" t="n"/>
      <c r="E325" s="57" t="n"/>
    </row>
    <row r="326" ht="15.75" customHeight="1" s="94">
      <c r="A326" s="57" t="n"/>
      <c r="B326" s="57" t="n"/>
      <c r="C326" s="57" t="n"/>
      <c r="D326" s="57" t="n"/>
      <c r="E326" s="57" t="n"/>
    </row>
    <row r="327" ht="15.75" customHeight="1" s="94">
      <c r="A327" s="57" t="n"/>
      <c r="B327" s="57" t="n"/>
      <c r="C327" s="57" t="n"/>
      <c r="D327" s="57" t="n"/>
      <c r="E327" s="57" t="n"/>
    </row>
    <row r="328" ht="15.75" customHeight="1" s="94">
      <c r="A328" s="57" t="n"/>
      <c r="B328" s="57" t="n"/>
      <c r="C328" s="57" t="n"/>
      <c r="D328" s="57" t="n"/>
      <c r="E328" s="57" t="n"/>
    </row>
    <row r="329" ht="15.75" customHeight="1" s="94">
      <c r="A329" s="57" t="n"/>
      <c r="B329" s="57" t="n"/>
      <c r="C329" s="57" t="n"/>
      <c r="D329" s="57" t="n"/>
      <c r="E329" s="57" t="n"/>
    </row>
    <row r="330" ht="15.75" customHeight="1" s="94">
      <c r="A330" s="57" t="n"/>
      <c r="B330" s="57" t="n"/>
      <c r="C330" s="57" t="n"/>
      <c r="D330" s="57" t="n"/>
      <c r="E330" s="57" t="n"/>
    </row>
    <row r="331" ht="15.75" customHeight="1" s="94">
      <c r="A331" s="57" t="n"/>
      <c r="B331" s="57" t="n"/>
      <c r="C331" s="57" t="n"/>
      <c r="D331" s="57" t="n"/>
      <c r="E331" s="57" t="n"/>
    </row>
    <row r="332" ht="15.75" customHeight="1" s="94">
      <c r="A332" s="57" t="n"/>
      <c r="B332" s="57" t="n"/>
      <c r="C332" s="57" t="n"/>
      <c r="D332" s="57" t="n"/>
      <c r="E332" s="57" t="n"/>
    </row>
    <row r="333" ht="15.75" customHeight="1" s="94">
      <c r="A333" s="57" t="n"/>
      <c r="B333" s="57" t="n"/>
      <c r="C333" s="57" t="n"/>
      <c r="D333" s="57" t="n"/>
      <c r="E333" s="57" t="n"/>
    </row>
    <row r="334" ht="15.75" customHeight="1" s="94">
      <c r="A334" s="57" t="n"/>
      <c r="B334" s="57" t="n"/>
      <c r="C334" s="57" t="n"/>
      <c r="D334" s="57" t="n"/>
      <c r="E334" s="57" t="n"/>
    </row>
    <row r="335" ht="15.75" customHeight="1" s="94">
      <c r="A335" s="57" t="n"/>
      <c r="B335" s="57" t="n"/>
      <c r="C335" s="57" t="n"/>
      <c r="D335" s="57" t="n"/>
      <c r="E335" s="57" t="n"/>
    </row>
    <row r="336" ht="15.75" customHeight="1" s="94">
      <c r="A336" s="57" t="n"/>
      <c r="B336" s="57" t="n"/>
      <c r="C336" s="57" t="n"/>
      <c r="D336" s="57" t="n"/>
      <c r="E336" s="57" t="n"/>
    </row>
    <row r="337" ht="15.75" customHeight="1" s="94">
      <c r="A337" s="57" t="n"/>
      <c r="B337" s="57" t="n"/>
      <c r="C337" s="57" t="n"/>
      <c r="D337" s="57" t="n"/>
      <c r="E337" s="57" t="n"/>
    </row>
    <row r="338" ht="15.75" customHeight="1" s="94">
      <c r="A338" s="57" t="n"/>
      <c r="B338" s="57" t="n"/>
      <c r="C338" s="57" t="n"/>
      <c r="D338" s="57" t="n"/>
      <c r="E338" s="57" t="n"/>
    </row>
    <row r="339" ht="15.75" customHeight="1" s="94">
      <c r="A339" s="57" t="n"/>
      <c r="B339" s="57" t="n"/>
      <c r="C339" s="57" t="n"/>
      <c r="D339" s="57" t="n"/>
      <c r="E339" s="57" t="n"/>
    </row>
    <row r="340" ht="15.75" customHeight="1" s="94">
      <c r="A340" s="57" t="n"/>
      <c r="B340" s="57" t="n"/>
      <c r="C340" s="57" t="n"/>
      <c r="D340" s="57" t="n"/>
      <c r="E340" s="57" t="n"/>
    </row>
    <row r="341" ht="15.75" customHeight="1" s="94">
      <c r="A341" s="57" t="n"/>
      <c r="B341" s="57" t="n"/>
      <c r="C341" s="57" t="n"/>
      <c r="D341" s="57" t="n"/>
      <c r="E341" s="57" t="n"/>
    </row>
    <row r="342" ht="15.75" customHeight="1" s="94">
      <c r="A342" s="57" t="n"/>
      <c r="B342" s="57" t="n"/>
      <c r="C342" s="57" t="n"/>
      <c r="D342" s="57" t="n"/>
      <c r="E342" s="57" t="n"/>
    </row>
    <row r="343" ht="15.75" customHeight="1" s="94">
      <c r="A343" s="57" t="n"/>
      <c r="B343" s="57" t="n"/>
      <c r="C343" s="57" t="n"/>
      <c r="D343" s="57" t="n"/>
      <c r="E343" s="57" t="n"/>
    </row>
    <row r="344" ht="15.75" customHeight="1" s="94">
      <c r="A344" s="57" t="n"/>
      <c r="B344" s="57" t="n"/>
      <c r="C344" s="57" t="n"/>
      <c r="D344" s="57" t="n"/>
      <c r="E344" s="57" t="n"/>
    </row>
    <row r="345" ht="15.75" customHeight="1" s="94">
      <c r="A345" s="57" t="n"/>
      <c r="B345" s="57" t="n"/>
      <c r="C345" s="57" t="n"/>
      <c r="D345" s="57" t="n"/>
      <c r="E345" s="57" t="n"/>
    </row>
    <row r="346" ht="15.75" customHeight="1" s="94">
      <c r="A346" s="57" t="n"/>
      <c r="B346" s="57" t="n"/>
      <c r="C346" s="57" t="n"/>
      <c r="D346" s="57" t="n"/>
      <c r="E346" s="57" t="n"/>
    </row>
    <row r="347" ht="15.75" customHeight="1" s="94">
      <c r="A347" s="57" t="n"/>
      <c r="B347" s="57" t="n"/>
      <c r="C347" s="57" t="n"/>
      <c r="D347" s="57" t="n"/>
      <c r="E347" s="57" t="n"/>
    </row>
    <row r="348" ht="15.75" customHeight="1" s="94">
      <c r="A348" s="57" t="n"/>
      <c r="B348" s="57" t="n"/>
      <c r="C348" s="57" t="n"/>
      <c r="D348" s="57" t="n"/>
      <c r="E348" s="57" t="n"/>
    </row>
    <row r="349" ht="15.75" customHeight="1" s="94">
      <c r="A349" s="57" t="n"/>
      <c r="B349" s="57" t="n"/>
      <c r="C349" s="57" t="n"/>
      <c r="D349" s="57" t="n"/>
      <c r="E349" s="57" t="n"/>
    </row>
    <row r="350" ht="15.75" customHeight="1" s="94">
      <c r="A350" s="57" t="n"/>
      <c r="B350" s="57" t="n"/>
      <c r="C350" s="57" t="n"/>
      <c r="D350" s="57" t="n"/>
      <c r="E350" s="57" t="n"/>
    </row>
    <row r="351" ht="15.75" customHeight="1" s="94">
      <c r="A351" s="57" t="n"/>
      <c r="B351" s="57" t="n"/>
      <c r="C351" s="57" t="n"/>
      <c r="D351" s="57" t="n"/>
      <c r="E351" s="57" t="n"/>
    </row>
    <row r="352" ht="15.75" customHeight="1" s="94">
      <c r="A352" s="57" t="n"/>
      <c r="B352" s="57" t="n"/>
      <c r="C352" s="57" t="n"/>
      <c r="D352" s="57" t="n"/>
      <c r="E352" s="57" t="n"/>
    </row>
    <row r="353" ht="15.75" customHeight="1" s="94">
      <c r="A353" s="57" t="n"/>
      <c r="B353" s="57" t="n"/>
      <c r="C353" s="57" t="n"/>
      <c r="D353" s="57" t="n"/>
      <c r="E353" s="57" t="n"/>
    </row>
    <row r="354" ht="15.75" customHeight="1" s="94">
      <c r="A354" s="57" t="n"/>
      <c r="B354" s="57" t="n"/>
      <c r="C354" s="57" t="n"/>
      <c r="D354" s="57" t="n"/>
      <c r="E354" s="57" t="n"/>
    </row>
    <row r="355" ht="15.75" customHeight="1" s="94">
      <c r="A355" s="57" t="n"/>
      <c r="B355" s="57" t="n"/>
      <c r="C355" s="57" t="n"/>
      <c r="D355" s="57" t="n"/>
      <c r="E355" s="57" t="n"/>
    </row>
    <row r="356" ht="15.75" customHeight="1" s="94">
      <c r="A356" s="57" t="n"/>
      <c r="B356" s="57" t="n"/>
      <c r="C356" s="57" t="n"/>
      <c r="D356" s="57" t="n"/>
      <c r="E356" s="57" t="n"/>
    </row>
    <row r="357" ht="15.75" customHeight="1" s="94">
      <c r="A357" s="57" t="n"/>
      <c r="B357" s="57" t="n"/>
      <c r="C357" s="57" t="n"/>
      <c r="D357" s="57" t="n"/>
      <c r="E357" s="57" t="n"/>
    </row>
    <row r="358" ht="15.75" customHeight="1" s="94">
      <c r="A358" s="57" t="n"/>
      <c r="B358" s="57" t="n"/>
      <c r="C358" s="57" t="n"/>
      <c r="D358" s="57" t="n"/>
      <c r="E358" s="57" t="n"/>
    </row>
    <row r="359" ht="15.75" customHeight="1" s="94">
      <c r="A359" s="57" t="n"/>
      <c r="B359" s="57" t="n"/>
      <c r="C359" s="57" t="n"/>
      <c r="D359" s="57" t="n"/>
      <c r="E359" s="57" t="n"/>
    </row>
    <row r="360" ht="15.75" customHeight="1" s="94">
      <c r="A360" s="57" t="n"/>
      <c r="B360" s="57" t="n"/>
      <c r="C360" s="57" t="n"/>
      <c r="D360" s="57" t="n"/>
      <c r="E360" s="57" t="n"/>
    </row>
    <row r="361" ht="15.75" customHeight="1" s="94">
      <c r="A361" s="57" t="n"/>
      <c r="B361" s="57" t="n"/>
      <c r="C361" s="57" t="n"/>
      <c r="D361" s="57" t="n"/>
      <c r="E361" s="57" t="n"/>
    </row>
    <row r="362" ht="15.75" customHeight="1" s="94">
      <c r="A362" s="57" t="n"/>
      <c r="B362" s="57" t="n"/>
      <c r="C362" s="57" t="n"/>
      <c r="D362" s="57" t="n"/>
      <c r="E362" s="57" t="n"/>
    </row>
    <row r="363" ht="15.75" customHeight="1" s="94">
      <c r="A363" s="57" t="n"/>
      <c r="B363" s="57" t="n"/>
      <c r="C363" s="57" t="n"/>
      <c r="D363" s="57" t="n"/>
      <c r="E363" s="57" t="n"/>
    </row>
    <row r="364" ht="15.75" customHeight="1" s="94">
      <c r="A364" s="57" t="n"/>
      <c r="B364" s="57" t="n"/>
      <c r="C364" s="57" t="n"/>
      <c r="D364" s="57" t="n"/>
      <c r="E364" s="57" t="n"/>
    </row>
    <row r="365" ht="15.75" customHeight="1" s="94">
      <c r="A365" s="57" t="n"/>
      <c r="B365" s="57" t="n"/>
      <c r="C365" s="57" t="n"/>
      <c r="D365" s="57" t="n"/>
      <c r="E365" s="57" t="n"/>
    </row>
    <row r="366" ht="15.75" customHeight="1" s="94">
      <c r="A366" s="57" t="n"/>
      <c r="B366" s="57" t="n"/>
      <c r="C366" s="57" t="n"/>
      <c r="D366" s="57" t="n"/>
      <c r="E366" s="57" t="n"/>
    </row>
    <row r="367" ht="15.75" customHeight="1" s="94">
      <c r="A367" s="57" t="n"/>
      <c r="B367" s="57" t="n"/>
      <c r="C367" s="57" t="n"/>
      <c r="D367" s="57" t="n"/>
      <c r="E367" s="57" t="n"/>
    </row>
    <row r="368" ht="15.75" customHeight="1" s="94">
      <c r="A368" s="57" t="n"/>
      <c r="B368" s="57" t="n"/>
      <c r="C368" s="57" t="n"/>
      <c r="D368" s="57" t="n"/>
      <c r="E368" s="57" t="n"/>
    </row>
    <row r="369" ht="15.75" customHeight="1" s="94">
      <c r="A369" s="57" t="n"/>
      <c r="B369" s="57" t="n"/>
      <c r="C369" s="57" t="n"/>
      <c r="D369" s="57" t="n"/>
      <c r="E369" s="57" t="n"/>
    </row>
    <row r="370" ht="15.75" customHeight="1" s="94">
      <c r="A370" s="57" t="n"/>
      <c r="B370" s="57" t="n"/>
      <c r="C370" s="57" t="n"/>
      <c r="D370" s="57" t="n"/>
      <c r="E370" s="57" t="n"/>
    </row>
    <row r="371" ht="15.75" customHeight="1" s="94">
      <c r="A371" s="57" t="n"/>
      <c r="B371" s="57" t="n"/>
      <c r="C371" s="57" t="n"/>
      <c r="D371" s="57" t="n"/>
      <c r="E371" s="57" t="n"/>
    </row>
    <row r="372" ht="15.75" customHeight="1" s="94">
      <c r="A372" s="57" t="n"/>
      <c r="B372" s="57" t="n"/>
      <c r="C372" s="57" t="n"/>
      <c r="D372" s="57" t="n"/>
      <c r="E372" s="57" t="n"/>
    </row>
    <row r="373" ht="15.75" customHeight="1" s="94">
      <c r="A373" s="57" t="n"/>
      <c r="B373" s="57" t="n"/>
      <c r="C373" s="57" t="n"/>
      <c r="D373" s="57" t="n"/>
      <c r="E373" s="57" t="n"/>
    </row>
    <row r="374" ht="15.75" customHeight="1" s="94">
      <c r="A374" s="57" t="n"/>
      <c r="B374" s="57" t="n"/>
      <c r="C374" s="57" t="n"/>
      <c r="D374" s="57" t="n"/>
      <c r="E374" s="57" t="n"/>
    </row>
    <row r="375" ht="15.75" customHeight="1" s="94">
      <c r="A375" s="57" t="n"/>
      <c r="B375" s="57" t="n"/>
      <c r="C375" s="57" t="n"/>
      <c r="D375" s="57" t="n"/>
      <c r="E375" s="57" t="n"/>
    </row>
    <row r="376" ht="15.75" customHeight="1" s="94">
      <c r="A376" s="57" t="n"/>
      <c r="B376" s="57" t="n"/>
      <c r="C376" s="57" t="n"/>
      <c r="D376" s="57" t="n"/>
      <c r="E376" s="57" t="n"/>
    </row>
    <row r="377" ht="15.75" customHeight="1" s="94">
      <c r="A377" s="57" t="n"/>
      <c r="B377" s="57" t="n"/>
      <c r="C377" s="57" t="n"/>
      <c r="D377" s="57" t="n"/>
      <c r="E377" s="57" t="n"/>
    </row>
    <row r="378" ht="15.75" customHeight="1" s="94">
      <c r="A378" s="57" t="n"/>
      <c r="B378" s="57" t="n"/>
      <c r="C378" s="57" t="n"/>
      <c r="D378" s="57" t="n"/>
      <c r="E378" s="57" t="n"/>
    </row>
    <row r="379" ht="15.75" customHeight="1" s="94">
      <c r="A379" s="57" t="n"/>
      <c r="B379" s="57" t="n"/>
      <c r="C379" s="57" t="n"/>
      <c r="D379" s="57" t="n"/>
      <c r="E379" s="57" t="n"/>
    </row>
    <row r="380" ht="15.75" customHeight="1" s="94">
      <c r="A380" s="57" t="n"/>
      <c r="B380" s="57" t="n"/>
      <c r="C380" s="57" t="n"/>
      <c r="D380" s="57" t="n"/>
      <c r="E380" s="57" t="n"/>
    </row>
    <row r="381" ht="15.75" customHeight="1" s="94">
      <c r="A381" s="57" t="n"/>
      <c r="B381" s="57" t="n"/>
      <c r="C381" s="57" t="n"/>
      <c r="D381" s="57" t="n"/>
      <c r="E381" s="57" t="n"/>
    </row>
    <row r="382" ht="15.75" customHeight="1" s="94">
      <c r="A382" s="57" t="n"/>
      <c r="B382" s="57" t="n"/>
      <c r="C382" s="57" t="n"/>
      <c r="D382" s="57" t="n"/>
      <c r="E382" s="57" t="n"/>
    </row>
    <row r="383" ht="15.75" customHeight="1" s="94">
      <c r="A383" s="57" t="n"/>
      <c r="B383" s="57" t="n"/>
      <c r="C383" s="57" t="n"/>
      <c r="D383" s="57" t="n"/>
      <c r="E383" s="57" t="n"/>
    </row>
    <row r="384" ht="15.75" customHeight="1" s="94">
      <c r="A384" s="57" t="n"/>
      <c r="B384" s="57" t="n"/>
      <c r="C384" s="57" t="n"/>
      <c r="D384" s="57" t="n"/>
      <c r="E384" s="57" t="n"/>
    </row>
    <row r="385" ht="15.75" customHeight="1" s="94">
      <c r="A385" s="57" t="n"/>
      <c r="B385" s="57" t="n"/>
      <c r="C385" s="57" t="n"/>
      <c r="D385" s="57" t="n"/>
      <c r="E385" s="57" t="n"/>
    </row>
    <row r="386" ht="15.75" customHeight="1" s="94">
      <c r="A386" s="57" t="n"/>
      <c r="B386" s="57" t="n"/>
      <c r="C386" s="57" t="n"/>
      <c r="D386" s="57" t="n"/>
      <c r="E386" s="57" t="n"/>
    </row>
    <row r="387" ht="15.75" customHeight="1" s="94">
      <c r="A387" s="57" t="n"/>
      <c r="B387" s="57" t="n"/>
      <c r="C387" s="57" t="n"/>
      <c r="D387" s="57" t="n"/>
      <c r="E387" s="57" t="n"/>
    </row>
    <row r="388" ht="15.75" customHeight="1" s="94">
      <c r="A388" s="57" t="n"/>
      <c r="B388" s="57" t="n"/>
      <c r="C388" s="57" t="n"/>
      <c r="D388" s="57" t="n"/>
      <c r="E388" s="57" t="n"/>
    </row>
    <row r="389" ht="15.75" customHeight="1" s="94">
      <c r="A389" s="57" t="n"/>
      <c r="B389" s="57" t="n"/>
      <c r="C389" s="57" t="n"/>
      <c r="D389" s="57" t="n"/>
      <c r="E389" s="57" t="n"/>
    </row>
    <row r="390" ht="15.75" customHeight="1" s="94">
      <c r="A390" s="57" t="n"/>
      <c r="B390" s="57" t="n"/>
      <c r="C390" s="57" t="n"/>
      <c r="D390" s="57" t="n"/>
      <c r="E390" s="57" t="n"/>
    </row>
    <row r="391" ht="15.75" customHeight="1" s="94">
      <c r="A391" s="57" t="n"/>
      <c r="B391" s="57" t="n"/>
      <c r="C391" s="57" t="n"/>
      <c r="D391" s="57" t="n"/>
      <c r="E391" s="57" t="n"/>
    </row>
    <row r="392" ht="15.75" customHeight="1" s="94">
      <c r="A392" s="57" t="n"/>
      <c r="B392" s="57" t="n"/>
      <c r="C392" s="57" t="n"/>
      <c r="D392" s="57" t="n"/>
      <c r="E392" s="57" t="n"/>
    </row>
    <row r="393" ht="15.75" customHeight="1" s="94">
      <c r="A393" s="57" t="n"/>
      <c r="B393" s="57" t="n"/>
      <c r="C393" s="57" t="n"/>
      <c r="D393" s="57" t="n"/>
      <c r="E393" s="57" t="n"/>
    </row>
    <row r="394" ht="15.75" customHeight="1" s="94">
      <c r="A394" s="57" t="n"/>
      <c r="B394" s="57" t="n"/>
      <c r="C394" s="57" t="n"/>
      <c r="D394" s="57" t="n"/>
      <c r="E394" s="57" t="n"/>
    </row>
    <row r="395" ht="15.75" customHeight="1" s="94">
      <c r="A395" s="57" t="n"/>
      <c r="B395" s="57" t="n"/>
      <c r="C395" s="57" t="n"/>
      <c r="D395" s="57" t="n"/>
      <c r="E395" s="57" t="n"/>
    </row>
    <row r="396" ht="15.75" customHeight="1" s="94">
      <c r="A396" s="57" t="n"/>
      <c r="B396" s="57" t="n"/>
      <c r="C396" s="57" t="n"/>
      <c r="D396" s="57" t="n"/>
      <c r="E396" s="57" t="n"/>
    </row>
    <row r="397" ht="15.75" customHeight="1" s="94">
      <c r="A397" s="57" t="n"/>
      <c r="B397" s="57" t="n"/>
      <c r="C397" s="57" t="n"/>
      <c r="D397" s="57" t="n"/>
      <c r="E397" s="57" t="n"/>
    </row>
    <row r="398" ht="15.75" customHeight="1" s="94">
      <c r="A398" s="57" t="n"/>
      <c r="B398" s="57" t="n"/>
      <c r="C398" s="57" t="n"/>
      <c r="D398" s="57" t="n"/>
      <c r="E398" s="57" t="n"/>
    </row>
    <row r="399" ht="15.75" customHeight="1" s="94">
      <c r="A399" s="57" t="n"/>
      <c r="B399" s="57" t="n"/>
      <c r="C399" s="57" t="n"/>
      <c r="D399" s="57" t="n"/>
      <c r="E399" s="57" t="n"/>
    </row>
    <row r="400" ht="15.75" customHeight="1" s="94">
      <c r="A400" s="57" t="n"/>
      <c r="B400" s="57" t="n"/>
      <c r="C400" s="57" t="n"/>
      <c r="D400" s="57" t="n"/>
      <c r="E400" s="57" t="n"/>
    </row>
    <row r="401" ht="15.75" customHeight="1" s="94">
      <c r="A401" s="57" t="n"/>
      <c r="B401" s="57" t="n"/>
      <c r="C401" s="57" t="n"/>
      <c r="D401" s="57" t="n"/>
      <c r="E401" s="57" t="n"/>
    </row>
    <row r="402" ht="15.75" customHeight="1" s="94">
      <c r="A402" s="57" t="n"/>
      <c r="B402" s="57" t="n"/>
      <c r="C402" s="57" t="n"/>
      <c r="D402" s="57" t="n"/>
      <c r="E402" s="57" t="n"/>
    </row>
    <row r="403" ht="15.75" customHeight="1" s="94">
      <c r="A403" s="57" t="n"/>
      <c r="B403" s="57" t="n"/>
      <c r="C403" s="57" t="n"/>
      <c r="D403" s="57" t="n"/>
      <c r="E403" s="57" t="n"/>
    </row>
    <row r="404" ht="15.75" customHeight="1" s="94">
      <c r="A404" s="57" t="n"/>
      <c r="B404" s="57" t="n"/>
      <c r="C404" s="57" t="n"/>
      <c r="D404" s="57" t="n"/>
      <c r="E404" s="57" t="n"/>
    </row>
    <row r="405" ht="15.75" customHeight="1" s="94">
      <c r="A405" s="57" t="n"/>
      <c r="B405" s="57" t="n"/>
      <c r="C405" s="57" t="n"/>
      <c r="D405" s="57" t="n"/>
      <c r="E405" s="57" t="n"/>
    </row>
    <row r="406" ht="15.75" customHeight="1" s="94">
      <c r="A406" s="57" t="n"/>
      <c r="B406" s="57" t="n"/>
      <c r="C406" s="57" t="n"/>
      <c r="D406" s="57" t="n"/>
      <c r="E406" s="57" t="n"/>
    </row>
    <row r="407" ht="15.75" customHeight="1" s="94">
      <c r="A407" s="57" t="n"/>
      <c r="B407" s="57" t="n"/>
      <c r="C407" s="57" t="n"/>
      <c r="D407" s="57" t="n"/>
      <c r="E407" s="57" t="n"/>
    </row>
    <row r="408" ht="15.75" customHeight="1" s="94">
      <c r="A408" s="57" t="n"/>
      <c r="B408" s="57" t="n"/>
      <c r="C408" s="57" t="n"/>
      <c r="D408" s="57" t="n"/>
      <c r="E408" s="57" t="n"/>
    </row>
    <row r="409" ht="15.75" customHeight="1" s="94">
      <c r="A409" s="57" t="n"/>
      <c r="B409" s="57" t="n"/>
      <c r="C409" s="57" t="n"/>
      <c r="D409" s="57" t="n"/>
      <c r="E409" s="57" t="n"/>
    </row>
    <row r="410" ht="15.75" customHeight="1" s="94">
      <c r="A410" s="57" t="n"/>
      <c r="B410" s="57" t="n"/>
      <c r="C410" s="57" t="n"/>
      <c r="D410" s="57" t="n"/>
      <c r="E410" s="57" t="n"/>
    </row>
    <row r="411" ht="15.75" customHeight="1" s="94">
      <c r="A411" s="57" t="n"/>
      <c r="B411" s="57" t="n"/>
      <c r="C411" s="57" t="n"/>
      <c r="D411" s="57" t="n"/>
      <c r="E411" s="57" t="n"/>
    </row>
    <row r="412" ht="15.75" customHeight="1" s="94">
      <c r="A412" s="57" t="n"/>
      <c r="B412" s="57" t="n"/>
      <c r="C412" s="57" t="n"/>
      <c r="D412" s="57" t="n"/>
      <c r="E412" s="57" t="n"/>
    </row>
    <row r="413" ht="15.75" customHeight="1" s="94">
      <c r="A413" s="57" t="n"/>
      <c r="B413" s="57" t="n"/>
      <c r="C413" s="57" t="n"/>
      <c r="D413" s="57" t="n"/>
      <c r="E413" s="57" t="n"/>
    </row>
    <row r="414" ht="15.75" customHeight="1" s="94">
      <c r="A414" s="57" t="n"/>
      <c r="B414" s="57" t="n"/>
      <c r="C414" s="57" t="n"/>
      <c r="D414" s="57" t="n"/>
      <c r="E414" s="57" t="n"/>
    </row>
    <row r="415" ht="15.75" customHeight="1" s="94">
      <c r="A415" s="57" t="n"/>
      <c r="B415" s="57" t="n"/>
      <c r="C415" s="57" t="n"/>
      <c r="D415" s="57" t="n"/>
      <c r="E415" s="57" t="n"/>
    </row>
    <row r="416" ht="15.75" customHeight="1" s="94">
      <c r="A416" s="57" t="n"/>
      <c r="B416" s="57" t="n"/>
      <c r="C416" s="57" t="n"/>
      <c r="D416" s="57" t="n"/>
      <c r="E416" s="57" t="n"/>
    </row>
    <row r="417" ht="15.75" customHeight="1" s="94">
      <c r="A417" s="57" t="n"/>
      <c r="B417" s="57" t="n"/>
      <c r="C417" s="57" t="n"/>
      <c r="D417" s="57" t="n"/>
      <c r="E417" s="57" t="n"/>
    </row>
    <row r="418" ht="15.75" customHeight="1" s="94">
      <c r="A418" s="57" t="n"/>
      <c r="B418" s="57" t="n"/>
      <c r="C418" s="57" t="n"/>
      <c r="D418" s="57" t="n"/>
      <c r="E418" s="57" t="n"/>
    </row>
    <row r="419" ht="15.75" customHeight="1" s="94">
      <c r="A419" s="57" t="n"/>
      <c r="B419" s="57" t="n"/>
      <c r="C419" s="57" t="n"/>
      <c r="D419" s="57" t="n"/>
      <c r="E419" s="57" t="n"/>
    </row>
    <row r="420" ht="15.75" customHeight="1" s="94">
      <c r="A420" s="57" t="n"/>
      <c r="B420" s="57" t="n"/>
      <c r="C420" s="57" t="n"/>
      <c r="D420" s="57" t="n"/>
      <c r="E420" s="57" t="n"/>
    </row>
    <row r="421" ht="15.75" customHeight="1" s="94">
      <c r="A421" s="57" t="n"/>
      <c r="B421" s="57" t="n"/>
      <c r="C421" s="57" t="n"/>
      <c r="D421" s="57" t="n"/>
      <c r="E421" s="57" t="n"/>
    </row>
    <row r="422" ht="15.75" customHeight="1" s="94">
      <c r="A422" s="57" t="n"/>
      <c r="B422" s="57" t="n"/>
      <c r="C422" s="57" t="n"/>
      <c r="D422" s="57" t="n"/>
      <c r="E422" s="57" t="n"/>
    </row>
    <row r="423" ht="15.75" customHeight="1" s="94">
      <c r="A423" s="57" t="n"/>
      <c r="B423" s="57" t="n"/>
      <c r="C423" s="57" t="n"/>
      <c r="D423" s="57" t="n"/>
      <c r="E423" s="57" t="n"/>
    </row>
    <row r="424" ht="15.75" customHeight="1" s="94">
      <c r="A424" s="57" t="n"/>
      <c r="B424" s="57" t="n"/>
      <c r="C424" s="57" t="n"/>
      <c r="D424" s="57" t="n"/>
      <c r="E424" s="57" t="n"/>
    </row>
    <row r="425" ht="15.75" customHeight="1" s="94">
      <c r="A425" s="57" t="n"/>
      <c r="B425" s="57" t="n"/>
      <c r="C425" s="57" t="n"/>
      <c r="D425" s="57" t="n"/>
      <c r="E425" s="57" t="n"/>
    </row>
    <row r="426" ht="15.75" customHeight="1" s="94">
      <c r="A426" s="57" t="n"/>
      <c r="B426" s="57" t="n"/>
      <c r="C426" s="57" t="n"/>
      <c r="D426" s="57" t="n"/>
      <c r="E426" s="57" t="n"/>
    </row>
    <row r="427" ht="15.75" customHeight="1" s="94">
      <c r="A427" s="57" t="n"/>
      <c r="B427" s="57" t="n"/>
      <c r="C427" s="57" t="n"/>
      <c r="D427" s="57" t="n"/>
      <c r="E427" s="57" t="n"/>
    </row>
    <row r="428" ht="15.75" customHeight="1" s="94">
      <c r="A428" s="57" t="n"/>
      <c r="B428" s="57" t="n"/>
      <c r="C428" s="57" t="n"/>
      <c r="D428" s="57" t="n"/>
      <c r="E428" s="57" t="n"/>
    </row>
    <row r="429" ht="15.75" customHeight="1" s="94">
      <c r="A429" s="57" t="n"/>
      <c r="B429" s="57" t="n"/>
      <c r="C429" s="57" t="n"/>
      <c r="D429" s="57" t="n"/>
      <c r="E429" s="57" t="n"/>
    </row>
    <row r="430" ht="15.75" customHeight="1" s="94">
      <c r="A430" s="57" t="n"/>
      <c r="B430" s="57" t="n"/>
      <c r="C430" s="57" t="n"/>
      <c r="D430" s="57" t="n"/>
      <c r="E430" s="57" t="n"/>
    </row>
    <row r="431" ht="15.75" customHeight="1" s="94">
      <c r="A431" s="57" t="n"/>
      <c r="B431" s="57" t="n"/>
      <c r="C431" s="57" t="n"/>
      <c r="D431" s="57" t="n"/>
      <c r="E431" s="57" t="n"/>
    </row>
    <row r="432" ht="15.75" customHeight="1" s="94">
      <c r="A432" s="57" t="n"/>
      <c r="B432" s="57" t="n"/>
      <c r="C432" s="57" t="n"/>
      <c r="D432" s="57" t="n"/>
      <c r="E432" s="57" t="n"/>
    </row>
    <row r="433" ht="15.75" customHeight="1" s="94">
      <c r="A433" s="57" t="n"/>
      <c r="B433" s="57" t="n"/>
      <c r="C433" s="57" t="n"/>
      <c r="D433" s="57" t="n"/>
      <c r="E433" s="57" t="n"/>
    </row>
    <row r="434" ht="15.75" customHeight="1" s="94">
      <c r="A434" s="57" t="n"/>
      <c r="B434" s="57" t="n"/>
      <c r="C434" s="57" t="n"/>
      <c r="D434" s="57" t="n"/>
      <c r="E434" s="57" t="n"/>
    </row>
    <row r="435" ht="15.75" customHeight="1" s="94">
      <c r="A435" s="57" t="n"/>
      <c r="B435" s="57" t="n"/>
      <c r="C435" s="57" t="n"/>
      <c r="D435" s="57" t="n"/>
      <c r="E435" s="57" t="n"/>
    </row>
    <row r="436" ht="15.75" customHeight="1" s="94">
      <c r="A436" s="57" t="n"/>
      <c r="B436" s="57" t="n"/>
      <c r="C436" s="57" t="n"/>
      <c r="D436" s="57" t="n"/>
      <c r="E436" s="57" t="n"/>
    </row>
    <row r="437" ht="15.75" customHeight="1" s="94">
      <c r="A437" s="57" t="n"/>
      <c r="B437" s="57" t="n"/>
      <c r="C437" s="57" t="n"/>
      <c r="D437" s="57" t="n"/>
      <c r="E437" s="57" t="n"/>
    </row>
    <row r="438" ht="15.75" customHeight="1" s="94">
      <c r="A438" s="57" t="n"/>
      <c r="B438" s="57" t="n"/>
      <c r="C438" s="57" t="n"/>
      <c r="D438" s="57" t="n"/>
      <c r="E438" s="57" t="n"/>
    </row>
    <row r="439" ht="15.75" customHeight="1" s="94">
      <c r="A439" s="57" t="n"/>
      <c r="B439" s="57" t="n"/>
      <c r="C439" s="57" t="n"/>
      <c r="D439" s="57" t="n"/>
      <c r="E439" s="57" t="n"/>
    </row>
    <row r="440" ht="15.75" customHeight="1" s="94">
      <c r="A440" s="57" t="n"/>
      <c r="B440" s="57" t="n"/>
      <c r="C440" s="57" t="n"/>
      <c r="D440" s="57" t="n"/>
      <c r="E440" s="57" t="n"/>
    </row>
    <row r="441" ht="15.75" customHeight="1" s="94">
      <c r="A441" s="57" t="n"/>
      <c r="B441" s="57" t="n"/>
      <c r="C441" s="57" t="n"/>
      <c r="D441" s="57" t="n"/>
      <c r="E441" s="57" t="n"/>
    </row>
    <row r="442" ht="15.75" customHeight="1" s="94">
      <c r="A442" s="57" t="n"/>
      <c r="B442" s="57" t="n"/>
      <c r="C442" s="57" t="n"/>
      <c r="D442" s="57" t="n"/>
      <c r="E442" s="57" t="n"/>
    </row>
    <row r="443" ht="15.75" customHeight="1" s="94">
      <c r="A443" s="57" t="n"/>
      <c r="B443" s="57" t="n"/>
      <c r="C443" s="57" t="n"/>
      <c r="D443" s="57" t="n"/>
      <c r="E443" s="57" t="n"/>
    </row>
    <row r="444" ht="15.75" customHeight="1" s="94">
      <c r="A444" s="57" t="n"/>
      <c r="B444" s="57" t="n"/>
      <c r="C444" s="57" t="n"/>
      <c r="D444" s="57" t="n"/>
      <c r="E444" s="57" t="n"/>
    </row>
    <row r="445" ht="15.75" customHeight="1" s="94">
      <c r="A445" s="57" t="n"/>
      <c r="B445" s="57" t="n"/>
      <c r="C445" s="57" t="n"/>
      <c r="D445" s="57" t="n"/>
      <c r="E445" s="57" t="n"/>
    </row>
    <row r="446" ht="15.75" customHeight="1" s="94">
      <c r="A446" s="57" t="n"/>
      <c r="B446" s="57" t="n"/>
      <c r="C446" s="57" t="n"/>
      <c r="D446" s="57" t="n"/>
      <c r="E446" s="57" t="n"/>
    </row>
    <row r="447" ht="15.75" customHeight="1" s="94">
      <c r="A447" s="57" t="n"/>
      <c r="B447" s="57" t="n"/>
      <c r="C447" s="57" t="n"/>
      <c r="D447" s="57" t="n"/>
      <c r="E447" s="57" t="n"/>
    </row>
    <row r="448" ht="15.75" customHeight="1" s="94">
      <c r="A448" s="57" t="n"/>
      <c r="B448" s="57" t="n"/>
      <c r="C448" s="57" t="n"/>
      <c r="D448" s="57" t="n"/>
      <c r="E448" s="57" t="n"/>
    </row>
    <row r="449" ht="15.75" customHeight="1" s="94">
      <c r="A449" s="57" t="n"/>
      <c r="B449" s="57" t="n"/>
      <c r="C449" s="57" t="n"/>
      <c r="D449" s="57" t="n"/>
      <c r="E449" s="57" t="n"/>
    </row>
    <row r="450" ht="15.75" customHeight="1" s="94">
      <c r="A450" s="57" t="n"/>
      <c r="B450" s="57" t="n"/>
      <c r="C450" s="57" t="n"/>
      <c r="D450" s="57" t="n"/>
      <c r="E450" s="57" t="n"/>
    </row>
    <row r="451" ht="15.75" customHeight="1" s="94">
      <c r="A451" s="57" t="n"/>
      <c r="B451" s="57" t="n"/>
      <c r="C451" s="57" t="n"/>
      <c r="D451" s="57" t="n"/>
      <c r="E451" s="57" t="n"/>
    </row>
    <row r="452" ht="15.75" customHeight="1" s="94">
      <c r="A452" s="57" t="n"/>
      <c r="B452" s="57" t="n"/>
      <c r="C452" s="57" t="n"/>
      <c r="D452" s="57" t="n"/>
      <c r="E452" s="57" t="n"/>
    </row>
    <row r="453" ht="15.75" customHeight="1" s="94">
      <c r="A453" s="57" t="n"/>
      <c r="B453" s="57" t="n"/>
      <c r="C453" s="57" t="n"/>
      <c r="D453" s="57" t="n"/>
      <c r="E453" s="57" t="n"/>
    </row>
    <row r="454" ht="15.75" customHeight="1" s="94">
      <c r="A454" s="57" t="n"/>
      <c r="B454" s="57" t="n"/>
      <c r="C454" s="57" t="n"/>
      <c r="D454" s="57" t="n"/>
      <c r="E454" s="57" t="n"/>
    </row>
    <row r="455" ht="15.75" customHeight="1" s="94">
      <c r="A455" s="57" t="n"/>
      <c r="B455" s="57" t="n"/>
      <c r="C455" s="57" t="n"/>
      <c r="D455" s="57" t="n"/>
      <c r="E455" s="57" t="n"/>
    </row>
    <row r="456" ht="15.75" customHeight="1" s="94">
      <c r="A456" s="57" t="n"/>
      <c r="B456" s="57" t="n"/>
      <c r="C456" s="57" t="n"/>
      <c r="D456" s="57" t="n"/>
      <c r="E456" s="57" t="n"/>
    </row>
    <row r="457" ht="15.75" customHeight="1" s="94">
      <c r="A457" s="57" t="n"/>
      <c r="B457" s="57" t="n"/>
      <c r="C457" s="57" t="n"/>
      <c r="D457" s="57" t="n"/>
      <c r="E457" s="57" t="n"/>
    </row>
    <row r="458" ht="15.75" customHeight="1" s="94">
      <c r="A458" s="57" t="n"/>
      <c r="B458" s="57" t="n"/>
      <c r="C458" s="57" t="n"/>
      <c r="D458" s="57" t="n"/>
      <c r="E458" s="57" t="n"/>
    </row>
    <row r="459" ht="15.75" customHeight="1" s="94">
      <c r="A459" s="57" t="n"/>
      <c r="B459" s="57" t="n"/>
      <c r="C459" s="57" t="n"/>
      <c r="D459" s="57" t="n"/>
      <c r="E459" s="57" t="n"/>
    </row>
    <row r="460" ht="15.75" customHeight="1" s="94">
      <c r="A460" s="57" t="n"/>
      <c r="B460" s="57" t="n"/>
      <c r="C460" s="57" t="n"/>
      <c r="D460" s="57" t="n"/>
      <c r="E460" s="57" t="n"/>
    </row>
    <row r="461" ht="15.75" customHeight="1" s="94">
      <c r="A461" s="57" t="n"/>
      <c r="B461" s="57" t="n"/>
      <c r="C461" s="57" t="n"/>
      <c r="D461" s="57" t="n"/>
      <c r="E461" s="57" t="n"/>
    </row>
    <row r="462" ht="15.75" customHeight="1" s="94">
      <c r="A462" s="57" t="n"/>
      <c r="B462" s="57" t="n"/>
      <c r="C462" s="57" t="n"/>
      <c r="D462" s="57" t="n"/>
      <c r="E462" s="57" t="n"/>
    </row>
    <row r="463" ht="15.75" customHeight="1" s="94">
      <c r="A463" s="57" t="n"/>
      <c r="B463" s="57" t="n"/>
      <c r="C463" s="57" t="n"/>
      <c r="D463" s="57" t="n"/>
      <c r="E463" s="57" t="n"/>
    </row>
    <row r="464" ht="15.75" customHeight="1" s="94">
      <c r="A464" s="57" t="n"/>
      <c r="B464" s="57" t="n"/>
      <c r="C464" s="57" t="n"/>
      <c r="D464" s="57" t="n"/>
      <c r="E464" s="57" t="n"/>
    </row>
    <row r="465" ht="15.75" customHeight="1" s="94">
      <c r="A465" s="57" t="n"/>
      <c r="B465" s="57" t="n"/>
      <c r="C465" s="57" t="n"/>
      <c r="D465" s="57" t="n"/>
      <c r="E465" s="57" t="n"/>
    </row>
    <row r="466" ht="15.75" customHeight="1" s="94">
      <c r="A466" s="57" t="n"/>
      <c r="B466" s="57" t="n"/>
      <c r="C466" s="57" t="n"/>
      <c r="D466" s="57" t="n"/>
      <c r="E466" s="57" t="n"/>
    </row>
    <row r="467" ht="15.75" customHeight="1" s="94">
      <c r="A467" s="57" t="n"/>
      <c r="B467" s="57" t="n"/>
      <c r="C467" s="57" t="n"/>
      <c r="D467" s="57" t="n"/>
      <c r="E467" s="57" t="n"/>
    </row>
    <row r="468" ht="15.75" customHeight="1" s="94">
      <c r="A468" s="57" t="n"/>
      <c r="B468" s="57" t="n"/>
      <c r="C468" s="57" t="n"/>
      <c r="D468" s="57" t="n"/>
      <c r="E468" s="57" t="n"/>
    </row>
    <row r="469" ht="15.75" customHeight="1" s="94">
      <c r="A469" s="57" t="n"/>
      <c r="B469" s="57" t="n"/>
      <c r="C469" s="57" t="n"/>
      <c r="D469" s="57" t="n"/>
      <c r="E469" s="57" t="n"/>
    </row>
    <row r="470" ht="15.75" customHeight="1" s="94">
      <c r="A470" s="57" t="n"/>
      <c r="B470" s="57" t="n"/>
      <c r="C470" s="57" t="n"/>
      <c r="D470" s="57" t="n"/>
      <c r="E470" s="57" t="n"/>
    </row>
    <row r="471" ht="15.75" customHeight="1" s="94">
      <c r="A471" s="57" t="n"/>
      <c r="B471" s="57" t="n"/>
      <c r="C471" s="57" t="n"/>
      <c r="D471" s="57" t="n"/>
      <c r="E471" s="57" t="n"/>
    </row>
    <row r="472" ht="15.75" customHeight="1" s="94">
      <c r="A472" s="57" t="n"/>
      <c r="B472" s="57" t="n"/>
      <c r="C472" s="57" t="n"/>
      <c r="D472" s="57" t="n"/>
      <c r="E472" s="57" t="n"/>
    </row>
    <row r="473" ht="15.75" customHeight="1" s="94">
      <c r="A473" s="57" t="n"/>
      <c r="B473" s="57" t="n"/>
      <c r="C473" s="57" t="n"/>
      <c r="D473" s="57" t="n"/>
      <c r="E473" s="57" t="n"/>
    </row>
    <row r="474" ht="15.75" customHeight="1" s="94">
      <c r="A474" s="57" t="n"/>
      <c r="B474" s="57" t="n"/>
      <c r="C474" s="57" t="n"/>
      <c r="D474" s="57" t="n"/>
      <c r="E474" s="57" t="n"/>
    </row>
    <row r="475" ht="15.75" customHeight="1" s="94">
      <c r="A475" s="57" t="n"/>
      <c r="B475" s="57" t="n"/>
      <c r="C475" s="57" t="n"/>
      <c r="D475" s="57" t="n"/>
      <c r="E475" s="57" t="n"/>
    </row>
    <row r="476" ht="15.75" customHeight="1" s="94">
      <c r="A476" s="57" t="n"/>
      <c r="B476" s="57" t="n"/>
      <c r="C476" s="57" t="n"/>
      <c r="D476" s="57" t="n"/>
      <c r="E476" s="57" t="n"/>
    </row>
    <row r="477" ht="15.75" customHeight="1" s="94">
      <c r="A477" s="57" t="n"/>
      <c r="B477" s="57" t="n"/>
      <c r="C477" s="57" t="n"/>
      <c r="D477" s="57" t="n"/>
      <c r="E477" s="57" t="n"/>
    </row>
    <row r="478" ht="15.75" customHeight="1" s="94">
      <c r="A478" s="57" t="n"/>
      <c r="B478" s="57" t="n"/>
      <c r="C478" s="57" t="n"/>
      <c r="D478" s="57" t="n"/>
      <c r="E478" s="57" t="n"/>
    </row>
    <row r="479" ht="15.75" customHeight="1" s="94">
      <c r="A479" s="57" t="n"/>
      <c r="B479" s="57" t="n"/>
      <c r="C479" s="57" t="n"/>
      <c r="D479" s="57" t="n"/>
      <c r="E479" s="57" t="n"/>
    </row>
    <row r="480" ht="15.75" customHeight="1" s="94">
      <c r="A480" s="57" t="n"/>
      <c r="B480" s="57" t="n"/>
      <c r="C480" s="57" t="n"/>
      <c r="D480" s="57" t="n"/>
      <c r="E480" s="57" t="n"/>
    </row>
    <row r="481" ht="15.75" customHeight="1" s="94">
      <c r="A481" s="57" t="n"/>
      <c r="B481" s="57" t="n"/>
      <c r="C481" s="57" t="n"/>
      <c r="D481" s="57" t="n"/>
      <c r="E481" s="57" t="n"/>
    </row>
    <row r="482" ht="15.75" customHeight="1" s="94">
      <c r="A482" s="57" t="n"/>
      <c r="B482" s="57" t="n"/>
      <c r="C482" s="57" t="n"/>
      <c r="D482" s="57" t="n"/>
      <c r="E482" s="57" t="n"/>
    </row>
    <row r="483" ht="15.75" customHeight="1" s="94">
      <c r="A483" s="57" t="n"/>
      <c r="B483" s="57" t="n"/>
      <c r="C483" s="57" t="n"/>
      <c r="D483" s="57" t="n"/>
      <c r="E483" s="57" t="n"/>
    </row>
    <row r="484" ht="15.75" customHeight="1" s="94">
      <c r="A484" s="57" t="n"/>
      <c r="B484" s="57" t="n"/>
      <c r="C484" s="57" t="n"/>
      <c r="D484" s="57" t="n"/>
      <c r="E484" s="57" t="n"/>
    </row>
    <row r="485" ht="15.75" customHeight="1" s="94">
      <c r="A485" s="57" t="n"/>
      <c r="B485" s="57" t="n"/>
      <c r="C485" s="57" t="n"/>
      <c r="D485" s="57" t="n"/>
      <c r="E485" s="57" t="n"/>
    </row>
    <row r="486" ht="15.75" customHeight="1" s="94">
      <c r="A486" s="57" t="n"/>
      <c r="B486" s="57" t="n"/>
      <c r="C486" s="57" t="n"/>
      <c r="D486" s="57" t="n"/>
      <c r="E486" s="57" t="n"/>
    </row>
    <row r="487" ht="15.75" customHeight="1" s="94">
      <c r="A487" s="57" t="n"/>
      <c r="B487" s="57" t="n"/>
      <c r="C487" s="57" t="n"/>
      <c r="D487" s="57" t="n"/>
      <c r="E487" s="57" t="n"/>
    </row>
    <row r="488" ht="15.75" customHeight="1" s="94">
      <c r="A488" s="57" t="n"/>
      <c r="B488" s="57" t="n"/>
      <c r="C488" s="57" t="n"/>
      <c r="D488" s="57" t="n"/>
      <c r="E488" s="57" t="n"/>
    </row>
    <row r="489" ht="15.75" customHeight="1" s="94">
      <c r="A489" s="57" t="n"/>
      <c r="B489" s="57" t="n"/>
      <c r="C489" s="57" t="n"/>
      <c r="D489" s="57" t="n"/>
      <c r="E489" s="57" t="n"/>
    </row>
    <row r="490" ht="15.75" customHeight="1" s="94">
      <c r="A490" s="57" t="n"/>
      <c r="B490" s="57" t="n"/>
      <c r="C490" s="57" t="n"/>
      <c r="D490" s="57" t="n"/>
      <c r="E490" s="57" t="n"/>
    </row>
    <row r="491" ht="15.75" customHeight="1" s="94">
      <c r="A491" s="57" t="n"/>
      <c r="B491" s="57" t="n"/>
      <c r="C491" s="57" t="n"/>
      <c r="D491" s="57" t="n"/>
      <c r="E491" s="57" t="n"/>
    </row>
    <row r="492" ht="15.75" customHeight="1" s="94">
      <c r="A492" s="57" t="n"/>
      <c r="B492" s="57" t="n"/>
      <c r="C492" s="57" t="n"/>
      <c r="D492" s="57" t="n"/>
      <c r="E492" s="57" t="n"/>
    </row>
    <row r="493" ht="15.75" customHeight="1" s="94">
      <c r="A493" s="57" t="n"/>
      <c r="B493" s="57" t="n"/>
      <c r="C493" s="57" t="n"/>
      <c r="D493" s="57" t="n"/>
      <c r="E493" s="57" t="n"/>
    </row>
    <row r="494" ht="15.75" customHeight="1" s="94">
      <c r="A494" s="57" t="n"/>
      <c r="B494" s="57" t="n"/>
      <c r="C494" s="57" t="n"/>
      <c r="D494" s="57" t="n"/>
      <c r="E494" s="57" t="n"/>
    </row>
    <row r="495" ht="15.75" customHeight="1" s="94">
      <c r="A495" s="57" t="n"/>
      <c r="B495" s="57" t="n"/>
      <c r="C495" s="57" t="n"/>
      <c r="D495" s="57" t="n"/>
      <c r="E495" s="57" t="n"/>
    </row>
    <row r="496" ht="15.75" customHeight="1" s="94">
      <c r="A496" s="57" t="n"/>
      <c r="B496" s="57" t="n"/>
      <c r="C496" s="57" t="n"/>
      <c r="D496" s="57" t="n"/>
      <c r="E496" s="57" t="n"/>
    </row>
    <row r="497" ht="15.75" customHeight="1" s="94">
      <c r="A497" s="57" t="n"/>
      <c r="B497" s="57" t="n"/>
      <c r="C497" s="57" t="n"/>
      <c r="D497" s="57" t="n"/>
      <c r="E497" s="57" t="n"/>
    </row>
    <row r="498" ht="15.75" customHeight="1" s="94">
      <c r="A498" s="57" t="n"/>
      <c r="B498" s="57" t="n"/>
      <c r="C498" s="57" t="n"/>
      <c r="D498" s="57" t="n"/>
      <c r="E498" s="57" t="n"/>
    </row>
    <row r="499" ht="15.75" customHeight="1" s="94">
      <c r="A499" s="57" t="n"/>
      <c r="B499" s="57" t="n"/>
      <c r="C499" s="57" t="n"/>
      <c r="D499" s="57" t="n"/>
      <c r="E499" s="57" t="n"/>
    </row>
    <row r="500" ht="15.75" customHeight="1" s="94">
      <c r="A500" s="57" t="n"/>
      <c r="B500" s="57" t="n"/>
      <c r="C500" s="57" t="n"/>
      <c r="D500" s="57" t="n"/>
      <c r="E500" s="57" t="n"/>
    </row>
    <row r="501" ht="15.75" customHeight="1" s="94">
      <c r="A501" s="57" t="n"/>
      <c r="B501" s="57" t="n"/>
      <c r="C501" s="57" t="n"/>
      <c r="D501" s="57" t="n"/>
      <c r="E501" s="57" t="n"/>
    </row>
    <row r="502" ht="15.75" customHeight="1" s="94">
      <c r="A502" s="57" t="n"/>
      <c r="B502" s="57" t="n"/>
      <c r="C502" s="57" t="n"/>
      <c r="D502" s="57" t="n"/>
      <c r="E502" s="57" t="n"/>
    </row>
    <row r="503" ht="15.75" customHeight="1" s="94">
      <c r="A503" s="57" t="n"/>
      <c r="B503" s="57" t="n"/>
      <c r="C503" s="57" t="n"/>
      <c r="D503" s="57" t="n"/>
      <c r="E503" s="57" t="n"/>
    </row>
    <row r="504" ht="15.75" customHeight="1" s="94">
      <c r="A504" s="57" t="n"/>
      <c r="B504" s="57" t="n"/>
      <c r="C504" s="57" t="n"/>
      <c r="D504" s="57" t="n"/>
      <c r="E504" s="57" t="n"/>
    </row>
    <row r="505" ht="15.75" customHeight="1" s="94">
      <c r="A505" s="57" t="n"/>
      <c r="B505" s="57" t="n"/>
      <c r="C505" s="57" t="n"/>
      <c r="D505" s="57" t="n"/>
      <c r="E505" s="57" t="n"/>
    </row>
    <row r="506" ht="15.75" customHeight="1" s="94">
      <c r="A506" s="57" t="n"/>
      <c r="B506" s="57" t="n"/>
      <c r="C506" s="57" t="n"/>
      <c r="D506" s="57" t="n"/>
      <c r="E506" s="57" t="n"/>
    </row>
    <row r="507" ht="15.75" customHeight="1" s="94">
      <c r="A507" s="57" t="n"/>
      <c r="B507" s="57" t="n"/>
      <c r="C507" s="57" t="n"/>
      <c r="D507" s="57" t="n"/>
      <c r="E507" s="57" t="n"/>
    </row>
    <row r="508" ht="15.75" customHeight="1" s="94">
      <c r="A508" s="57" t="n"/>
      <c r="B508" s="57" t="n"/>
      <c r="C508" s="57" t="n"/>
      <c r="D508" s="57" t="n"/>
      <c r="E508" s="57" t="n"/>
    </row>
    <row r="509" ht="15.75" customHeight="1" s="94">
      <c r="A509" s="57" t="n"/>
      <c r="B509" s="57" t="n"/>
      <c r="C509" s="57" t="n"/>
      <c r="D509" s="57" t="n"/>
      <c r="E509" s="57" t="n"/>
    </row>
    <row r="510" ht="15.75" customHeight="1" s="94">
      <c r="A510" s="57" t="n"/>
      <c r="B510" s="57" t="n"/>
      <c r="C510" s="57" t="n"/>
      <c r="D510" s="57" t="n"/>
      <c r="E510" s="57" t="n"/>
    </row>
    <row r="511" ht="15.75" customHeight="1" s="94">
      <c r="A511" s="57" t="n"/>
      <c r="B511" s="57" t="n"/>
      <c r="C511" s="57" t="n"/>
      <c r="D511" s="57" t="n"/>
      <c r="E511" s="57" t="n"/>
    </row>
    <row r="512" ht="15.75" customHeight="1" s="94">
      <c r="A512" s="57" t="n"/>
      <c r="B512" s="57" t="n"/>
      <c r="C512" s="57" t="n"/>
      <c r="D512" s="57" t="n"/>
      <c r="E512" s="57" t="n"/>
    </row>
    <row r="513" ht="15.75" customHeight="1" s="94">
      <c r="A513" s="57" t="n"/>
      <c r="B513" s="57" t="n"/>
      <c r="C513" s="57" t="n"/>
      <c r="D513" s="57" t="n"/>
      <c r="E513" s="57" t="n"/>
    </row>
    <row r="514" ht="15.75" customHeight="1" s="94">
      <c r="A514" s="57" t="n"/>
      <c r="B514" s="57" t="n"/>
      <c r="C514" s="57" t="n"/>
      <c r="D514" s="57" t="n"/>
      <c r="E514" s="57" t="n"/>
    </row>
    <row r="515" ht="15.75" customHeight="1" s="94">
      <c r="A515" s="57" t="n"/>
      <c r="B515" s="57" t="n"/>
      <c r="C515" s="57" t="n"/>
      <c r="D515" s="57" t="n"/>
      <c r="E515" s="57" t="n"/>
    </row>
    <row r="516" ht="15.75" customHeight="1" s="94">
      <c r="A516" s="57" t="n"/>
      <c r="B516" s="57" t="n"/>
      <c r="C516" s="57" t="n"/>
      <c r="D516" s="57" t="n"/>
      <c r="E516" s="57" t="n"/>
    </row>
    <row r="517" ht="15.75" customHeight="1" s="94">
      <c r="A517" s="57" t="n"/>
      <c r="B517" s="57" t="n"/>
      <c r="C517" s="57" t="n"/>
      <c r="D517" s="57" t="n"/>
      <c r="E517" s="57" t="n"/>
    </row>
    <row r="518" ht="15.75" customHeight="1" s="94">
      <c r="A518" s="57" t="n"/>
      <c r="B518" s="57" t="n"/>
      <c r="C518" s="57" t="n"/>
      <c r="D518" s="57" t="n"/>
      <c r="E518" s="57" t="n"/>
    </row>
    <row r="519" ht="15.75" customHeight="1" s="94">
      <c r="A519" s="57" t="n"/>
      <c r="B519" s="57" t="n"/>
      <c r="C519" s="57" t="n"/>
      <c r="D519" s="57" t="n"/>
      <c r="E519" s="57" t="n"/>
    </row>
    <row r="520" ht="15.75" customHeight="1" s="94">
      <c r="A520" s="57" t="n"/>
      <c r="B520" s="57" t="n"/>
      <c r="C520" s="57" t="n"/>
      <c r="D520" s="57" t="n"/>
      <c r="E520" s="57" t="n"/>
    </row>
    <row r="521" ht="15.75" customHeight="1" s="94">
      <c r="A521" s="57" t="n"/>
      <c r="B521" s="57" t="n"/>
      <c r="C521" s="57" t="n"/>
      <c r="D521" s="57" t="n"/>
      <c r="E521" s="57" t="n"/>
    </row>
    <row r="522" ht="15.75" customHeight="1" s="94">
      <c r="A522" s="57" t="n"/>
      <c r="B522" s="57" t="n"/>
      <c r="C522" s="57" t="n"/>
      <c r="D522" s="57" t="n"/>
      <c r="E522" s="57" t="n"/>
    </row>
    <row r="523" ht="15.75" customHeight="1" s="94">
      <c r="A523" s="57" t="n"/>
      <c r="B523" s="57" t="n"/>
      <c r="C523" s="57" t="n"/>
      <c r="D523" s="57" t="n"/>
      <c r="E523" s="57" t="n"/>
    </row>
    <row r="524" ht="15.75" customHeight="1" s="94">
      <c r="A524" s="57" t="n"/>
      <c r="B524" s="57" t="n"/>
      <c r="C524" s="57" t="n"/>
      <c r="D524" s="57" t="n"/>
      <c r="E524" s="57" t="n"/>
    </row>
    <row r="525" ht="15.75" customHeight="1" s="94">
      <c r="A525" s="57" t="n"/>
      <c r="B525" s="57" t="n"/>
      <c r="C525" s="57" t="n"/>
      <c r="D525" s="57" t="n"/>
      <c r="E525" s="57" t="n"/>
    </row>
    <row r="526" ht="15.75" customHeight="1" s="94">
      <c r="A526" s="57" t="n"/>
      <c r="B526" s="57" t="n"/>
      <c r="C526" s="57" t="n"/>
      <c r="D526" s="57" t="n"/>
      <c r="E526" s="57" t="n"/>
    </row>
    <row r="527" ht="15.75" customHeight="1" s="94">
      <c r="A527" s="57" t="n"/>
      <c r="B527" s="57" t="n"/>
      <c r="C527" s="57" t="n"/>
      <c r="D527" s="57" t="n"/>
      <c r="E527" s="57" t="n"/>
    </row>
    <row r="528" ht="15.75" customHeight="1" s="94">
      <c r="A528" s="57" t="n"/>
      <c r="B528" s="57" t="n"/>
      <c r="C528" s="57" t="n"/>
      <c r="D528" s="57" t="n"/>
      <c r="E528" s="57" t="n"/>
    </row>
    <row r="529" ht="15.75" customHeight="1" s="94">
      <c r="A529" s="57" t="n"/>
      <c r="B529" s="57" t="n"/>
      <c r="C529" s="57" t="n"/>
      <c r="D529" s="57" t="n"/>
      <c r="E529" s="57" t="n"/>
    </row>
    <row r="530" ht="15.75" customHeight="1" s="94">
      <c r="A530" s="57" t="n"/>
      <c r="B530" s="57" t="n"/>
      <c r="C530" s="57" t="n"/>
      <c r="D530" s="57" t="n"/>
      <c r="E530" s="57" t="n"/>
    </row>
    <row r="531" ht="15.75" customHeight="1" s="94">
      <c r="A531" s="57" t="n"/>
      <c r="B531" s="57" t="n"/>
      <c r="C531" s="57" t="n"/>
      <c r="D531" s="57" t="n"/>
      <c r="E531" s="57" t="n"/>
    </row>
    <row r="532" ht="15.75" customHeight="1" s="94">
      <c r="A532" s="57" t="n"/>
      <c r="B532" s="57" t="n"/>
      <c r="C532" s="57" t="n"/>
      <c r="D532" s="57" t="n"/>
      <c r="E532" s="57" t="n"/>
    </row>
    <row r="533" ht="15.75" customHeight="1" s="94">
      <c r="A533" s="57" t="n"/>
      <c r="B533" s="57" t="n"/>
      <c r="C533" s="57" t="n"/>
      <c r="D533" s="57" t="n"/>
      <c r="E533" s="57" t="n"/>
    </row>
    <row r="534" ht="15.75" customHeight="1" s="94">
      <c r="A534" s="57" t="n"/>
      <c r="B534" s="57" t="n"/>
      <c r="C534" s="57" t="n"/>
      <c r="D534" s="57" t="n"/>
      <c r="E534" s="57" t="n"/>
    </row>
    <row r="535" ht="15.75" customHeight="1" s="94">
      <c r="A535" s="57" t="n"/>
      <c r="B535" s="57" t="n"/>
      <c r="C535" s="57" t="n"/>
      <c r="D535" s="57" t="n"/>
      <c r="E535" s="57" t="n"/>
    </row>
    <row r="536" ht="15.75" customHeight="1" s="94">
      <c r="A536" s="57" t="n"/>
      <c r="B536" s="57" t="n"/>
      <c r="C536" s="57" t="n"/>
      <c r="D536" s="57" t="n"/>
      <c r="E536" s="57" t="n"/>
    </row>
    <row r="537" ht="15.75" customHeight="1" s="94">
      <c r="A537" s="57" t="n"/>
      <c r="B537" s="57" t="n"/>
      <c r="C537" s="57" t="n"/>
      <c r="D537" s="57" t="n"/>
      <c r="E537" s="57" t="n"/>
    </row>
    <row r="538" ht="15.75" customHeight="1" s="94">
      <c r="A538" s="57" t="n"/>
      <c r="B538" s="57" t="n"/>
      <c r="C538" s="57" t="n"/>
      <c r="D538" s="57" t="n"/>
      <c r="E538" s="57" t="n"/>
    </row>
    <row r="539" ht="15.75" customHeight="1" s="94">
      <c r="A539" s="57" t="n"/>
      <c r="B539" s="57" t="n"/>
      <c r="C539" s="57" t="n"/>
      <c r="D539" s="57" t="n"/>
      <c r="E539" s="57" t="n"/>
    </row>
    <row r="540" ht="15.75" customHeight="1" s="94">
      <c r="A540" s="57" t="n"/>
      <c r="B540" s="57" t="n"/>
      <c r="C540" s="57" t="n"/>
      <c r="D540" s="57" t="n"/>
      <c r="E540" s="57" t="n"/>
    </row>
    <row r="541" ht="15.75" customHeight="1" s="94">
      <c r="A541" s="57" t="n"/>
      <c r="B541" s="57" t="n"/>
      <c r="C541" s="57" t="n"/>
      <c r="D541" s="57" t="n"/>
      <c r="E541" s="57" t="n"/>
    </row>
    <row r="542" ht="15.75" customHeight="1" s="94">
      <c r="A542" s="57" t="n"/>
      <c r="B542" s="57" t="n"/>
      <c r="C542" s="57" t="n"/>
      <c r="D542" s="57" t="n"/>
      <c r="E542" s="57" t="n"/>
    </row>
    <row r="543" ht="15.75" customHeight="1" s="94">
      <c r="A543" s="57" t="n"/>
      <c r="B543" s="57" t="n"/>
      <c r="C543" s="57" t="n"/>
      <c r="D543" s="57" t="n"/>
      <c r="E543" s="57" t="n"/>
    </row>
    <row r="544" ht="15.75" customHeight="1" s="94">
      <c r="A544" s="57" t="n"/>
      <c r="B544" s="57" t="n"/>
      <c r="C544" s="57" t="n"/>
      <c r="D544" s="57" t="n"/>
      <c r="E544" s="57" t="n"/>
    </row>
    <row r="545" ht="15.75" customHeight="1" s="94">
      <c r="A545" s="57" t="n"/>
      <c r="B545" s="57" t="n"/>
      <c r="C545" s="57" t="n"/>
      <c r="D545" s="57" t="n"/>
      <c r="E545" s="57" t="n"/>
    </row>
    <row r="546" ht="15.75" customHeight="1" s="94">
      <c r="A546" s="57" t="n"/>
      <c r="B546" s="57" t="n"/>
      <c r="C546" s="57" t="n"/>
      <c r="D546" s="57" t="n"/>
      <c r="E546" s="57" t="n"/>
    </row>
    <row r="547" ht="15.75" customHeight="1" s="94">
      <c r="A547" s="57" t="n"/>
      <c r="B547" s="57" t="n"/>
      <c r="C547" s="57" t="n"/>
      <c r="D547" s="57" t="n"/>
      <c r="E547" s="57" t="n"/>
    </row>
    <row r="548" ht="15.75" customHeight="1" s="94">
      <c r="A548" s="57" t="n"/>
      <c r="B548" s="57" t="n"/>
      <c r="C548" s="57" t="n"/>
      <c r="D548" s="57" t="n"/>
      <c r="E548" s="57" t="n"/>
    </row>
    <row r="549" ht="15.75" customHeight="1" s="94">
      <c r="A549" s="57" t="n"/>
      <c r="B549" s="57" t="n"/>
      <c r="C549" s="57" t="n"/>
      <c r="D549" s="57" t="n"/>
      <c r="E549" s="57" t="n"/>
    </row>
    <row r="550" ht="15.75" customHeight="1" s="94">
      <c r="A550" s="57" t="n"/>
      <c r="B550" s="57" t="n"/>
      <c r="C550" s="57" t="n"/>
      <c r="D550" s="57" t="n"/>
      <c r="E550" s="57" t="n"/>
    </row>
    <row r="551" ht="15.75" customHeight="1" s="94">
      <c r="A551" s="57" t="n"/>
      <c r="B551" s="57" t="n"/>
      <c r="C551" s="57" t="n"/>
      <c r="D551" s="57" t="n"/>
      <c r="E551" s="57" t="n"/>
    </row>
    <row r="552" ht="15.75" customHeight="1" s="94">
      <c r="A552" s="57" t="n"/>
      <c r="B552" s="57" t="n"/>
      <c r="C552" s="57" t="n"/>
      <c r="D552" s="57" t="n"/>
      <c r="E552" s="57" t="n"/>
    </row>
    <row r="553" ht="15.75" customHeight="1" s="94">
      <c r="A553" s="57" t="n"/>
      <c r="B553" s="57" t="n"/>
      <c r="C553" s="57" t="n"/>
      <c r="D553" s="57" t="n"/>
      <c r="E553" s="57" t="n"/>
    </row>
    <row r="554" ht="15.75" customHeight="1" s="94">
      <c r="A554" s="57" t="n"/>
      <c r="B554" s="57" t="n"/>
      <c r="C554" s="57" t="n"/>
      <c r="D554" s="57" t="n"/>
      <c r="E554" s="57" t="n"/>
    </row>
    <row r="555" ht="15.75" customHeight="1" s="94">
      <c r="A555" s="57" t="n"/>
      <c r="B555" s="57" t="n"/>
      <c r="C555" s="57" t="n"/>
      <c r="D555" s="57" t="n"/>
      <c r="E555" s="57" t="n"/>
    </row>
    <row r="556" ht="15.75" customHeight="1" s="94">
      <c r="A556" s="57" t="n"/>
      <c r="B556" s="57" t="n"/>
      <c r="C556" s="57" t="n"/>
      <c r="D556" s="57" t="n"/>
      <c r="E556" s="57" t="n"/>
    </row>
    <row r="557" ht="15.75" customHeight="1" s="94">
      <c r="A557" s="57" t="n"/>
      <c r="B557" s="57" t="n"/>
      <c r="C557" s="57" t="n"/>
      <c r="D557" s="57" t="n"/>
      <c r="E557" s="57" t="n"/>
    </row>
    <row r="558" ht="15.75" customHeight="1" s="94">
      <c r="A558" s="57" t="n"/>
      <c r="B558" s="57" t="n"/>
      <c r="C558" s="57" t="n"/>
      <c r="D558" s="57" t="n"/>
      <c r="E558" s="57" t="n"/>
    </row>
    <row r="559" ht="15.75" customHeight="1" s="94">
      <c r="A559" s="57" t="n"/>
      <c r="B559" s="57" t="n"/>
      <c r="C559" s="57" t="n"/>
      <c r="D559" s="57" t="n"/>
      <c r="E559" s="57" t="n"/>
    </row>
    <row r="560" ht="15.75" customHeight="1" s="94">
      <c r="A560" s="57" t="n"/>
      <c r="B560" s="57" t="n"/>
      <c r="C560" s="57" t="n"/>
      <c r="D560" s="57" t="n"/>
      <c r="E560" s="57" t="n"/>
    </row>
    <row r="561" ht="15.75" customHeight="1" s="94">
      <c r="A561" s="57" t="n"/>
      <c r="B561" s="57" t="n"/>
      <c r="C561" s="57" t="n"/>
      <c r="D561" s="57" t="n"/>
      <c r="E561" s="57" t="n"/>
    </row>
    <row r="562" ht="15.75" customHeight="1" s="94">
      <c r="A562" s="57" t="n"/>
      <c r="B562" s="57" t="n"/>
      <c r="C562" s="57" t="n"/>
      <c r="D562" s="57" t="n"/>
      <c r="E562" s="57" t="n"/>
    </row>
    <row r="563" ht="15.75" customHeight="1" s="94">
      <c r="A563" s="57" t="n"/>
      <c r="B563" s="57" t="n"/>
      <c r="C563" s="57" t="n"/>
      <c r="D563" s="57" t="n"/>
      <c r="E563" s="57" t="n"/>
    </row>
    <row r="564" ht="15.75" customHeight="1" s="94">
      <c r="A564" s="57" t="n"/>
      <c r="B564" s="57" t="n"/>
      <c r="C564" s="57" t="n"/>
      <c r="D564" s="57" t="n"/>
      <c r="E564" s="57" t="n"/>
    </row>
    <row r="565" ht="15.75" customHeight="1" s="94">
      <c r="A565" s="57" t="n"/>
      <c r="B565" s="57" t="n"/>
      <c r="C565" s="57" t="n"/>
      <c r="D565" s="57" t="n"/>
      <c r="E565" s="57" t="n"/>
    </row>
    <row r="566" ht="15.75" customHeight="1" s="94">
      <c r="A566" s="57" t="n"/>
      <c r="B566" s="57" t="n"/>
      <c r="C566" s="57" t="n"/>
      <c r="D566" s="57" t="n"/>
      <c r="E566" s="57" t="n"/>
    </row>
    <row r="567" ht="15.75" customHeight="1" s="94">
      <c r="A567" s="57" t="n"/>
      <c r="B567" s="57" t="n"/>
      <c r="C567" s="57" t="n"/>
      <c r="D567" s="57" t="n"/>
      <c r="E567" s="57" t="n"/>
    </row>
    <row r="568" ht="15.75" customHeight="1" s="94">
      <c r="A568" s="57" t="n"/>
      <c r="B568" s="57" t="n"/>
      <c r="C568" s="57" t="n"/>
      <c r="D568" s="57" t="n"/>
      <c r="E568" s="57" t="n"/>
    </row>
    <row r="569" ht="15.75" customHeight="1" s="94">
      <c r="A569" s="57" t="n"/>
      <c r="B569" s="57" t="n"/>
      <c r="C569" s="57" t="n"/>
      <c r="D569" s="57" t="n"/>
      <c r="E569" s="57" t="n"/>
    </row>
    <row r="570" ht="15.75" customHeight="1" s="94">
      <c r="A570" s="57" t="n"/>
      <c r="B570" s="57" t="n"/>
      <c r="C570" s="57" t="n"/>
      <c r="D570" s="57" t="n"/>
      <c r="E570" s="57" t="n"/>
    </row>
    <row r="571" ht="15.75" customHeight="1" s="94">
      <c r="A571" s="57" t="n"/>
      <c r="B571" s="57" t="n"/>
      <c r="C571" s="57" t="n"/>
      <c r="D571" s="57" t="n"/>
      <c r="E571" s="57" t="n"/>
    </row>
    <row r="572" ht="15.75" customHeight="1" s="94">
      <c r="A572" s="57" t="n"/>
      <c r="B572" s="57" t="n"/>
      <c r="C572" s="57" t="n"/>
      <c r="D572" s="57" t="n"/>
      <c r="E572" s="57" t="n"/>
    </row>
    <row r="573" ht="15.75" customHeight="1" s="94">
      <c r="A573" s="57" t="n"/>
      <c r="B573" s="57" t="n"/>
      <c r="C573" s="57" t="n"/>
      <c r="D573" s="57" t="n"/>
      <c r="E573" s="57" t="n"/>
    </row>
    <row r="574" ht="15.75" customHeight="1" s="94">
      <c r="A574" s="57" t="n"/>
      <c r="B574" s="57" t="n"/>
      <c r="C574" s="57" t="n"/>
      <c r="D574" s="57" t="n"/>
      <c r="E574" s="57" t="n"/>
    </row>
    <row r="575" ht="15.75" customHeight="1" s="94">
      <c r="A575" s="57" t="n"/>
      <c r="B575" s="57" t="n"/>
      <c r="C575" s="57" t="n"/>
      <c r="D575" s="57" t="n"/>
      <c r="E575" s="57" t="n"/>
    </row>
    <row r="576" ht="15.75" customHeight="1" s="94">
      <c r="A576" s="57" t="n"/>
      <c r="B576" s="57" t="n"/>
      <c r="C576" s="57" t="n"/>
      <c r="D576" s="57" t="n"/>
      <c r="E576" s="57" t="n"/>
    </row>
    <row r="577" ht="15.75" customHeight="1" s="94">
      <c r="A577" s="57" t="n"/>
      <c r="B577" s="57" t="n"/>
      <c r="C577" s="57" t="n"/>
      <c r="D577" s="57" t="n"/>
      <c r="E577" s="57" t="n"/>
    </row>
    <row r="578" ht="15.75" customHeight="1" s="94">
      <c r="A578" s="57" t="n"/>
      <c r="B578" s="57" t="n"/>
      <c r="C578" s="57" t="n"/>
      <c r="D578" s="57" t="n"/>
      <c r="E578" s="57" t="n"/>
    </row>
    <row r="579" ht="15.75" customHeight="1" s="94">
      <c r="A579" s="57" t="n"/>
      <c r="B579" s="57" t="n"/>
      <c r="C579" s="57" t="n"/>
      <c r="D579" s="57" t="n"/>
      <c r="E579" s="57" t="n"/>
    </row>
    <row r="580" ht="15.75" customHeight="1" s="94">
      <c r="A580" s="57" t="n"/>
      <c r="B580" s="57" t="n"/>
      <c r="C580" s="57" t="n"/>
      <c r="D580" s="57" t="n"/>
      <c r="E580" s="57" t="n"/>
    </row>
    <row r="581" ht="15.75" customHeight="1" s="94">
      <c r="A581" s="57" t="n"/>
      <c r="B581" s="57" t="n"/>
      <c r="C581" s="57" t="n"/>
      <c r="D581" s="57" t="n"/>
      <c r="E581" s="57" t="n"/>
    </row>
    <row r="582" ht="15.75" customHeight="1" s="94">
      <c r="A582" s="57" t="n"/>
      <c r="B582" s="57" t="n"/>
      <c r="C582" s="57" t="n"/>
      <c r="D582" s="57" t="n"/>
      <c r="E582" s="57" t="n"/>
    </row>
    <row r="583" ht="15.75" customHeight="1" s="94">
      <c r="A583" s="57" t="n"/>
      <c r="B583" s="57" t="n"/>
      <c r="C583" s="57" t="n"/>
      <c r="D583" s="57" t="n"/>
      <c r="E583" s="57" t="n"/>
    </row>
    <row r="584" ht="15.75" customHeight="1" s="94">
      <c r="A584" s="57" t="n"/>
      <c r="B584" s="57" t="n"/>
      <c r="C584" s="57" t="n"/>
      <c r="D584" s="57" t="n"/>
      <c r="E584" s="57" t="n"/>
    </row>
    <row r="585" ht="15.75" customHeight="1" s="94">
      <c r="A585" s="57" t="n"/>
      <c r="B585" s="57" t="n"/>
      <c r="C585" s="57" t="n"/>
      <c r="D585" s="57" t="n"/>
      <c r="E585" s="57" t="n"/>
    </row>
    <row r="586" ht="15.75" customHeight="1" s="94">
      <c r="A586" s="57" t="n"/>
      <c r="B586" s="57" t="n"/>
      <c r="C586" s="57" t="n"/>
      <c r="D586" s="57" t="n"/>
      <c r="E586" s="57" t="n"/>
    </row>
    <row r="587" ht="15.75" customHeight="1" s="94">
      <c r="A587" s="57" t="n"/>
      <c r="B587" s="57" t="n"/>
      <c r="C587" s="57" t="n"/>
      <c r="D587" s="57" t="n"/>
      <c r="E587" s="57" t="n"/>
    </row>
    <row r="588" ht="15.75" customHeight="1" s="94">
      <c r="A588" s="57" t="n"/>
      <c r="B588" s="57" t="n"/>
      <c r="C588" s="57" t="n"/>
      <c r="D588" s="57" t="n"/>
      <c r="E588" s="57" t="n"/>
    </row>
    <row r="589" ht="15.75" customHeight="1" s="94">
      <c r="A589" s="57" t="n"/>
      <c r="B589" s="57" t="n"/>
      <c r="C589" s="57" t="n"/>
      <c r="D589" s="57" t="n"/>
      <c r="E589" s="57" t="n"/>
    </row>
    <row r="590" ht="15.75" customHeight="1" s="94">
      <c r="A590" s="57" t="n"/>
      <c r="B590" s="57" t="n"/>
      <c r="C590" s="57" t="n"/>
      <c r="D590" s="57" t="n"/>
      <c r="E590" s="57" t="n"/>
    </row>
    <row r="591" ht="15.75" customHeight="1" s="94">
      <c r="A591" s="57" t="n"/>
      <c r="B591" s="57" t="n"/>
      <c r="C591" s="57" t="n"/>
      <c r="D591" s="57" t="n"/>
      <c r="E591" s="57" t="n"/>
    </row>
    <row r="592" ht="15.75" customHeight="1" s="94">
      <c r="A592" s="57" t="n"/>
      <c r="B592" s="57" t="n"/>
      <c r="C592" s="57" t="n"/>
      <c r="D592" s="57" t="n"/>
      <c r="E592" s="57" t="n"/>
    </row>
    <row r="593" ht="15.75" customHeight="1" s="94">
      <c r="A593" s="57" t="n"/>
      <c r="B593" s="57" t="n"/>
      <c r="C593" s="57" t="n"/>
      <c r="D593" s="57" t="n"/>
      <c r="E593" s="57" t="n"/>
    </row>
    <row r="594" ht="15.75" customHeight="1" s="94">
      <c r="A594" s="57" t="n"/>
      <c r="B594" s="57" t="n"/>
      <c r="C594" s="57" t="n"/>
      <c r="D594" s="57" t="n"/>
      <c r="E594" s="57" t="n"/>
    </row>
    <row r="595" ht="15.75" customHeight="1" s="94">
      <c r="A595" s="57" t="n"/>
      <c r="B595" s="57" t="n"/>
      <c r="C595" s="57" t="n"/>
      <c r="D595" s="57" t="n"/>
      <c r="E595" s="57" t="n"/>
    </row>
    <row r="596" ht="15.75" customHeight="1" s="94">
      <c r="A596" s="57" t="n"/>
      <c r="B596" s="57" t="n"/>
      <c r="C596" s="57" t="n"/>
      <c r="D596" s="57" t="n"/>
      <c r="E596" s="57" t="n"/>
    </row>
    <row r="597" ht="15.75" customHeight="1" s="94">
      <c r="A597" s="57" t="n"/>
      <c r="B597" s="57" t="n"/>
      <c r="C597" s="57" t="n"/>
      <c r="D597" s="57" t="n"/>
      <c r="E597" s="57" t="n"/>
    </row>
    <row r="598" ht="15.75" customHeight="1" s="94">
      <c r="A598" s="57" t="n"/>
      <c r="B598" s="57" t="n"/>
      <c r="C598" s="57" t="n"/>
      <c r="D598" s="57" t="n"/>
      <c r="E598" s="57" t="n"/>
    </row>
    <row r="599" ht="15.75" customHeight="1" s="94">
      <c r="A599" s="57" t="n"/>
      <c r="B599" s="57" t="n"/>
      <c r="C599" s="57" t="n"/>
      <c r="D599" s="57" t="n"/>
      <c r="E599" s="57" t="n"/>
    </row>
    <row r="600" ht="15.75" customHeight="1" s="94">
      <c r="A600" s="57" t="n"/>
      <c r="B600" s="57" t="n"/>
      <c r="C600" s="57" t="n"/>
      <c r="D600" s="57" t="n"/>
      <c r="E600" s="57" t="n"/>
    </row>
    <row r="601" ht="15.75" customHeight="1" s="94">
      <c r="A601" s="57" t="n"/>
      <c r="B601" s="57" t="n"/>
      <c r="C601" s="57" t="n"/>
      <c r="D601" s="57" t="n"/>
      <c r="E601" s="57" t="n"/>
    </row>
    <row r="602" ht="15.75" customHeight="1" s="94">
      <c r="A602" s="57" t="n"/>
      <c r="B602" s="57" t="n"/>
      <c r="C602" s="57" t="n"/>
      <c r="D602" s="57" t="n"/>
      <c r="E602" s="57" t="n"/>
    </row>
    <row r="603" ht="15.75" customHeight="1" s="94">
      <c r="A603" s="57" t="n"/>
      <c r="B603" s="57" t="n"/>
      <c r="C603" s="57" t="n"/>
      <c r="D603" s="57" t="n"/>
      <c r="E603" s="57" t="n"/>
    </row>
    <row r="604" ht="15.75" customHeight="1" s="94">
      <c r="A604" s="57" t="n"/>
      <c r="B604" s="57" t="n"/>
      <c r="C604" s="57" t="n"/>
      <c r="D604" s="57" t="n"/>
      <c r="E604" s="57" t="n"/>
    </row>
    <row r="605" ht="15.75" customHeight="1" s="94">
      <c r="A605" s="57" t="n"/>
      <c r="B605" s="57" t="n"/>
      <c r="C605" s="57" t="n"/>
      <c r="D605" s="57" t="n"/>
      <c r="E605" s="57" t="n"/>
    </row>
    <row r="606" ht="15.75" customHeight="1" s="94">
      <c r="A606" s="57" t="n"/>
      <c r="B606" s="57" t="n"/>
      <c r="C606" s="57" t="n"/>
      <c r="D606" s="57" t="n"/>
      <c r="E606" s="57" t="n"/>
    </row>
    <row r="607" ht="15.75" customHeight="1" s="94">
      <c r="A607" s="57" t="n"/>
      <c r="B607" s="57" t="n"/>
      <c r="C607" s="57" t="n"/>
      <c r="D607" s="57" t="n"/>
      <c r="E607" s="57" t="n"/>
    </row>
    <row r="608" ht="15.75" customHeight="1" s="94">
      <c r="A608" s="57" t="n"/>
      <c r="B608" s="57" t="n"/>
      <c r="C608" s="57" t="n"/>
      <c r="D608" s="57" t="n"/>
      <c r="E608" s="57" t="n"/>
    </row>
    <row r="609" ht="15.75" customHeight="1" s="94">
      <c r="A609" s="57" t="n"/>
      <c r="B609" s="57" t="n"/>
      <c r="C609" s="57" t="n"/>
      <c r="D609" s="57" t="n"/>
      <c r="E609" s="57" t="n"/>
    </row>
    <row r="610" ht="15.75" customHeight="1" s="94">
      <c r="A610" s="57" t="n"/>
      <c r="B610" s="57" t="n"/>
      <c r="C610" s="57" t="n"/>
      <c r="D610" s="57" t="n"/>
      <c r="E610" s="57" t="n"/>
    </row>
    <row r="611" ht="15.75" customHeight="1" s="94">
      <c r="A611" s="57" t="n"/>
      <c r="B611" s="57" t="n"/>
      <c r="C611" s="57" t="n"/>
      <c r="D611" s="57" t="n"/>
      <c r="E611" s="57" t="n"/>
    </row>
    <row r="612" ht="15.75" customHeight="1" s="94">
      <c r="A612" s="57" t="n"/>
      <c r="B612" s="57" t="n"/>
      <c r="C612" s="57" t="n"/>
      <c r="D612" s="57" t="n"/>
      <c r="E612" s="57" t="n"/>
    </row>
    <row r="613" ht="15.75" customHeight="1" s="94">
      <c r="A613" s="57" t="n"/>
      <c r="B613" s="57" t="n"/>
      <c r="C613" s="57" t="n"/>
      <c r="D613" s="57" t="n"/>
      <c r="E613" s="57" t="n"/>
    </row>
    <row r="614" ht="15.75" customHeight="1" s="94">
      <c r="A614" s="57" t="n"/>
      <c r="B614" s="57" t="n"/>
      <c r="C614" s="57" t="n"/>
      <c r="D614" s="57" t="n"/>
      <c r="E614" s="57" t="n"/>
    </row>
    <row r="615" ht="15.75" customHeight="1" s="94">
      <c r="A615" s="57" t="n"/>
      <c r="B615" s="57" t="n"/>
      <c r="C615" s="57" t="n"/>
      <c r="D615" s="57" t="n"/>
      <c r="E615" s="57" t="n"/>
    </row>
    <row r="616" ht="15.75" customHeight="1" s="94">
      <c r="A616" s="57" t="n"/>
      <c r="B616" s="57" t="n"/>
      <c r="C616" s="57" t="n"/>
      <c r="D616" s="57" t="n"/>
      <c r="E616" s="57" t="n"/>
    </row>
    <row r="617" ht="15.75" customHeight="1" s="94">
      <c r="A617" s="57" t="n"/>
      <c r="B617" s="57" t="n"/>
      <c r="C617" s="57" t="n"/>
      <c r="D617" s="57" t="n"/>
      <c r="E617" s="57" t="n"/>
    </row>
    <row r="618" ht="15.75" customHeight="1" s="94">
      <c r="A618" s="57" t="n"/>
      <c r="B618" s="57" t="n"/>
      <c r="C618" s="57" t="n"/>
      <c r="D618" s="57" t="n"/>
      <c r="E618" s="57" t="n"/>
    </row>
    <row r="619" ht="15.75" customHeight="1" s="94">
      <c r="A619" s="57" t="n"/>
      <c r="B619" s="57" t="n"/>
      <c r="C619" s="57" t="n"/>
      <c r="D619" s="57" t="n"/>
      <c r="E619" s="57" t="n"/>
    </row>
    <row r="620" ht="15.75" customHeight="1" s="94">
      <c r="A620" s="57" t="n"/>
      <c r="B620" s="57" t="n"/>
      <c r="C620" s="57" t="n"/>
      <c r="D620" s="57" t="n"/>
      <c r="E620" s="57" t="n"/>
    </row>
    <row r="621" ht="15.75" customHeight="1" s="94">
      <c r="A621" s="57" t="n"/>
      <c r="B621" s="57" t="n"/>
      <c r="C621" s="57" t="n"/>
      <c r="D621" s="57" t="n"/>
      <c r="E621" s="57" t="n"/>
    </row>
    <row r="622" ht="15.75" customHeight="1" s="94">
      <c r="A622" s="57" t="n"/>
      <c r="B622" s="57" t="n"/>
      <c r="C622" s="57" t="n"/>
      <c r="D622" s="57" t="n"/>
      <c r="E622" s="57" t="n"/>
    </row>
    <row r="623" ht="15.75" customHeight="1" s="94">
      <c r="A623" s="57" t="n"/>
      <c r="B623" s="57" t="n"/>
      <c r="C623" s="57" t="n"/>
      <c r="D623" s="57" t="n"/>
      <c r="E623" s="57" t="n"/>
    </row>
    <row r="624" ht="15.75" customHeight="1" s="94">
      <c r="A624" s="57" t="n"/>
      <c r="B624" s="57" t="n"/>
      <c r="C624" s="57" t="n"/>
      <c r="D624" s="57" t="n"/>
      <c r="E624" s="57" t="n"/>
    </row>
    <row r="625" ht="15.75" customHeight="1" s="94">
      <c r="A625" s="57" t="n"/>
      <c r="B625" s="57" t="n"/>
      <c r="C625" s="57" t="n"/>
      <c r="D625" s="57" t="n"/>
      <c r="E625" s="57" t="n"/>
    </row>
    <row r="626" ht="15.75" customHeight="1" s="94">
      <c r="A626" s="57" t="n"/>
      <c r="B626" s="57" t="n"/>
      <c r="C626" s="57" t="n"/>
      <c r="D626" s="57" t="n"/>
      <c r="E626" s="57" t="n"/>
    </row>
    <row r="627" ht="15.75" customHeight="1" s="94">
      <c r="A627" s="57" t="n"/>
      <c r="B627" s="57" t="n"/>
      <c r="C627" s="57" t="n"/>
      <c r="D627" s="57" t="n"/>
      <c r="E627" s="57" t="n"/>
    </row>
    <row r="628" ht="15.75" customHeight="1" s="94">
      <c r="A628" s="57" t="n"/>
      <c r="B628" s="57" t="n"/>
      <c r="C628" s="57" t="n"/>
      <c r="D628" s="57" t="n"/>
      <c r="E628" s="57" t="n"/>
    </row>
    <row r="629" ht="15.75" customHeight="1" s="94">
      <c r="A629" s="57" t="n"/>
      <c r="B629" s="57" t="n"/>
      <c r="C629" s="57" t="n"/>
      <c r="D629" s="57" t="n"/>
      <c r="E629" s="57" t="n"/>
    </row>
    <row r="630" ht="15.75" customHeight="1" s="94">
      <c r="A630" s="57" t="n"/>
      <c r="B630" s="57" t="n"/>
      <c r="C630" s="57" t="n"/>
      <c r="D630" s="57" t="n"/>
      <c r="E630" s="57" t="n"/>
    </row>
    <row r="631" ht="15.75" customHeight="1" s="94">
      <c r="A631" s="57" t="n"/>
      <c r="B631" s="57" t="n"/>
      <c r="C631" s="57" t="n"/>
      <c r="D631" s="57" t="n"/>
      <c r="E631" s="57" t="n"/>
    </row>
    <row r="632" ht="15.75" customHeight="1" s="94">
      <c r="A632" s="57" t="n"/>
      <c r="B632" s="57" t="n"/>
      <c r="C632" s="57" t="n"/>
      <c r="D632" s="57" t="n"/>
      <c r="E632" s="57" t="n"/>
    </row>
    <row r="633" ht="15.75" customHeight="1" s="94">
      <c r="A633" s="57" t="n"/>
      <c r="B633" s="57" t="n"/>
      <c r="C633" s="57" t="n"/>
      <c r="D633" s="57" t="n"/>
      <c r="E633" s="57" t="n"/>
    </row>
    <row r="634" ht="15.75" customHeight="1" s="94">
      <c r="A634" s="57" t="n"/>
      <c r="B634" s="57" t="n"/>
      <c r="C634" s="57" t="n"/>
      <c r="D634" s="57" t="n"/>
      <c r="E634" s="57" t="n"/>
    </row>
    <row r="635" ht="15.75" customHeight="1" s="94">
      <c r="A635" s="57" t="n"/>
      <c r="B635" s="57" t="n"/>
      <c r="C635" s="57" t="n"/>
      <c r="D635" s="57" t="n"/>
      <c r="E635" s="57" t="n"/>
    </row>
    <row r="636" ht="15.75" customHeight="1" s="94">
      <c r="A636" s="57" t="n"/>
      <c r="B636" s="57" t="n"/>
      <c r="C636" s="57" t="n"/>
      <c r="D636" s="57" t="n"/>
      <c r="E636" s="57" t="n"/>
    </row>
    <row r="637" ht="15.75" customHeight="1" s="94">
      <c r="A637" s="57" t="n"/>
      <c r="B637" s="57" t="n"/>
      <c r="C637" s="57" t="n"/>
      <c r="D637" s="57" t="n"/>
      <c r="E637" s="57" t="n"/>
    </row>
    <row r="638" ht="15.75" customHeight="1" s="94">
      <c r="A638" s="57" t="n"/>
      <c r="B638" s="57" t="n"/>
      <c r="C638" s="57" t="n"/>
      <c r="D638" s="57" t="n"/>
      <c r="E638" s="57" t="n"/>
    </row>
    <row r="639" ht="15.75" customHeight="1" s="94">
      <c r="A639" s="57" t="n"/>
      <c r="B639" s="57" t="n"/>
      <c r="C639" s="57" t="n"/>
      <c r="D639" s="57" t="n"/>
      <c r="E639" s="57" t="n"/>
    </row>
    <row r="640" ht="15.75" customHeight="1" s="94">
      <c r="A640" s="57" t="n"/>
      <c r="B640" s="57" t="n"/>
      <c r="C640" s="57" t="n"/>
      <c r="D640" s="57" t="n"/>
      <c r="E640" s="57" t="n"/>
    </row>
    <row r="641" ht="15.75" customHeight="1" s="94">
      <c r="A641" s="57" t="n"/>
      <c r="B641" s="57" t="n"/>
      <c r="C641" s="57" t="n"/>
      <c r="D641" s="57" t="n"/>
      <c r="E641" s="57" t="n"/>
    </row>
    <row r="642" ht="15.75" customHeight="1" s="94">
      <c r="A642" s="57" t="n"/>
      <c r="B642" s="57" t="n"/>
      <c r="C642" s="57" t="n"/>
      <c r="D642" s="57" t="n"/>
      <c r="E642" s="57" t="n"/>
    </row>
    <row r="643" ht="15.75" customHeight="1" s="94">
      <c r="A643" s="57" t="n"/>
      <c r="B643" s="57" t="n"/>
      <c r="C643" s="57" t="n"/>
      <c r="D643" s="57" t="n"/>
      <c r="E643" s="57" t="n"/>
    </row>
    <row r="644" ht="15.75" customHeight="1" s="94">
      <c r="A644" s="57" t="n"/>
      <c r="B644" s="57" t="n"/>
      <c r="C644" s="57" t="n"/>
      <c r="D644" s="57" t="n"/>
      <c r="E644" s="57" t="n"/>
    </row>
    <row r="645" ht="15.75" customHeight="1" s="94">
      <c r="A645" s="57" t="n"/>
      <c r="B645" s="57" t="n"/>
      <c r="C645" s="57" t="n"/>
      <c r="D645" s="57" t="n"/>
      <c r="E645" s="57" t="n"/>
    </row>
    <row r="646" ht="15.75" customHeight="1" s="94">
      <c r="A646" s="57" t="n"/>
      <c r="B646" s="57" t="n"/>
      <c r="C646" s="57" t="n"/>
      <c r="D646" s="57" t="n"/>
      <c r="E646" s="57" t="n"/>
    </row>
    <row r="647" ht="15.75" customHeight="1" s="94">
      <c r="A647" s="57" t="n"/>
      <c r="B647" s="57" t="n"/>
      <c r="C647" s="57" t="n"/>
      <c r="D647" s="57" t="n"/>
      <c r="E647" s="57" t="n"/>
    </row>
    <row r="648" ht="15.75" customHeight="1" s="94">
      <c r="A648" s="57" t="n"/>
      <c r="B648" s="57" t="n"/>
      <c r="C648" s="57" t="n"/>
      <c r="D648" s="57" t="n"/>
      <c r="E648" s="57" t="n"/>
    </row>
    <row r="649" ht="15.75" customHeight="1" s="94">
      <c r="A649" s="57" t="n"/>
      <c r="B649" s="57" t="n"/>
      <c r="C649" s="57" t="n"/>
      <c r="D649" s="57" t="n"/>
      <c r="E649" s="57" t="n"/>
    </row>
    <row r="650" ht="15.75" customHeight="1" s="94">
      <c r="A650" s="57" t="n"/>
      <c r="B650" s="57" t="n"/>
      <c r="C650" s="57" t="n"/>
      <c r="D650" s="57" t="n"/>
      <c r="E650" s="57" t="n"/>
    </row>
    <row r="651" ht="15.75" customHeight="1" s="94">
      <c r="A651" s="57" t="n"/>
      <c r="B651" s="57" t="n"/>
      <c r="C651" s="57" t="n"/>
      <c r="D651" s="57" t="n"/>
      <c r="E651" s="57" t="n"/>
    </row>
    <row r="652" ht="15.75" customHeight="1" s="94">
      <c r="A652" s="57" t="n"/>
      <c r="B652" s="57" t="n"/>
      <c r="C652" s="57" t="n"/>
      <c r="D652" s="57" t="n"/>
      <c r="E652" s="57" t="n"/>
    </row>
    <row r="653" ht="15.75" customHeight="1" s="94">
      <c r="A653" s="57" t="n"/>
      <c r="B653" s="57" t="n"/>
      <c r="C653" s="57" t="n"/>
      <c r="D653" s="57" t="n"/>
      <c r="E653" s="57" t="n"/>
    </row>
    <row r="654" ht="15.75" customHeight="1" s="94">
      <c r="A654" s="57" t="n"/>
      <c r="B654" s="57" t="n"/>
      <c r="C654" s="57" t="n"/>
      <c r="D654" s="57" t="n"/>
      <c r="E654" s="57" t="n"/>
    </row>
    <row r="655" ht="15.75" customHeight="1" s="94">
      <c r="A655" s="57" t="n"/>
      <c r="B655" s="57" t="n"/>
      <c r="C655" s="57" t="n"/>
      <c r="D655" s="57" t="n"/>
      <c r="E655" s="57" t="n"/>
    </row>
    <row r="656" ht="15.75" customHeight="1" s="94">
      <c r="A656" s="57" t="n"/>
      <c r="B656" s="57" t="n"/>
      <c r="C656" s="57" t="n"/>
      <c r="D656" s="57" t="n"/>
      <c r="E656" s="57" t="n"/>
    </row>
    <row r="657" ht="15.75" customHeight="1" s="94">
      <c r="A657" s="57" t="n"/>
      <c r="B657" s="57" t="n"/>
      <c r="C657" s="57" t="n"/>
      <c r="D657" s="57" t="n"/>
      <c r="E657" s="57" t="n"/>
    </row>
    <row r="658" ht="15.75" customHeight="1" s="94">
      <c r="A658" s="57" t="n"/>
      <c r="B658" s="57" t="n"/>
      <c r="C658" s="57" t="n"/>
      <c r="D658" s="57" t="n"/>
      <c r="E658" s="57" t="n"/>
    </row>
    <row r="659" ht="15.75" customHeight="1" s="94">
      <c r="A659" s="57" t="n"/>
      <c r="B659" s="57" t="n"/>
      <c r="C659" s="57" t="n"/>
      <c r="D659" s="57" t="n"/>
      <c r="E659" s="57" t="n"/>
    </row>
    <row r="660" ht="15.75" customHeight="1" s="94">
      <c r="A660" s="57" t="n"/>
      <c r="B660" s="57" t="n"/>
      <c r="C660" s="57" t="n"/>
      <c r="D660" s="57" t="n"/>
      <c r="E660" s="57" t="n"/>
    </row>
    <row r="661" ht="15.75" customHeight="1" s="94">
      <c r="A661" s="57" t="n"/>
      <c r="B661" s="57" t="n"/>
      <c r="C661" s="57" t="n"/>
      <c r="D661" s="57" t="n"/>
      <c r="E661" s="57" t="n"/>
    </row>
    <row r="662" ht="15.75" customHeight="1" s="94">
      <c r="A662" s="57" t="n"/>
      <c r="B662" s="57" t="n"/>
      <c r="C662" s="57" t="n"/>
      <c r="D662" s="57" t="n"/>
      <c r="E662" s="57" t="n"/>
    </row>
    <row r="663" ht="15.75" customHeight="1" s="94">
      <c r="A663" s="57" t="n"/>
      <c r="B663" s="57" t="n"/>
      <c r="C663" s="57" t="n"/>
      <c r="D663" s="57" t="n"/>
      <c r="E663" s="57" t="n"/>
    </row>
    <row r="664" ht="15.75" customHeight="1" s="94">
      <c r="A664" s="57" t="n"/>
      <c r="B664" s="57" t="n"/>
      <c r="C664" s="57" t="n"/>
      <c r="D664" s="57" t="n"/>
      <c r="E664" s="57" t="n"/>
    </row>
    <row r="665" ht="15.75" customHeight="1" s="94">
      <c r="A665" s="57" t="n"/>
      <c r="B665" s="57" t="n"/>
      <c r="C665" s="57" t="n"/>
      <c r="D665" s="57" t="n"/>
      <c r="E665" s="57" t="n"/>
    </row>
    <row r="666" ht="15.75" customHeight="1" s="94">
      <c r="A666" s="57" t="n"/>
      <c r="B666" s="57" t="n"/>
      <c r="C666" s="57" t="n"/>
      <c r="D666" s="57" t="n"/>
      <c r="E666" s="57" t="n"/>
    </row>
    <row r="667" ht="15.75" customHeight="1" s="94">
      <c r="A667" s="57" t="n"/>
      <c r="B667" s="57" t="n"/>
      <c r="C667" s="57" t="n"/>
      <c r="D667" s="57" t="n"/>
      <c r="E667" s="57" t="n"/>
    </row>
    <row r="668" ht="15.75" customHeight="1" s="94">
      <c r="A668" s="57" t="n"/>
      <c r="B668" s="57" t="n"/>
      <c r="C668" s="57" t="n"/>
      <c r="D668" s="57" t="n"/>
      <c r="E668" s="57" t="n"/>
    </row>
    <row r="669" ht="15.75" customHeight="1" s="94">
      <c r="A669" s="57" t="n"/>
      <c r="B669" s="57" t="n"/>
      <c r="C669" s="57" t="n"/>
      <c r="D669" s="57" t="n"/>
      <c r="E669" s="57" t="n"/>
    </row>
    <row r="670" ht="15.75" customHeight="1" s="94">
      <c r="A670" s="57" t="n"/>
      <c r="B670" s="57" t="n"/>
      <c r="C670" s="57" t="n"/>
      <c r="D670" s="57" t="n"/>
      <c r="E670" s="57" t="n"/>
    </row>
    <row r="671" ht="15.75" customHeight="1" s="94">
      <c r="A671" s="57" t="n"/>
      <c r="B671" s="57" t="n"/>
      <c r="C671" s="57" t="n"/>
      <c r="D671" s="57" t="n"/>
      <c r="E671" s="57" t="n"/>
    </row>
    <row r="672" ht="15.75" customHeight="1" s="94">
      <c r="A672" s="57" t="n"/>
      <c r="B672" s="57" t="n"/>
      <c r="C672" s="57" t="n"/>
      <c r="D672" s="57" t="n"/>
      <c r="E672" s="57" t="n"/>
    </row>
    <row r="673" ht="15.75" customHeight="1" s="94">
      <c r="A673" s="57" t="n"/>
      <c r="B673" s="57" t="n"/>
      <c r="C673" s="57" t="n"/>
      <c r="D673" s="57" t="n"/>
      <c r="E673" s="57" t="n"/>
    </row>
    <row r="674" ht="15.75" customHeight="1" s="94">
      <c r="A674" s="57" t="n"/>
      <c r="B674" s="57" t="n"/>
      <c r="C674" s="57" t="n"/>
      <c r="D674" s="57" t="n"/>
      <c r="E674" s="57" t="n"/>
    </row>
    <row r="675" ht="15.75" customHeight="1" s="94">
      <c r="A675" s="57" t="n"/>
      <c r="B675" s="57" t="n"/>
      <c r="C675" s="57" t="n"/>
      <c r="D675" s="57" t="n"/>
      <c r="E675" s="57" t="n"/>
    </row>
    <row r="676" ht="15.75" customHeight="1" s="94">
      <c r="A676" s="57" t="n"/>
      <c r="B676" s="57" t="n"/>
      <c r="C676" s="57" t="n"/>
      <c r="D676" s="57" t="n"/>
      <c r="E676" s="57" t="n"/>
    </row>
    <row r="677" ht="15.75" customHeight="1" s="94">
      <c r="A677" s="57" t="n"/>
      <c r="B677" s="57" t="n"/>
      <c r="C677" s="57" t="n"/>
      <c r="D677" s="57" t="n"/>
      <c r="E677" s="57" t="n"/>
    </row>
    <row r="678" ht="15.75" customHeight="1" s="94">
      <c r="A678" s="57" t="n"/>
      <c r="B678" s="57" t="n"/>
      <c r="C678" s="57" t="n"/>
      <c r="D678" s="57" t="n"/>
      <c r="E678" s="57" t="n"/>
    </row>
    <row r="679" ht="15.75" customHeight="1" s="94">
      <c r="A679" s="57" t="n"/>
      <c r="B679" s="57" t="n"/>
      <c r="C679" s="57" t="n"/>
      <c r="D679" s="57" t="n"/>
      <c r="E679" s="57" t="n"/>
    </row>
    <row r="680" ht="15.75" customHeight="1" s="94">
      <c r="A680" s="57" t="n"/>
      <c r="B680" s="57" t="n"/>
      <c r="C680" s="57" t="n"/>
      <c r="D680" s="57" t="n"/>
      <c r="E680" s="57" t="n"/>
    </row>
    <row r="681" ht="15.75" customHeight="1" s="94">
      <c r="A681" s="57" t="n"/>
      <c r="B681" s="57" t="n"/>
      <c r="C681" s="57" t="n"/>
      <c r="D681" s="57" t="n"/>
      <c r="E681" s="57" t="n"/>
    </row>
    <row r="682" ht="15.75" customHeight="1" s="94">
      <c r="A682" s="57" t="n"/>
      <c r="B682" s="57" t="n"/>
      <c r="C682" s="57" t="n"/>
      <c r="D682" s="57" t="n"/>
      <c r="E682" s="57" t="n"/>
    </row>
    <row r="683" ht="15.75" customHeight="1" s="94">
      <c r="A683" s="57" t="n"/>
      <c r="B683" s="57" t="n"/>
      <c r="C683" s="57" t="n"/>
      <c r="D683" s="57" t="n"/>
      <c r="E683" s="57" t="n"/>
    </row>
    <row r="684" ht="15.75" customHeight="1" s="94">
      <c r="A684" s="57" t="n"/>
      <c r="B684" s="57" t="n"/>
      <c r="C684" s="57" t="n"/>
      <c r="D684" s="57" t="n"/>
      <c r="E684" s="57" t="n"/>
    </row>
    <row r="685" ht="15.75" customHeight="1" s="94">
      <c r="A685" s="57" t="n"/>
      <c r="B685" s="57" t="n"/>
      <c r="C685" s="57" t="n"/>
      <c r="D685" s="57" t="n"/>
      <c r="E685" s="57" t="n"/>
    </row>
    <row r="686" ht="15.75" customHeight="1" s="94">
      <c r="A686" s="57" t="n"/>
      <c r="B686" s="57" t="n"/>
      <c r="C686" s="57" t="n"/>
      <c r="D686" s="57" t="n"/>
      <c r="E686" s="57" t="n"/>
    </row>
    <row r="687" ht="15.75" customHeight="1" s="94">
      <c r="A687" s="57" t="n"/>
      <c r="B687" s="57" t="n"/>
      <c r="C687" s="57" t="n"/>
      <c r="D687" s="57" t="n"/>
      <c r="E687" s="57" t="n"/>
    </row>
    <row r="688" ht="15.75" customHeight="1" s="94">
      <c r="A688" s="57" t="n"/>
      <c r="B688" s="57" t="n"/>
      <c r="C688" s="57" t="n"/>
      <c r="D688" s="57" t="n"/>
      <c r="E688" s="57" t="n"/>
    </row>
    <row r="689" ht="15.75" customHeight="1" s="94">
      <c r="A689" s="57" t="n"/>
      <c r="B689" s="57" t="n"/>
      <c r="C689" s="57" t="n"/>
      <c r="D689" s="57" t="n"/>
      <c r="E689" s="57" t="n"/>
    </row>
    <row r="690" ht="15.75" customHeight="1" s="94">
      <c r="A690" s="57" t="n"/>
      <c r="B690" s="57" t="n"/>
      <c r="C690" s="57" t="n"/>
      <c r="D690" s="57" t="n"/>
      <c r="E690" s="57" t="n"/>
    </row>
    <row r="691" ht="15.75" customHeight="1" s="94">
      <c r="A691" s="57" t="n"/>
      <c r="B691" s="57" t="n"/>
      <c r="C691" s="57" t="n"/>
      <c r="D691" s="57" t="n"/>
      <c r="E691" s="57" t="n"/>
    </row>
    <row r="692" ht="15.75" customHeight="1" s="94">
      <c r="A692" s="57" t="n"/>
      <c r="B692" s="57" t="n"/>
      <c r="C692" s="57" t="n"/>
      <c r="D692" s="57" t="n"/>
      <c r="E692" s="57" t="n"/>
    </row>
    <row r="693" ht="15.75" customHeight="1" s="94">
      <c r="A693" s="57" t="n"/>
      <c r="B693" s="57" t="n"/>
      <c r="C693" s="57" t="n"/>
      <c r="D693" s="57" t="n"/>
      <c r="E693" s="57" t="n"/>
    </row>
    <row r="694" ht="15.75" customHeight="1" s="94">
      <c r="A694" s="57" t="n"/>
      <c r="B694" s="57" t="n"/>
      <c r="C694" s="57" t="n"/>
      <c r="D694" s="57" t="n"/>
      <c r="E694" s="57" t="n"/>
    </row>
    <row r="695" ht="15.75" customHeight="1" s="94">
      <c r="A695" s="57" t="n"/>
      <c r="B695" s="57" t="n"/>
      <c r="C695" s="57" t="n"/>
      <c r="D695" s="57" t="n"/>
      <c r="E695" s="57" t="n"/>
    </row>
    <row r="696" ht="15.75" customHeight="1" s="94">
      <c r="A696" s="57" t="n"/>
      <c r="B696" s="57" t="n"/>
      <c r="C696" s="57" t="n"/>
      <c r="D696" s="57" t="n"/>
      <c r="E696" s="57" t="n"/>
    </row>
    <row r="697" ht="15.75" customHeight="1" s="94">
      <c r="A697" s="57" t="n"/>
      <c r="B697" s="57" t="n"/>
      <c r="C697" s="57" t="n"/>
      <c r="D697" s="57" t="n"/>
      <c r="E697" s="57" t="n"/>
    </row>
    <row r="698" ht="15.75" customHeight="1" s="94">
      <c r="A698" s="57" t="n"/>
      <c r="B698" s="57" t="n"/>
      <c r="C698" s="57" t="n"/>
      <c r="D698" s="57" t="n"/>
      <c r="E698" s="57" t="n"/>
    </row>
    <row r="699" ht="15.75" customHeight="1" s="94">
      <c r="A699" s="57" t="n"/>
      <c r="B699" s="57" t="n"/>
      <c r="C699" s="57" t="n"/>
      <c r="D699" s="57" t="n"/>
      <c r="E699" s="57" t="n"/>
    </row>
    <row r="700" ht="15.75" customHeight="1" s="94">
      <c r="A700" s="57" t="n"/>
      <c r="B700" s="57" t="n"/>
      <c r="C700" s="57" t="n"/>
      <c r="D700" s="57" t="n"/>
      <c r="E700" s="57" t="n"/>
    </row>
    <row r="701" ht="15.75" customHeight="1" s="94">
      <c r="A701" s="57" t="n"/>
      <c r="B701" s="57" t="n"/>
      <c r="C701" s="57" t="n"/>
      <c r="D701" s="57" t="n"/>
      <c r="E701" s="57" t="n"/>
    </row>
    <row r="702" ht="15.75" customHeight="1" s="94">
      <c r="A702" s="57" t="n"/>
      <c r="B702" s="57" t="n"/>
      <c r="C702" s="57" t="n"/>
      <c r="D702" s="57" t="n"/>
      <c r="E702" s="57" t="n"/>
    </row>
    <row r="703" ht="15.75" customHeight="1" s="94">
      <c r="A703" s="57" t="n"/>
      <c r="B703" s="57" t="n"/>
      <c r="C703" s="57" t="n"/>
      <c r="D703" s="57" t="n"/>
      <c r="E703" s="57" t="n"/>
    </row>
    <row r="704" ht="15.75" customHeight="1" s="94">
      <c r="A704" s="57" t="n"/>
      <c r="B704" s="57" t="n"/>
      <c r="C704" s="57" t="n"/>
      <c r="D704" s="57" t="n"/>
      <c r="E704" s="57" t="n"/>
    </row>
    <row r="705" ht="15.75" customHeight="1" s="94">
      <c r="A705" s="57" t="n"/>
      <c r="B705" s="57" t="n"/>
      <c r="C705" s="57" t="n"/>
      <c r="D705" s="57" t="n"/>
      <c r="E705" s="57" t="n"/>
    </row>
    <row r="706" ht="15.75" customHeight="1" s="94">
      <c r="A706" s="57" t="n"/>
      <c r="B706" s="57" t="n"/>
      <c r="C706" s="57" t="n"/>
      <c r="D706" s="57" t="n"/>
      <c r="E706" s="57" t="n"/>
    </row>
    <row r="707" ht="15.75" customHeight="1" s="94">
      <c r="A707" s="57" t="n"/>
      <c r="B707" s="57" t="n"/>
      <c r="C707" s="57" t="n"/>
      <c r="D707" s="57" t="n"/>
      <c r="E707" s="57" t="n"/>
    </row>
    <row r="708" ht="15.75" customHeight="1" s="94">
      <c r="A708" s="57" t="n"/>
      <c r="B708" s="57" t="n"/>
      <c r="C708" s="57" t="n"/>
      <c r="D708" s="57" t="n"/>
      <c r="E708" s="57" t="n"/>
    </row>
    <row r="709" ht="15.75" customHeight="1" s="94">
      <c r="A709" s="57" t="n"/>
      <c r="B709" s="57" t="n"/>
      <c r="C709" s="57" t="n"/>
      <c r="D709" s="57" t="n"/>
      <c r="E709" s="57" t="n"/>
    </row>
    <row r="710" ht="15.75" customHeight="1" s="94">
      <c r="A710" s="57" t="n"/>
      <c r="B710" s="57" t="n"/>
      <c r="C710" s="57" t="n"/>
      <c r="D710" s="57" t="n"/>
      <c r="E710" s="57" t="n"/>
    </row>
    <row r="711" ht="15.75" customHeight="1" s="94">
      <c r="A711" s="57" t="n"/>
      <c r="B711" s="57" t="n"/>
      <c r="C711" s="57" t="n"/>
      <c r="D711" s="57" t="n"/>
      <c r="E711" s="57" t="n"/>
    </row>
    <row r="712" ht="15.75" customHeight="1" s="94">
      <c r="A712" s="57" t="n"/>
      <c r="B712" s="57" t="n"/>
      <c r="C712" s="57" t="n"/>
      <c r="D712" s="57" t="n"/>
      <c r="E712" s="57" t="n"/>
    </row>
    <row r="713" ht="15.75" customHeight="1" s="94">
      <c r="A713" s="57" t="n"/>
      <c r="B713" s="57" t="n"/>
      <c r="C713" s="57" t="n"/>
      <c r="D713" s="57" t="n"/>
      <c r="E713" s="57" t="n"/>
    </row>
    <row r="714" ht="15.75" customHeight="1" s="94">
      <c r="A714" s="57" t="n"/>
      <c r="B714" s="57" t="n"/>
      <c r="C714" s="57" t="n"/>
      <c r="D714" s="57" t="n"/>
      <c r="E714" s="57" t="n"/>
    </row>
    <row r="715" ht="15.75" customHeight="1" s="94">
      <c r="A715" s="57" t="n"/>
      <c r="B715" s="57" t="n"/>
      <c r="C715" s="57" t="n"/>
      <c r="D715" s="57" t="n"/>
      <c r="E715" s="57" t="n"/>
    </row>
    <row r="716" ht="15.75" customHeight="1" s="94">
      <c r="A716" s="57" t="n"/>
      <c r="B716" s="57" t="n"/>
      <c r="C716" s="57" t="n"/>
      <c r="D716" s="57" t="n"/>
      <c r="E716" s="57" t="n"/>
    </row>
    <row r="717" ht="15.75" customHeight="1" s="94">
      <c r="A717" s="57" t="n"/>
      <c r="B717" s="57" t="n"/>
      <c r="C717" s="57" t="n"/>
      <c r="D717" s="57" t="n"/>
      <c r="E717" s="57" t="n"/>
    </row>
    <row r="718" ht="15.75" customHeight="1" s="94">
      <c r="A718" s="57" t="n"/>
      <c r="B718" s="57" t="n"/>
      <c r="C718" s="57" t="n"/>
      <c r="D718" s="57" t="n"/>
      <c r="E718" s="57" t="n"/>
    </row>
    <row r="719" ht="15.75" customHeight="1" s="94">
      <c r="A719" s="57" t="n"/>
      <c r="B719" s="57" t="n"/>
      <c r="C719" s="57" t="n"/>
      <c r="D719" s="57" t="n"/>
      <c r="E719" s="57" t="n"/>
    </row>
    <row r="720" ht="15.75" customHeight="1" s="94">
      <c r="A720" s="57" t="n"/>
      <c r="B720" s="57" t="n"/>
      <c r="C720" s="57" t="n"/>
      <c r="D720" s="57" t="n"/>
      <c r="E720" s="57" t="n"/>
    </row>
    <row r="721" ht="15.75" customHeight="1" s="94">
      <c r="A721" s="57" t="n"/>
      <c r="B721" s="57" t="n"/>
      <c r="C721" s="57" t="n"/>
      <c r="D721" s="57" t="n"/>
      <c r="E721" s="57" t="n"/>
    </row>
    <row r="722" ht="15.75" customHeight="1" s="94">
      <c r="A722" s="57" t="n"/>
      <c r="B722" s="57" t="n"/>
      <c r="C722" s="57" t="n"/>
      <c r="D722" s="57" t="n"/>
      <c r="E722" s="57" t="n"/>
    </row>
    <row r="723" ht="15.75" customHeight="1" s="94">
      <c r="A723" s="57" t="n"/>
      <c r="B723" s="57" t="n"/>
      <c r="C723" s="57" t="n"/>
      <c r="D723" s="57" t="n"/>
      <c r="E723" s="57" t="n"/>
    </row>
    <row r="724" ht="15.75" customHeight="1" s="94">
      <c r="A724" s="57" t="n"/>
      <c r="B724" s="57" t="n"/>
      <c r="C724" s="57" t="n"/>
      <c r="D724" s="57" t="n"/>
      <c r="E724" s="57" t="n"/>
    </row>
    <row r="725" ht="15.75" customHeight="1" s="94">
      <c r="A725" s="57" t="n"/>
      <c r="B725" s="57" t="n"/>
      <c r="C725" s="57" t="n"/>
      <c r="D725" s="57" t="n"/>
      <c r="E725" s="57" t="n"/>
    </row>
    <row r="726" ht="15.75" customHeight="1" s="94">
      <c r="A726" s="57" t="n"/>
      <c r="B726" s="57" t="n"/>
      <c r="C726" s="57" t="n"/>
      <c r="D726" s="57" t="n"/>
      <c r="E726" s="57" t="n"/>
    </row>
    <row r="727" ht="15.75" customHeight="1" s="94">
      <c r="A727" s="57" t="n"/>
      <c r="B727" s="57" t="n"/>
      <c r="C727" s="57" t="n"/>
      <c r="D727" s="57" t="n"/>
      <c r="E727" s="57" t="n"/>
    </row>
    <row r="728" ht="15.75" customHeight="1" s="94">
      <c r="A728" s="57" t="n"/>
      <c r="B728" s="57" t="n"/>
      <c r="C728" s="57" t="n"/>
      <c r="D728" s="57" t="n"/>
      <c r="E728" s="57" t="n"/>
    </row>
    <row r="729" ht="15.75" customHeight="1" s="94">
      <c r="A729" s="57" t="n"/>
      <c r="B729" s="57" t="n"/>
      <c r="C729" s="57" t="n"/>
      <c r="D729" s="57" t="n"/>
      <c r="E729" s="57" t="n"/>
    </row>
    <row r="730" ht="15.75" customHeight="1" s="94">
      <c r="A730" s="57" t="n"/>
      <c r="B730" s="57" t="n"/>
      <c r="C730" s="57" t="n"/>
      <c r="D730" s="57" t="n"/>
      <c r="E730" s="57" t="n"/>
    </row>
    <row r="731" ht="15.75" customHeight="1" s="94">
      <c r="A731" s="57" t="n"/>
      <c r="B731" s="57" t="n"/>
      <c r="C731" s="57" t="n"/>
      <c r="D731" s="57" t="n"/>
      <c r="E731" s="57" t="n"/>
    </row>
    <row r="732" ht="15.75" customHeight="1" s="94">
      <c r="A732" s="57" t="n"/>
      <c r="B732" s="57" t="n"/>
      <c r="C732" s="57" t="n"/>
      <c r="D732" s="57" t="n"/>
      <c r="E732" s="57" t="n"/>
    </row>
    <row r="733" ht="15.75" customHeight="1" s="94">
      <c r="A733" s="57" t="n"/>
      <c r="B733" s="57" t="n"/>
      <c r="C733" s="57" t="n"/>
      <c r="D733" s="57" t="n"/>
      <c r="E733" s="57" t="n"/>
    </row>
    <row r="734" ht="15.75" customHeight="1" s="94">
      <c r="A734" s="57" t="n"/>
      <c r="B734" s="57" t="n"/>
      <c r="C734" s="57" t="n"/>
      <c r="D734" s="57" t="n"/>
      <c r="E734" s="57" t="n"/>
    </row>
    <row r="735" ht="15.75" customHeight="1" s="94">
      <c r="A735" s="57" t="n"/>
      <c r="B735" s="57" t="n"/>
      <c r="C735" s="57" t="n"/>
      <c r="D735" s="57" t="n"/>
      <c r="E735" s="57" t="n"/>
    </row>
    <row r="736" ht="15.75" customHeight="1" s="94">
      <c r="A736" s="57" t="n"/>
      <c r="B736" s="57" t="n"/>
      <c r="C736" s="57" t="n"/>
      <c r="D736" s="57" t="n"/>
      <c r="E736" s="57" t="n"/>
    </row>
    <row r="737" ht="15.75" customHeight="1" s="94">
      <c r="A737" s="57" t="n"/>
      <c r="B737" s="57" t="n"/>
      <c r="C737" s="57" t="n"/>
      <c r="D737" s="57" t="n"/>
      <c r="E737" s="57" t="n"/>
    </row>
    <row r="738" ht="15.75" customHeight="1" s="94">
      <c r="A738" s="57" t="n"/>
      <c r="B738" s="57" t="n"/>
      <c r="C738" s="57" t="n"/>
      <c r="D738" s="57" t="n"/>
      <c r="E738" s="57" t="n"/>
    </row>
    <row r="739" ht="15.75" customHeight="1" s="94">
      <c r="A739" s="57" t="n"/>
      <c r="B739" s="57" t="n"/>
      <c r="C739" s="57" t="n"/>
      <c r="D739" s="57" t="n"/>
      <c r="E739" s="57" t="n"/>
    </row>
    <row r="740" ht="15.75" customHeight="1" s="94">
      <c r="A740" s="57" t="n"/>
      <c r="B740" s="57" t="n"/>
      <c r="C740" s="57" t="n"/>
      <c r="D740" s="57" t="n"/>
      <c r="E740" s="57" t="n"/>
    </row>
    <row r="741" ht="15.75" customHeight="1" s="94">
      <c r="A741" s="57" t="n"/>
      <c r="B741" s="57" t="n"/>
      <c r="C741" s="57" t="n"/>
      <c r="D741" s="57" t="n"/>
      <c r="E741" s="57" t="n"/>
    </row>
    <row r="742" ht="15.75" customHeight="1" s="94">
      <c r="A742" s="57" t="n"/>
      <c r="B742" s="57" t="n"/>
      <c r="C742" s="57" t="n"/>
      <c r="D742" s="57" t="n"/>
      <c r="E742" s="57" t="n"/>
    </row>
    <row r="743" ht="15.75" customHeight="1" s="94">
      <c r="A743" s="57" t="n"/>
      <c r="B743" s="57" t="n"/>
      <c r="C743" s="57" t="n"/>
      <c r="D743" s="57" t="n"/>
      <c r="E743" s="57" t="n"/>
    </row>
    <row r="744" ht="15.75" customHeight="1" s="94">
      <c r="A744" s="57" t="n"/>
      <c r="B744" s="57" t="n"/>
      <c r="C744" s="57" t="n"/>
      <c r="D744" s="57" t="n"/>
      <c r="E744" s="57" t="n"/>
    </row>
    <row r="745" ht="15.75" customHeight="1" s="94">
      <c r="A745" s="57" t="n"/>
      <c r="B745" s="57" t="n"/>
      <c r="C745" s="57" t="n"/>
      <c r="D745" s="57" t="n"/>
      <c r="E745" s="57" t="n"/>
    </row>
    <row r="746" ht="15.75" customHeight="1" s="94">
      <c r="A746" s="57" t="n"/>
      <c r="B746" s="57" t="n"/>
      <c r="C746" s="57" t="n"/>
      <c r="D746" s="57" t="n"/>
      <c r="E746" s="57" t="n"/>
    </row>
    <row r="747" ht="15.75" customHeight="1" s="94">
      <c r="A747" s="57" t="n"/>
      <c r="B747" s="57" t="n"/>
      <c r="C747" s="57" t="n"/>
      <c r="D747" s="57" t="n"/>
      <c r="E747" s="57" t="n"/>
    </row>
    <row r="748" ht="15.75" customHeight="1" s="94">
      <c r="A748" s="57" t="n"/>
      <c r="B748" s="57" t="n"/>
      <c r="C748" s="57" t="n"/>
      <c r="D748" s="57" t="n"/>
      <c r="E748" s="57" t="n"/>
    </row>
    <row r="749" ht="15.75" customHeight="1" s="94">
      <c r="A749" s="57" t="n"/>
      <c r="B749" s="57" t="n"/>
      <c r="C749" s="57" t="n"/>
      <c r="D749" s="57" t="n"/>
      <c r="E749" s="57" t="n"/>
    </row>
    <row r="750" ht="15.75" customHeight="1" s="94">
      <c r="A750" s="57" t="n"/>
      <c r="B750" s="57" t="n"/>
      <c r="C750" s="57" t="n"/>
      <c r="D750" s="57" t="n"/>
      <c r="E750" s="57" t="n"/>
    </row>
    <row r="751" ht="15.75" customHeight="1" s="94">
      <c r="A751" s="57" t="n"/>
      <c r="B751" s="57" t="n"/>
      <c r="C751" s="57" t="n"/>
      <c r="D751" s="57" t="n"/>
      <c r="E751" s="57" t="n"/>
    </row>
    <row r="752" ht="15.75" customHeight="1" s="94">
      <c r="A752" s="57" t="n"/>
      <c r="B752" s="57" t="n"/>
      <c r="C752" s="57" t="n"/>
      <c r="D752" s="57" t="n"/>
      <c r="E752" s="57" t="n"/>
    </row>
    <row r="753" ht="15.75" customHeight="1" s="94">
      <c r="A753" s="57" t="n"/>
      <c r="B753" s="57" t="n"/>
      <c r="C753" s="57" t="n"/>
      <c r="D753" s="57" t="n"/>
      <c r="E753" s="57" t="n"/>
    </row>
    <row r="754" ht="15.75" customHeight="1" s="94">
      <c r="A754" s="57" t="n"/>
      <c r="B754" s="57" t="n"/>
      <c r="C754" s="57" t="n"/>
      <c r="D754" s="57" t="n"/>
      <c r="E754" s="57" t="n"/>
    </row>
    <row r="755" ht="15.75" customHeight="1" s="94">
      <c r="A755" s="57" t="n"/>
      <c r="B755" s="57" t="n"/>
      <c r="C755" s="57" t="n"/>
      <c r="D755" s="57" t="n"/>
      <c r="E755" s="57" t="n"/>
    </row>
    <row r="756" ht="15.75" customHeight="1" s="94">
      <c r="A756" s="57" t="n"/>
      <c r="B756" s="57" t="n"/>
      <c r="C756" s="57" t="n"/>
      <c r="D756" s="57" t="n"/>
      <c r="E756" s="57" t="n"/>
    </row>
    <row r="757" ht="15.75" customHeight="1" s="94">
      <c r="A757" s="57" t="n"/>
      <c r="B757" s="57" t="n"/>
      <c r="C757" s="57" t="n"/>
      <c r="D757" s="57" t="n"/>
      <c r="E757" s="57" t="n"/>
    </row>
    <row r="758" ht="15.75" customHeight="1" s="94">
      <c r="A758" s="57" t="n"/>
      <c r="B758" s="57" t="n"/>
      <c r="C758" s="57" t="n"/>
      <c r="D758" s="57" t="n"/>
      <c r="E758" s="57" t="n"/>
    </row>
    <row r="759" ht="15.75" customHeight="1" s="94">
      <c r="A759" s="57" t="n"/>
      <c r="B759" s="57" t="n"/>
      <c r="C759" s="57" t="n"/>
      <c r="D759" s="57" t="n"/>
      <c r="E759" s="57" t="n"/>
    </row>
    <row r="760" ht="15.75" customHeight="1" s="94">
      <c r="A760" s="57" t="n"/>
      <c r="B760" s="57" t="n"/>
      <c r="C760" s="57" t="n"/>
      <c r="D760" s="57" t="n"/>
      <c r="E760" s="57" t="n"/>
    </row>
    <row r="761" ht="15.75" customHeight="1" s="94">
      <c r="A761" s="57" t="n"/>
      <c r="B761" s="57" t="n"/>
      <c r="C761" s="57" t="n"/>
      <c r="D761" s="57" t="n"/>
      <c r="E761" s="57" t="n"/>
    </row>
    <row r="762" ht="15.75" customHeight="1" s="94">
      <c r="A762" s="57" t="n"/>
      <c r="B762" s="57" t="n"/>
      <c r="C762" s="57" t="n"/>
      <c r="D762" s="57" t="n"/>
      <c r="E762" s="57" t="n"/>
    </row>
    <row r="763" ht="15.75" customHeight="1" s="94">
      <c r="A763" s="57" t="n"/>
      <c r="B763" s="57" t="n"/>
      <c r="C763" s="57" t="n"/>
      <c r="D763" s="57" t="n"/>
      <c r="E763" s="57" t="n"/>
    </row>
    <row r="764" ht="15.75" customHeight="1" s="94">
      <c r="A764" s="57" t="n"/>
      <c r="B764" s="57" t="n"/>
      <c r="C764" s="57" t="n"/>
      <c r="D764" s="57" t="n"/>
      <c r="E764" s="57" t="n"/>
    </row>
    <row r="765" ht="15.75" customHeight="1" s="94">
      <c r="A765" s="57" t="n"/>
      <c r="B765" s="57" t="n"/>
      <c r="C765" s="57" t="n"/>
      <c r="D765" s="57" t="n"/>
      <c r="E765" s="57" t="n"/>
    </row>
    <row r="766" ht="15.75" customHeight="1" s="94">
      <c r="A766" s="57" t="n"/>
      <c r="B766" s="57" t="n"/>
      <c r="C766" s="57" t="n"/>
      <c r="D766" s="57" t="n"/>
      <c r="E766" s="57" t="n"/>
    </row>
    <row r="767" ht="15.75" customHeight="1" s="94">
      <c r="A767" s="57" t="n"/>
      <c r="B767" s="57" t="n"/>
      <c r="C767" s="57" t="n"/>
      <c r="D767" s="57" t="n"/>
      <c r="E767" s="57" t="n"/>
    </row>
    <row r="768" ht="15.75" customHeight="1" s="94">
      <c r="A768" s="57" t="n"/>
      <c r="B768" s="57" t="n"/>
      <c r="C768" s="57" t="n"/>
      <c r="D768" s="57" t="n"/>
      <c r="E768" s="57" t="n"/>
    </row>
    <row r="769" ht="15.75" customHeight="1" s="94">
      <c r="A769" s="57" t="n"/>
      <c r="B769" s="57" t="n"/>
      <c r="C769" s="57" t="n"/>
      <c r="D769" s="57" t="n"/>
      <c r="E769" s="57" t="n"/>
    </row>
    <row r="770" ht="15.75" customHeight="1" s="94">
      <c r="A770" s="57" t="n"/>
      <c r="B770" s="57" t="n"/>
      <c r="C770" s="57" t="n"/>
      <c r="D770" s="57" t="n"/>
      <c r="E770" s="57" t="n"/>
    </row>
    <row r="771" ht="15.75" customHeight="1" s="94">
      <c r="A771" s="57" t="n"/>
      <c r="B771" s="57" t="n"/>
      <c r="C771" s="57" t="n"/>
      <c r="D771" s="57" t="n"/>
      <c r="E771" s="57" t="n"/>
    </row>
    <row r="772" ht="15.75" customHeight="1" s="94">
      <c r="A772" s="57" t="n"/>
      <c r="B772" s="57" t="n"/>
      <c r="C772" s="57" t="n"/>
      <c r="D772" s="57" t="n"/>
      <c r="E772" s="57" t="n"/>
    </row>
    <row r="773" ht="15.75" customHeight="1" s="94">
      <c r="A773" s="57" t="n"/>
      <c r="B773" s="57" t="n"/>
      <c r="C773" s="57" t="n"/>
      <c r="D773" s="57" t="n"/>
      <c r="E773" s="57" t="n"/>
    </row>
    <row r="774" ht="15.75" customHeight="1" s="94">
      <c r="A774" s="57" t="n"/>
      <c r="B774" s="57" t="n"/>
      <c r="C774" s="57" t="n"/>
      <c r="D774" s="57" t="n"/>
      <c r="E774" s="57" t="n"/>
    </row>
    <row r="775" ht="15.75" customHeight="1" s="94">
      <c r="A775" s="57" t="n"/>
      <c r="B775" s="57" t="n"/>
      <c r="C775" s="57" t="n"/>
      <c r="D775" s="57" t="n"/>
      <c r="E775" s="57" t="n"/>
    </row>
    <row r="776" ht="15.75" customHeight="1" s="94">
      <c r="A776" s="57" t="n"/>
      <c r="B776" s="57" t="n"/>
      <c r="C776" s="57" t="n"/>
      <c r="D776" s="57" t="n"/>
      <c r="E776" s="57" t="n"/>
    </row>
    <row r="777" ht="15.75" customHeight="1" s="94">
      <c r="A777" s="57" t="n"/>
      <c r="B777" s="57" t="n"/>
      <c r="C777" s="57" t="n"/>
      <c r="D777" s="57" t="n"/>
      <c r="E777" s="57" t="n"/>
    </row>
    <row r="778" ht="15.75" customHeight="1" s="94">
      <c r="A778" s="57" t="n"/>
      <c r="B778" s="57" t="n"/>
      <c r="C778" s="57" t="n"/>
      <c r="D778" s="57" t="n"/>
      <c r="E778" s="57" t="n"/>
    </row>
    <row r="779" ht="15.75" customHeight="1" s="94">
      <c r="A779" s="57" t="n"/>
      <c r="B779" s="57" t="n"/>
      <c r="C779" s="57" t="n"/>
      <c r="D779" s="57" t="n"/>
      <c r="E779" s="57" t="n"/>
    </row>
    <row r="780" ht="15.75" customHeight="1" s="94">
      <c r="A780" s="57" t="n"/>
      <c r="B780" s="57" t="n"/>
      <c r="C780" s="57" t="n"/>
      <c r="D780" s="57" t="n"/>
      <c r="E780" s="57" t="n"/>
    </row>
    <row r="781" ht="15.75" customHeight="1" s="94">
      <c r="A781" s="57" t="n"/>
      <c r="B781" s="57" t="n"/>
      <c r="C781" s="57" t="n"/>
      <c r="D781" s="57" t="n"/>
      <c r="E781" s="57" t="n"/>
    </row>
    <row r="782" ht="15.75" customHeight="1" s="94">
      <c r="A782" s="57" t="n"/>
      <c r="B782" s="57" t="n"/>
      <c r="C782" s="57" t="n"/>
      <c r="D782" s="57" t="n"/>
      <c r="E782" s="57" t="n"/>
    </row>
    <row r="783" ht="15.75" customHeight="1" s="94">
      <c r="A783" s="57" t="n"/>
      <c r="B783" s="57" t="n"/>
      <c r="C783" s="57" t="n"/>
      <c r="D783" s="57" t="n"/>
      <c r="E783" s="57" t="n"/>
    </row>
    <row r="784" ht="15.75" customHeight="1" s="94">
      <c r="A784" s="57" t="n"/>
      <c r="B784" s="57" t="n"/>
      <c r="C784" s="57" t="n"/>
      <c r="D784" s="57" t="n"/>
      <c r="E784" s="57" t="n"/>
    </row>
    <row r="785" ht="15.75" customHeight="1" s="94">
      <c r="A785" s="57" t="n"/>
      <c r="B785" s="57" t="n"/>
      <c r="C785" s="57" t="n"/>
      <c r="D785" s="57" t="n"/>
      <c r="E785" s="57" t="n"/>
    </row>
    <row r="786" ht="15.75" customHeight="1" s="94">
      <c r="A786" s="57" t="n"/>
      <c r="B786" s="57" t="n"/>
      <c r="C786" s="57" t="n"/>
      <c r="D786" s="57" t="n"/>
      <c r="E786" s="57" t="n"/>
    </row>
    <row r="787" ht="15.75" customHeight="1" s="94">
      <c r="A787" s="57" t="n"/>
      <c r="B787" s="57" t="n"/>
      <c r="C787" s="57" t="n"/>
      <c r="D787" s="57" t="n"/>
      <c r="E787" s="57" t="n"/>
    </row>
    <row r="788" ht="15.75" customHeight="1" s="94">
      <c r="A788" s="57" t="n"/>
      <c r="B788" s="57" t="n"/>
      <c r="C788" s="57" t="n"/>
      <c r="D788" s="57" t="n"/>
      <c r="E788" s="57" t="n"/>
    </row>
    <row r="789" ht="15.75" customHeight="1" s="94">
      <c r="A789" s="57" t="n"/>
      <c r="B789" s="57" t="n"/>
      <c r="C789" s="57" t="n"/>
      <c r="D789" s="57" t="n"/>
      <c r="E789" s="57" t="n"/>
    </row>
    <row r="790" ht="15.75" customHeight="1" s="94">
      <c r="A790" s="57" t="n"/>
      <c r="B790" s="57" t="n"/>
      <c r="C790" s="57" t="n"/>
      <c r="D790" s="57" t="n"/>
      <c r="E790" s="57" t="n"/>
    </row>
    <row r="791" ht="15.75" customHeight="1" s="94">
      <c r="A791" s="57" t="n"/>
      <c r="B791" s="57" t="n"/>
      <c r="C791" s="57" t="n"/>
      <c r="D791" s="57" t="n"/>
      <c r="E791" s="57" t="n"/>
    </row>
    <row r="792" ht="15.75" customHeight="1" s="94">
      <c r="A792" s="57" t="n"/>
      <c r="B792" s="57" t="n"/>
      <c r="C792" s="57" t="n"/>
      <c r="D792" s="57" t="n"/>
      <c r="E792" s="57" t="n"/>
    </row>
    <row r="793" ht="15.75" customHeight="1" s="94">
      <c r="A793" s="57" t="n"/>
      <c r="B793" s="57" t="n"/>
      <c r="C793" s="57" t="n"/>
      <c r="D793" s="57" t="n"/>
      <c r="E793" s="57" t="n"/>
    </row>
    <row r="794" ht="15.75" customHeight="1" s="94">
      <c r="A794" s="57" t="n"/>
      <c r="B794" s="57" t="n"/>
      <c r="C794" s="57" t="n"/>
      <c r="D794" s="57" t="n"/>
      <c r="E794" s="57" t="n"/>
    </row>
    <row r="795" ht="15.75" customHeight="1" s="94">
      <c r="A795" s="57" t="n"/>
      <c r="B795" s="57" t="n"/>
      <c r="C795" s="57" t="n"/>
      <c r="D795" s="57" t="n"/>
      <c r="E795" s="57" t="n"/>
    </row>
    <row r="796" ht="15.75" customHeight="1" s="94">
      <c r="A796" s="57" t="n"/>
      <c r="B796" s="57" t="n"/>
      <c r="C796" s="57" t="n"/>
      <c r="D796" s="57" t="n"/>
      <c r="E796" s="57" t="n"/>
    </row>
    <row r="797" ht="15.75" customHeight="1" s="94">
      <c r="A797" s="57" t="n"/>
      <c r="B797" s="57" t="n"/>
      <c r="C797" s="57" t="n"/>
      <c r="D797" s="57" t="n"/>
      <c r="E797" s="57" t="n"/>
    </row>
    <row r="798" ht="15.75" customHeight="1" s="94">
      <c r="A798" s="57" t="n"/>
      <c r="B798" s="57" t="n"/>
      <c r="C798" s="57" t="n"/>
      <c r="D798" s="57" t="n"/>
      <c r="E798" s="57" t="n"/>
    </row>
    <row r="799" ht="15.75" customHeight="1" s="94">
      <c r="A799" s="57" t="n"/>
      <c r="B799" s="57" t="n"/>
      <c r="C799" s="57" t="n"/>
      <c r="D799" s="57" t="n"/>
      <c r="E799" s="57" t="n"/>
    </row>
    <row r="800" ht="15.75" customHeight="1" s="94">
      <c r="A800" s="57" t="n"/>
      <c r="B800" s="57" t="n"/>
      <c r="C800" s="57" t="n"/>
      <c r="D800" s="57" t="n"/>
      <c r="E800" s="57" t="n"/>
    </row>
    <row r="801" ht="15.75" customHeight="1" s="94">
      <c r="A801" s="57" t="n"/>
      <c r="B801" s="57" t="n"/>
      <c r="C801" s="57" t="n"/>
      <c r="D801" s="57" t="n"/>
      <c r="E801" s="57" t="n"/>
    </row>
    <row r="802" ht="15.75" customHeight="1" s="94">
      <c r="A802" s="57" t="n"/>
      <c r="B802" s="57" t="n"/>
      <c r="C802" s="57" t="n"/>
      <c r="D802" s="57" t="n"/>
      <c r="E802" s="57" t="n"/>
    </row>
    <row r="803" ht="15.75" customHeight="1" s="94">
      <c r="A803" s="57" t="n"/>
      <c r="B803" s="57" t="n"/>
      <c r="C803" s="57" t="n"/>
      <c r="D803" s="57" t="n"/>
      <c r="E803" s="57" t="n"/>
    </row>
    <row r="804" ht="15.75" customHeight="1" s="94">
      <c r="A804" s="57" t="n"/>
      <c r="B804" s="57" t="n"/>
      <c r="C804" s="57" t="n"/>
      <c r="D804" s="57" t="n"/>
      <c r="E804" s="57" t="n"/>
    </row>
    <row r="805" ht="15.75" customHeight="1" s="94">
      <c r="A805" s="57" t="n"/>
      <c r="B805" s="57" t="n"/>
      <c r="C805" s="57" t="n"/>
      <c r="D805" s="57" t="n"/>
      <c r="E805" s="57" t="n"/>
    </row>
    <row r="806" ht="15.75" customHeight="1" s="94">
      <c r="A806" s="57" t="n"/>
      <c r="B806" s="57" t="n"/>
      <c r="C806" s="57" t="n"/>
      <c r="D806" s="57" t="n"/>
      <c r="E806" s="57" t="n"/>
    </row>
    <row r="807" ht="15.75" customHeight="1" s="94">
      <c r="A807" s="57" t="n"/>
      <c r="B807" s="57" t="n"/>
      <c r="C807" s="57" t="n"/>
      <c r="D807" s="57" t="n"/>
      <c r="E807" s="57" t="n"/>
    </row>
    <row r="808" ht="15.75" customHeight="1" s="94">
      <c r="A808" s="57" t="n"/>
      <c r="B808" s="57" t="n"/>
      <c r="C808" s="57" t="n"/>
      <c r="D808" s="57" t="n"/>
      <c r="E808" s="57" t="n"/>
    </row>
    <row r="809" ht="15.75" customHeight="1" s="94">
      <c r="A809" s="57" t="n"/>
      <c r="B809" s="57" t="n"/>
      <c r="C809" s="57" t="n"/>
      <c r="D809" s="57" t="n"/>
      <c r="E809" s="57" t="n"/>
    </row>
    <row r="810" ht="15.75" customHeight="1" s="94">
      <c r="A810" s="57" t="n"/>
      <c r="B810" s="57" t="n"/>
      <c r="C810" s="57" t="n"/>
      <c r="D810" s="57" t="n"/>
      <c r="E810" s="57" t="n"/>
    </row>
    <row r="811" ht="15.75" customHeight="1" s="94">
      <c r="A811" s="57" t="n"/>
      <c r="B811" s="57" t="n"/>
      <c r="C811" s="57" t="n"/>
      <c r="D811" s="57" t="n"/>
      <c r="E811" s="57" t="n"/>
    </row>
    <row r="812" ht="15.75" customHeight="1" s="94">
      <c r="A812" s="57" t="n"/>
      <c r="B812" s="57" t="n"/>
      <c r="C812" s="57" t="n"/>
      <c r="D812" s="57" t="n"/>
      <c r="E812" s="57" t="n"/>
    </row>
    <row r="813" ht="15.75" customHeight="1" s="94">
      <c r="A813" s="57" t="n"/>
      <c r="B813" s="57" t="n"/>
      <c r="C813" s="57" t="n"/>
      <c r="D813" s="57" t="n"/>
      <c r="E813" s="57" t="n"/>
    </row>
    <row r="814" ht="15.75" customHeight="1" s="94">
      <c r="A814" s="57" t="n"/>
      <c r="B814" s="57" t="n"/>
      <c r="C814" s="57" t="n"/>
      <c r="D814" s="57" t="n"/>
      <c r="E814" s="57" t="n"/>
    </row>
    <row r="815" ht="15.75" customHeight="1" s="94">
      <c r="A815" s="57" t="n"/>
      <c r="B815" s="57" t="n"/>
      <c r="C815" s="57" t="n"/>
      <c r="D815" s="57" t="n"/>
      <c r="E815" s="57" t="n"/>
    </row>
    <row r="816" ht="15.75" customHeight="1" s="94">
      <c r="A816" s="57" t="n"/>
      <c r="B816" s="57" t="n"/>
      <c r="C816" s="57" t="n"/>
      <c r="D816" s="57" t="n"/>
      <c r="E816" s="57" t="n"/>
    </row>
    <row r="817" ht="15.75" customHeight="1" s="94">
      <c r="A817" s="57" t="n"/>
      <c r="B817" s="57" t="n"/>
      <c r="C817" s="57" t="n"/>
      <c r="D817" s="57" t="n"/>
      <c r="E817" s="57" t="n"/>
    </row>
    <row r="818" ht="15.75" customHeight="1" s="94">
      <c r="A818" s="57" t="n"/>
      <c r="B818" s="57" t="n"/>
      <c r="C818" s="57" t="n"/>
      <c r="D818" s="57" t="n"/>
      <c r="E818" s="57" t="n"/>
    </row>
    <row r="819" ht="15.75" customHeight="1" s="94">
      <c r="A819" s="57" t="n"/>
      <c r="B819" s="57" t="n"/>
      <c r="C819" s="57" t="n"/>
      <c r="D819" s="57" t="n"/>
      <c r="E819" s="57" t="n"/>
    </row>
    <row r="820" ht="15.75" customHeight="1" s="94">
      <c r="A820" s="57" t="n"/>
      <c r="B820" s="57" t="n"/>
      <c r="C820" s="57" t="n"/>
      <c r="D820" s="57" t="n"/>
      <c r="E820" s="57" t="n"/>
    </row>
    <row r="821" ht="15.75" customHeight="1" s="94">
      <c r="A821" s="57" t="n"/>
      <c r="B821" s="57" t="n"/>
      <c r="C821" s="57" t="n"/>
      <c r="D821" s="57" t="n"/>
      <c r="E821" s="57" t="n"/>
    </row>
    <row r="822" ht="15.75" customHeight="1" s="94">
      <c r="A822" s="57" t="n"/>
      <c r="B822" s="57" t="n"/>
      <c r="C822" s="57" t="n"/>
      <c r="D822" s="57" t="n"/>
      <c r="E822" s="57" t="n"/>
    </row>
    <row r="823" ht="15.75" customHeight="1" s="94">
      <c r="A823" s="57" t="n"/>
      <c r="B823" s="57" t="n"/>
      <c r="C823" s="57" t="n"/>
      <c r="D823" s="57" t="n"/>
      <c r="E823" s="57" t="n"/>
    </row>
    <row r="824" ht="15.75" customHeight="1" s="94">
      <c r="A824" s="57" t="n"/>
      <c r="B824" s="57" t="n"/>
      <c r="C824" s="57" t="n"/>
      <c r="D824" s="57" t="n"/>
      <c r="E824" s="57" t="n"/>
    </row>
    <row r="825" ht="15.75" customHeight="1" s="94">
      <c r="A825" s="57" t="n"/>
      <c r="B825" s="57" t="n"/>
      <c r="C825" s="57" t="n"/>
      <c r="D825" s="57" t="n"/>
      <c r="E825" s="57" t="n"/>
    </row>
    <row r="826" ht="15.75" customHeight="1" s="94">
      <c r="A826" s="57" t="n"/>
      <c r="B826" s="57" t="n"/>
      <c r="C826" s="57" t="n"/>
      <c r="D826" s="57" t="n"/>
      <c r="E826" s="57" t="n"/>
    </row>
    <row r="827" ht="15.75" customHeight="1" s="94">
      <c r="A827" s="57" t="n"/>
      <c r="B827" s="57" t="n"/>
      <c r="C827" s="57" t="n"/>
      <c r="D827" s="57" t="n"/>
      <c r="E827" s="57" t="n"/>
    </row>
    <row r="828" ht="15.75" customHeight="1" s="94">
      <c r="A828" s="57" t="n"/>
      <c r="B828" s="57" t="n"/>
      <c r="C828" s="57" t="n"/>
      <c r="D828" s="57" t="n"/>
      <c r="E828" s="57" t="n"/>
    </row>
    <row r="829" ht="15.75" customHeight="1" s="94">
      <c r="A829" s="57" t="n"/>
      <c r="B829" s="57" t="n"/>
      <c r="C829" s="57" t="n"/>
      <c r="D829" s="57" t="n"/>
      <c r="E829" s="57" t="n"/>
    </row>
    <row r="830" ht="15.75" customHeight="1" s="94">
      <c r="A830" s="57" t="n"/>
      <c r="B830" s="57" t="n"/>
      <c r="C830" s="57" t="n"/>
      <c r="D830" s="57" t="n"/>
      <c r="E830" s="57" t="n"/>
    </row>
    <row r="831" ht="15.75" customHeight="1" s="94">
      <c r="A831" s="57" t="n"/>
      <c r="B831" s="57" t="n"/>
      <c r="C831" s="57" t="n"/>
      <c r="D831" s="57" t="n"/>
      <c r="E831" s="57" t="n"/>
    </row>
    <row r="832" ht="15.75" customHeight="1" s="94">
      <c r="A832" s="57" t="n"/>
      <c r="B832" s="57" t="n"/>
      <c r="C832" s="57" t="n"/>
      <c r="D832" s="57" t="n"/>
      <c r="E832" s="57" t="n"/>
    </row>
    <row r="833" ht="15.75" customHeight="1" s="94">
      <c r="A833" s="57" t="n"/>
      <c r="B833" s="57" t="n"/>
      <c r="C833" s="57" t="n"/>
      <c r="D833" s="57" t="n"/>
      <c r="E833" s="57" t="n"/>
    </row>
    <row r="834" ht="15.75" customHeight="1" s="94">
      <c r="A834" s="57" t="n"/>
      <c r="B834" s="57" t="n"/>
      <c r="C834" s="57" t="n"/>
      <c r="D834" s="57" t="n"/>
      <c r="E834" s="57" t="n"/>
    </row>
    <row r="835" ht="15.75" customHeight="1" s="94">
      <c r="A835" s="57" t="n"/>
      <c r="B835" s="57" t="n"/>
      <c r="C835" s="57" t="n"/>
      <c r="D835" s="57" t="n"/>
      <c r="E835" s="57" t="n"/>
    </row>
    <row r="836" ht="15.75" customHeight="1" s="94">
      <c r="A836" s="57" t="n"/>
      <c r="B836" s="57" t="n"/>
      <c r="C836" s="57" t="n"/>
      <c r="D836" s="57" t="n"/>
      <c r="E836" s="57" t="n"/>
    </row>
    <row r="837" ht="15.75" customHeight="1" s="94">
      <c r="A837" s="57" t="n"/>
      <c r="B837" s="57" t="n"/>
      <c r="C837" s="57" t="n"/>
      <c r="D837" s="57" t="n"/>
      <c r="E837" s="57" t="n"/>
    </row>
    <row r="838" ht="15.75" customHeight="1" s="94">
      <c r="A838" s="57" t="n"/>
      <c r="B838" s="57" t="n"/>
      <c r="C838" s="57" t="n"/>
      <c r="D838" s="57" t="n"/>
      <c r="E838" s="57" t="n"/>
    </row>
    <row r="839" ht="15.75" customHeight="1" s="94">
      <c r="A839" s="57" t="n"/>
      <c r="B839" s="57" t="n"/>
      <c r="C839" s="57" t="n"/>
      <c r="D839" s="57" t="n"/>
      <c r="E839" s="57" t="n"/>
    </row>
    <row r="840" ht="15.75" customHeight="1" s="94">
      <c r="A840" s="57" t="n"/>
      <c r="B840" s="57" t="n"/>
      <c r="C840" s="57" t="n"/>
      <c r="D840" s="57" t="n"/>
      <c r="E840" s="57" t="n"/>
    </row>
    <row r="841" ht="15.75" customHeight="1" s="94">
      <c r="A841" s="57" t="n"/>
      <c r="B841" s="57" t="n"/>
      <c r="C841" s="57" t="n"/>
      <c r="D841" s="57" t="n"/>
      <c r="E841" s="57" t="n"/>
    </row>
    <row r="842" ht="15.75" customHeight="1" s="94">
      <c r="A842" s="57" t="n"/>
      <c r="B842" s="57" t="n"/>
      <c r="C842" s="57" t="n"/>
      <c r="D842" s="57" t="n"/>
      <c r="E842" s="57" t="n"/>
    </row>
    <row r="843" ht="15.75" customHeight="1" s="94">
      <c r="A843" s="57" t="n"/>
      <c r="B843" s="57" t="n"/>
      <c r="C843" s="57" t="n"/>
      <c r="D843" s="57" t="n"/>
      <c r="E843" s="57" t="n"/>
    </row>
    <row r="844" ht="15.75" customHeight="1" s="94">
      <c r="A844" s="57" t="n"/>
      <c r="B844" s="57" t="n"/>
      <c r="C844" s="57" t="n"/>
      <c r="D844" s="57" t="n"/>
      <c r="E844" s="57" t="n"/>
    </row>
    <row r="845" ht="15.75" customHeight="1" s="94">
      <c r="A845" s="57" t="n"/>
      <c r="B845" s="57" t="n"/>
      <c r="C845" s="57" t="n"/>
      <c r="D845" s="57" t="n"/>
      <c r="E845" s="57" t="n"/>
    </row>
    <row r="846" ht="15.75" customHeight="1" s="94">
      <c r="A846" s="57" t="n"/>
      <c r="B846" s="57" t="n"/>
      <c r="C846" s="57" t="n"/>
      <c r="D846" s="57" t="n"/>
      <c r="E846" s="57" t="n"/>
    </row>
    <row r="847" ht="15.75" customHeight="1" s="94">
      <c r="A847" s="57" t="n"/>
      <c r="B847" s="57" t="n"/>
      <c r="C847" s="57" t="n"/>
      <c r="D847" s="57" t="n"/>
      <c r="E847" s="57" t="n"/>
    </row>
    <row r="848" ht="15.75" customHeight="1" s="94">
      <c r="A848" s="57" t="n"/>
      <c r="B848" s="57" t="n"/>
      <c r="C848" s="57" t="n"/>
      <c r="D848" s="57" t="n"/>
      <c r="E848" s="57" t="n"/>
    </row>
    <row r="849" ht="15.75" customHeight="1" s="94">
      <c r="A849" s="57" t="n"/>
      <c r="B849" s="57" t="n"/>
      <c r="C849" s="57" t="n"/>
      <c r="D849" s="57" t="n"/>
      <c r="E849" s="57" t="n"/>
    </row>
    <row r="850" ht="15.75" customHeight="1" s="94">
      <c r="A850" s="57" t="n"/>
      <c r="B850" s="57" t="n"/>
      <c r="C850" s="57" t="n"/>
      <c r="D850" s="57" t="n"/>
      <c r="E850" s="57" t="n"/>
    </row>
    <row r="851" ht="15.75" customHeight="1" s="94">
      <c r="A851" s="57" t="n"/>
      <c r="B851" s="57" t="n"/>
      <c r="C851" s="57" t="n"/>
      <c r="D851" s="57" t="n"/>
      <c r="E851" s="57" t="n"/>
    </row>
    <row r="852" ht="15.75" customHeight="1" s="94">
      <c r="A852" s="57" t="n"/>
      <c r="B852" s="57" t="n"/>
      <c r="C852" s="57" t="n"/>
      <c r="D852" s="57" t="n"/>
      <c r="E852" s="57" t="n"/>
    </row>
    <row r="853" ht="15.75" customHeight="1" s="94">
      <c r="A853" s="57" t="n"/>
      <c r="B853" s="57" t="n"/>
      <c r="C853" s="57" t="n"/>
      <c r="D853" s="57" t="n"/>
      <c r="E853" s="57" t="n"/>
    </row>
    <row r="854" ht="15.75" customHeight="1" s="94">
      <c r="A854" s="57" t="n"/>
      <c r="B854" s="57" t="n"/>
      <c r="C854" s="57" t="n"/>
      <c r="D854" s="57" t="n"/>
      <c r="E854" s="57" t="n"/>
    </row>
    <row r="855" ht="15.75" customHeight="1" s="94">
      <c r="A855" s="57" t="n"/>
      <c r="B855" s="57" t="n"/>
      <c r="C855" s="57" t="n"/>
      <c r="D855" s="57" t="n"/>
      <c r="E855" s="57" t="n"/>
    </row>
    <row r="856" ht="15.75" customHeight="1" s="94">
      <c r="A856" s="57" t="n"/>
      <c r="B856" s="57" t="n"/>
      <c r="C856" s="57" t="n"/>
      <c r="D856" s="57" t="n"/>
      <c r="E856" s="57" t="n"/>
    </row>
    <row r="857" ht="15.75" customHeight="1" s="94">
      <c r="A857" s="57" t="n"/>
      <c r="B857" s="57" t="n"/>
      <c r="C857" s="57" t="n"/>
      <c r="D857" s="57" t="n"/>
      <c r="E857" s="57" t="n"/>
    </row>
    <row r="858" ht="15.75" customHeight="1" s="94">
      <c r="A858" s="57" t="n"/>
      <c r="B858" s="57" t="n"/>
      <c r="C858" s="57" t="n"/>
      <c r="D858" s="57" t="n"/>
      <c r="E858" s="57" t="n"/>
    </row>
    <row r="859" ht="15.75" customHeight="1" s="94">
      <c r="A859" s="57" t="n"/>
      <c r="B859" s="57" t="n"/>
      <c r="C859" s="57" t="n"/>
      <c r="D859" s="57" t="n"/>
      <c r="E859" s="57" t="n"/>
    </row>
    <row r="860" ht="15.75" customHeight="1" s="94">
      <c r="A860" s="57" t="n"/>
      <c r="B860" s="57" t="n"/>
      <c r="C860" s="57" t="n"/>
      <c r="D860" s="57" t="n"/>
      <c r="E860" s="57" t="n"/>
    </row>
    <row r="861" ht="15.75" customHeight="1" s="94">
      <c r="A861" s="57" t="n"/>
      <c r="B861" s="57" t="n"/>
      <c r="C861" s="57" t="n"/>
      <c r="D861" s="57" t="n"/>
      <c r="E861" s="57" t="n"/>
    </row>
    <row r="862" ht="15.75" customHeight="1" s="94">
      <c r="A862" s="57" t="n"/>
      <c r="B862" s="57" t="n"/>
      <c r="C862" s="57" t="n"/>
      <c r="D862" s="57" t="n"/>
      <c r="E862" s="57" t="n"/>
    </row>
    <row r="863" ht="15.75" customHeight="1" s="94">
      <c r="A863" s="57" t="n"/>
      <c r="B863" s="57" t="n"/>
      <c r="C863" s="57" t="n"/>
      <c r="D863" s="57" t="n"/>
      <c r="E863" s="57" t="n"/>
    </row>
    <row r="864" ht="15.75" customHeight="1" s="94">
      <c r="A864" s="57" t="n"/>
      <c r="B864" s="57" t="n"/>
      <c r="C864" s="57" t="n"/>
      <c r="D864" s="57" t="n"/>
      <c r="E864" s="57" t="n"/>
    </row>
    <row r="865" ht="15.75" customHeight="1" s="94">
      <c r="A865" s="57" t="n"/>
      <c r="B865" s="57" t="n"/>
      <c r="C865" s="57" t="n"/>
      <c r="D865" s="57" t="n"/>
      <c r="E865" s="57" t="n"/>
    </row>
    <row r="866" ht="15.75" customHeight="1" s="94">
      <c r="A866" s="57" t="n"/>
      <c r="B866" s="57" t="n"/>
      <c r="C866" s="57" t="n"/>
      <c r="D866" s="57" t="n"/>
      <c r="E866" s="57" t="n"/>
    </row>
    <row r="867" ht="15.75" customHeight="1" s="94">
      <c r="A867" s="57" t="n"/>
      <c r="B867" s="57" t="n"/>
      <c r="C867" s="57" t="n"/>
      <c r="D867" s="57" t="n"/>
      <c r="E867" s="57" t="n"/>
    </row>
    <row r="868" ht="15.75" customHeight="1" s="94">
      <c r="A868" s="57" t="n"/>
      <c r="B868" s="57" t="n"/>
      <c r="C868" s="57" t="n"/>
      <c r="D868" s="57" t="n"/>
      <c r="E868" s="57" t="n"/>
    </row>
    <row r="869" ht="15.75" customHeight="1" s="94">
      <c r="A869" s="57" t="n"/>
      <c r="B869" s="57" t="n"/>
      <c r="C869" s="57" t="n"/>
      <c r="D869" s="57" t="n"/>
      <c r="E869" s="57" t="n"/>
    </row>
    <row r="870" ht="15.75" customHeight="1" s="94">
      <c r="A870" s="57" t="n"/>
      <c r="B870" s="57" t="n"/>
      <c r="C870" s="57" t="n"/>
      <c r="D870" s="57" t="n"/>
      <c r="E870" s="57" t="n"/>
    </row>
    <row r="871" ht="15.75" customHeight="1" s="94">
      <c r="A871" s="57" t="n"/>
      <c r="B871" s="57" t="n"/>
      <c r="C871" s="57" t="n"/>
      <c r="D871" s="57" t="n"/>
      <c r="E871" s="57" t="n"/>
    </row>
    <row r="872" ht="15.75" customHeight="1" s="94">
      <c r="A872" s="57" t="n"/>
      <c r="B872" s="57" t="n"/>
      <c r="C872" s="57" t="n"/>
      <c r="D872" s="57" t="n"/>
      <c r="E872" s="57" t="n"/>
    </row>
    <row r="873" ht="15.75" customHeight="1" s="94">
      <c r="A873" s="57" t="n"/>
      <c r="B873" s="57" t="n"/>
      <c r="C873" s="57" t="n"/>
      <c r="D873" s="57" t="n"/>
      <c r="E873" s="57" t="n"/>
    </row>
    <row r="874" ht="15.75" customHeight="1" s="94">
      <c r="A874" s="57" t="n"/>
      <c r="B874" s="57" t="n"/>
      <c r="C874" s="57" t="n"/>
      <c r="D874" s="57" t="n"/>
      <c r="E874" s="57" t="n"/>
    </row>
    <row r="875" ht="15.75" customHeight="1" s="94">
      <c r="A875" s="57" t="n"/>
      <c r="B875" s="57" t="n"/>
      <c r="C875" s="57" t="n"/>
      <c r="D875" s="57" t="n"/>
      <c r="E875" s="57" t="n"/>
    </row>
    <row r="876" ht="15.75" customHeight="1" s="94">
      <c r="A876" s="57" t="n"/>
      <c r="B876" s="57" t="n"/>
      <c r="C876" s="57" t="n"/>
      <c r="D876" s="57" t="n"/>
      <c r="E876" s="57" t="n"/>
    </row>
    <row r="877" ht="15.75" customHeight="1" s="94">
      <c r="A877" s="57" t="n"/>
      <c r="B877" s="57" t="n"/>
      <c r="C877" s="57" t="n"/>
      <c r="D877" s="57" t="n"/>
      <c r="E877" s="57" t="n"/>
    </row>
    <row r="878" ht="15.75" customHeight="1" s="94">
      <c r="A878" s="57" t="n"/>
      <c r="B878" s="57" t="n"/>
      <c r="C878" s="57" t="n"/>
      <c r="D878" s="57" t="n"/>
      <c r="E878" s="57" t="n"/>
    </row>
    <row r="879" ht="15.75" customHeight="1" s="94">
      <c r="A879" s="57" t="n"/>
      <c r="B879" s="57" t="n"/>
      <c r="C879" s="57" t="n"/>
      <c r="D879" s="57" t="n"/>
      <c r="E879" s="57" t="n"/>
    </row>
    <row r="880" ht="15.75" customHeight="1" s="94">
      <c r="A880" s="57" t="n"/>
      <c r="B880" s="57" t="n"/>
      <c r="C880" s="57" t="n"/>
      <c r="D880" s="57" t="n"/>
      <c r="E880" s="57" t="n"/>
    </row>
    <row r="881" ht="15.75" customHeight="1" s="94">
      <c r="A881" s="57" t="n"/>
      <c r="B881" s="57" t="n"/>
      <c r="C881" s="57" t="n"/>
      <c r="D881" s="57" t="n"/>
      <c r="E881" s="57" t="n"/>
    </row>
    <row r="882" ht="15.75" customHeight="1" s="94">
      <c r="A882" s="57" t="n"/>
      <c r="B882" s="57" t="n"/>
      <c r="C882" s="57" t="n"/>
      <c r="D882" s="57" t="n"/>
      <c r="E882" s="57" t="n"/>
    </row>
    <row r="883" ht="15.75" customHeight="1" s="94">
      <c r="A883" s="57" t="n"/>
      <c r="B883" s="57" t="n"/>
      <c r="C883" s="57" t="n"/>
      <c r="D883" s="57" t="n"/>
      <c r="E883" s="57" t="n"/>
    </row>
    <row r="884" ht="15.75" customHeight="1" s="94">
      <c r="A884" s="57" t="n"/>
      <c r="B884" s="57" t="n"/>
      <c r="C884" s="57" t="n"/>
      <c r="D884" s="57" t="n"/>
      <c r="E884" s="57" t="n"/>
    </row>
    <row r="885" ht="15.75" customHeight="1" s="94">
      <c r="A885" s="57" t="n"/>
      <c r="B885" s="57" t="n"/>
      <c r="C885" s="57" t="n"/>
      <c r="D885" s="57" t="n"/>
      <c r="E885" s="57" t="n"/>
    </row>
    <row r="886" ht="15.75" customHeight="1" s="94">
      <c r="A886" s="57" t="n"/>
      <c r="B886" s="57" t="n"/>
      <c r="C886" s="57" t="n"/>
      <c r="D886" s="57" t="n"/>
      <c r="E886" s="57" t="n"/>
    </row>
    <row r="887" ht="15.75" customHeight="1" s="94">
      <c r="A887" s="57" t="n"/>
      <c r="B887" s="57" t="n"/>
      <c r="C887" s="57" t="n"/>
      <c r="D887" s="57" t="n"/>
      <c r="E887" s="57" t="n"/>
    </row>
    <row r="888" ht="15.75" customHeight="1" s="94">
      <c r="A888" s="57" t="n"/>
      <c r="B888" s="57" t="n"/>
      <c r="C888" s="57" t="n"/>
      <c r="D888" s="57" t="n"/>
      <c r="E888" s="57" t="n"/>
    </row>
    <row r="889" ht="15.75" customHeight="1" s="94">
      <c r="A889" s="57" t="n"/>
      <c r="B889" s="57" t="n"/>
      <c r="C889" s="57" t="n"/>
      <c r="D889" s="57" t="n"/>
      <c r="E889" s="57" t="n"/>
    </row>
    <row r="890" ht="15.75" customHeight="1" s="94">
      <c r="A890" s="57" t="n"/>
      <c r="B890" s="57" t="n"/>
      <c r="C890" s="57" t="n"/>
      <c r="D890" s="57" t="n"/>
      <c r="E890" s="57" t="n"/>
    </row>
    <row r="891" ht="15.75" customHeight="1" s="94">
      <c r="A891" s="57" t="n"/>
      <c r="B891" s="57" t="n"/>
      <c r="C891" s="57" t="n"/>
      <c r="D891" s="57" t="n"/>
      <c r="E891" s="57" t="n"/>
    </row>
    <row r="892" ht="15.75" customHeight="1" s="94">
      <c r="A892" s="57" t="n"/>
      <c r="B892" s="57" t="n"/>
      <c r="C892" s="57" t="n"/>
      <c r="D892" s="57" t="n"/>
      <c r="E892" s="57" t="n"/>
    </row>
    <row r="893" ht="15.75" customHeight="1" s="94">
      <c r="A893" s="57" t="n"/>
      <c r="B893" s="57" t="n"/>
      <c r="C893" s="57" t="n"/>
      <c r="D893" s="57" t="n"/>
      <c r="E893" s="57" t="n"/>
    </row>
    <row r="894" ht="15.75" customHeight="1" s="94">
      <c r="A894" s="57" t="n"/>
      <c r="B894" s="57" t="n"/>
      <c r="C894" s="57" t="n"/>
      <c r="D894" s="57" t="n"/>
      <c r="E894" s="57" t="n"/>
    </row>
    <row r="895" ht="15.75" customHeight="1" s="94">
      <c r="A895" s="57" t="n"/>
      <c r="B895" s="57" t="n"/>
      <c r="C895" s="57" t="n"/>
      <c r="D895" s="57" t="n"/>
      <c r="E895" s="57" t="n"/>
    </row>
    <row r="896" ht="15.75" customHeight="1" s="94">
      <c r="A896" s="57" t="n"/>
      <c r="B896" s="57" t="n"/>
      <c r="C896" s="57" t="n"/>
      <c r="D896" s="57" t="n"/>
      <c r="E896" s="57" t="n"/>
    </row>
    <row r="897" ht="15.75" customHeight="1" s="94">
      <c r="A897" s="57" t="n"/>
      <c r="B897" s="57" t="n"/>
      <c r="C897" s="57" t="n"/>
      <c r="D897" s="57" t="n"/>
      <c r="E897" s="57" t="n"/>
    </row>
    <row r="898" ht="15.75" customHeight="1" s="94">
      <c r="A898" s="57" t="n"/>
      <c r="B898" s="57" t="n"/>
      <c r="C898" s="57" t="n"/>
      <c r="D898" s="57" t="n"/>
      <c r="E898" s="57" t="n"/>
    </row>
    <row r="899" ht="15.75" customHeight="1" s="94">
      <c r="A899" s="57" t="n"/>
      <c r="B899" s="57" t="n"/>
      <c r="C899" s="57" t="n"/>
      <c r="D899" s="57" t="n"/>
      <c r="E899" s="57" t="n"/>
    </row>
    <row r="900" ht="15.75" customHeight="1" s="94">
      <c r="A900" s="57" t="n"/>
      <c r="B900" s="57" t="n"/>
      <c r="C900" s="57" t="n"/>
      <c r="D900" s="57" t="n"/>
      <c r="E900" s="57" t="n"/>
    </row>
    <row r="901" ht="15.75" customHeight="1" s="94">
      <c r="A901" s="57" t="n"/>
      <c r="B901" s="57" t="n"/>
      <c r="C901" s="57" t="n"/>
      <c r="D901" s="57" t="n"/>
      <c r="E901" s="57" t="n"/>
    </row>
    <row r="902" ht="15.75" customHeight="1" s="94">
      <c r="A902" s="57" t="n"/>
      <c r="B902" s="57" t="n"/>
      <c r="C902" s="57" t="n"/>
      <c r="D902" s="57" t="n"/>
      <c r="E902" s="57" t="n"/>
    </row>
    <row r="903" ht="15.75" customHeight="1" s="94">
      <c r="A903" s="57" t="n"/>
      <c r="B903" s="57" t="n"/>
      <c r="C903" s="57" t="n"/>
      <c r="D903" s="57" t="n"/>
      <c r="E903" s="57" t="n"/>
    </row>
    <row r="904" ht="15.75" customHeight="1" s="94">
      <c r="A904" s="57" t="n"/>
      <c r="B904" s="57" t="n"/>
      <c r="C904" s="57" t="n"/>
      <c r="D904" s="57" t="n"/>
      <c r="E904" s="57" t="n"/>
    </row>
    <row r="905" ht="15.75" customHeight="1" s="94">
      <c r="A905" s="57" t="n"/>
      <c r="B905" s="57" t="n"/>
      <c r="C905" s="57" t="n"/>
      <c r="D905" s="57" t="n"/>
      <c r="E905" s="57" t="n"/>
    </row>
    <row r="906" ht="15.75" customHeight="1" s="94">
      <c r="A906" s="57" t="n"/>
      <c r="B906" s="57" t="n"/>
      <c r="C906" s="57" t="n"/>
      <c r="D906" s="57" t="n"/>
      <c r="E906" s="57" t="n"/>
    </row>
    <row r="907" ht="15.75" customHeight="1" s="94">
      <c r="A907" s="57" t="n"/>
      <c r="B907" s="57" t="n"/>
      <c r="C907" s="57" t="n"/>
      <c r="D907" s="57" t="n"/>
      <c r="E907" s="57" t="n"/>
    </row>
    <row r="908" ht="15.75" customHeight="1" s="94">
      <c r="A908" s="57" t="n"/>
      <c r="B908" s="57" t="n"/>
      <c r="C908" s="57" t="n"/>
      <c r="D908" s="57" t="n"/>
      <c r="E908" s="57" t="n"/>
    </row>
    <row r="909" ht="15.75" customHeight="1" s="94">
      <c r="A909" s="57" t="n"/>
      <c r="B909" s="57" t="n"/>
      <c r="C909" s="57" t="n"/>
      <c r="D909" s="57" t="n"/>
      <c r="E909" s="57" t="n"/>
    </row>
    <row r="910" ht="15.75" customHeight="1" s="94">
      <c r="A910" s="57" t="n"/>
      <c r="B910" s="57" t="n"/>
      <c r="C910" s="57" t="n"/>
      <c r="D910" s="57" t="n"/>
      <c r="E910" s="57" t="n"/>
    </row>
    <row r="911" ht="15.75" customHeight="1" s="94">
      <c r="A911" s="57" t="n"/>
      <c r="B911" s="57" t="n"/>
      <c r="C911" s="57" t="n"/>
      <c r="D911" s="57" t="n"/>
      <c r="E911" s="57" t="n"/>
    </row>
    <row r="912" ht="15.75" customHeight="1" s="94">
      <c r="A912" s="57" t="n"/>
      <c r="B912" s="57" t="n"/>
      <c r="C912" s="57" t="n"/>
      <c r="D912" s="57" t="n"/>
      <c r="E912" s="57" t="n"/>
    </row>
    <row r="913" ht="15.75" customHeight="1" s="94">
      <c r="A913" s="57" t="n"/>
      <c r="B913" s="57" t="n"/>
      <c r="C913" s="57" t="n"/>
      <c r="D913" s="57" t="n"/>
      <c r="E913" s="57" t="n"/>
    </row>
    <row r="914" ht="15.75" customHeight="1" s="94">
      <c r="A914" s="57" t="n"/>
      <c r="B914" s="57" t="n"/>
      <c r="C914" s="57" t="n"/>
      <c r="D914" s="57" t="n"/>
      <c r="E914" s="57" t="n"/>
    </row>
    <row r="915" ht="15.75" customHeight="1" s="94">
      <c r="A915" s="57" t="n"/>
      <c r="B915" s="57" t="n"/>
      <c r="C915" s="57" t="n"/>
      <c r="D915" s="57" t="n"/>
      <c r="E915" s="57" t="n"/>
    </row>
    <row r="916" ht="15.75" customHeight="1" s="94">
      <c r="A916" s="57" t="n"/>
      <c r="B916" s="57" t="n"/>
      <c r="C916" s="57" t="n"/>
      <c r="D916" s="57" t="n"/>
      <c r="E916" s="57" t="n"/>
    </row>
    <row r="917" ht="15.75" customHeight="1" s="94">
      <c r="A917" s="57" t="n"/>
      <c r="B917" s="57" t="n"/>
      <c r="C917" s="57" t="n"/>
      <c r="D917" s="57" t="n"/>
      <c r="E917" s="57" t="n"/>
    </row>
    <row r="918" ht="15.75" customHeight="1" s="94">
      <c r="A918" s="57" t="n"/>
      <c r="B918" s="57" t="n"/>
      <c r="C918" s="57" t="n"/>
      <c r="D918" s="57" t="n"/>
      <c r="E918" s="57" t="n"/>
    </row>
    <row r="919" ht="15.75" customHeight="1" s="94">
      <c r="A919" s="57" t="n"/>
      <c r="B919" s="57" t="n"/>
      <c r="C919" s="57" t="n"/>
      <c r="D919" s="57" t="n"/>
      <c r="E919" s="57" t="n"/>
    </row>
    <row r="920" ht="15.75" customHeight="1" s="94">
      <c r="A920" s="57" t="n"/>
      <c r="B920" s="57" t="n"/>
      <c r="C920" s="57" t="n"/>
      <c r="D920" s="57" t="n"/>
      <c r="E920" s="57" t="n"/>
    </row>
    <row r="921" ht="15.75" customHeight="1" s="94">
      <c r="A921" s="57" t="n"/>
      <c r="B921" s="57" t="n"/>
      <c r="C921" s="57" t="n"/>
      <c r="D921" s="57" t="n"/>
      <c r="E921" s="57" t="n"/>
    </row>
    <row r="922" ht="15.75" customHeight="1" s="94">
      <c r="A922" s="57" t="n"/>
      <c r="B922" s="57" t="n"/>
      <c r="C922" s="57" t="n"/>
      <c r="D922" s="57" t="n"/>
      <c r="E922" s="57" t="n"/>
    </row>
    <row r="923" ht="15.75" customHeight="1" s="94">
      <c r="A923" s="57" t="n"/>
      <c r="B923" s="57" t="n"/>
      <c r="C923" s="57" t="n"/>
      <c r="D923" s="57" t="n"/>
      <c r="E923" s="57" t="n"/>
    </row>
    <row r="924" ht="15.75" customHeight="1" s="94">
      <c r="A924" s="57" t="n"/>
      <c r="B924" s="57" t="n"/>
      <c r="C924" s="57" t="n"/>
      <c r="D924" s="57" t="n"/>
      <c r="E924" s="57" t="n"/>
    </row>
    <row r="925" ht="15.75" customHeight="1" s="94">
      <c r="A925" s="57" t="n"/>
      <c r="B925" s="57" t="n"/>
      <c r="C925" s="57" t="n"/>
      <c r="D925" s="57" t="n"/>
      <c r="E925" s="57" t="n"/>
    </row>
    <row r="926" ht="15.75" customHeight="1" s="94">
      <c r="A926" s="57" t="n"/>
      <c r="B926" s="57" t="n"/>
      <c r="C926" s="57" t="n"/>
      <c r="D926" s="57" t="n"/>
      <c r="E926" s="57" t="n"/>
    </row>
    <row r="927" ht="15.75" customHeight="1" s="94">
      <c r="A927" s="57" t="n"/>
      <c r="B927" s="57" t="n"/>
      <c r="C927" s="57" t="n"/>
      <c r="D927" s="57" t="n"/>
      <c r="E927" s="57" t="n"/>
    </row>
    <row r="928" ht="15.75" customHeight="1" s="94">
      <c r="A928" s="57" t="n"/>
      <c r="B928" s="57" t="n"/>
      <c r="C928" s="57" t="n"/>
      <c r="D928" s="57" t="n"/>
      <c r="E928" s="57" t="n"/>
    </row>
    <row r="929" ht="15.75" customHeight="1" s="94">
      <c r="A929" s="57" t="n"/>
      <c r="B929" s="57" t="n"/>
      <c r="C929" s="57" t="n"/>
      <c r="D929" s="57" t="n"/>
      <c r="E929" s="57" t="n"/>
    </row>
    <row r="930" ht="15.75" customHeight="1" s="94">
      <c r="A930" s="57" t="n"/>
      <c r="B930" s="57" t="n"/>
      <c r="C930" s="57" t="n"/>
      <c r="D930" s="57" t="n"/>
      <c r="E930" s="57" t="n"/>
    </row>
    <row r="931" ht="15.75" customHeight="1" s="94">
      <c r="A931" s="57" t="n"/>
      <c r="B931" s="57" t="n"/>
      <c r="C931" s="57" t="n"/>
      <c r="D931" s="57" t="n"/>
      <c r="E931" s="57" t="n"/>
    </row>
    <row r="932" ht="15.75" customHeight="1" s="94">
      <c r="A932" s="57" t="n"/>
      <c r="B932" s="57" t="n"/>
      <c r="C932" s="57" t="n"/>
      <c r="D932" s="57" t="n"/>
      <c r="E932" s="57" t="n"/>
    </row>
    <row r="933" ht="15.75" customHeight="1" s="94">
      <c r="A933" s="57" t="n"/>
      <c r="B933" s="57" t="n"/>
      <c r="C933" s="57" t="n"/>
      <c r="D933" s="57" t="n"/>
      <c r="E933" s="57" t="n"/>
    </row>
    <row r="934" ht="15.75" customHeight="1" s="94">
      <c r="A934" s="57" t="n"/>
      <c r="B934" s="57" t="n"/>
      <c r="C934" s="57" t="n"/>
      <c r="D934" s="57" t="n"/>
      <c r="E934" s="57" t="n"/>
    </row>
    <row r="935" ht="15.75" customHeight="1" s="94">
      <c r="A935" s="57" t="n"/>
      <c r="B935" s="57" t="n"/>
      <c r="C935" s="57" t="n"/>
      <c r="D935" s="57" t="n"/>
      <c r="E935" s="57" t="n"/>
    </row>
    <row r="936" ht="15.75" customHeight="1" s="94">
      <c r="A936" s="57" t="n"/>
      <c r="B936" s="57" t="n"/>
      <c r="C936" s="57" t="n"/>
      <c r="D936" s="57" t="n"/>
      <c r="E936" s="57" t="n"/>
    </row>
    <row r="937" ht="15.75" customHeight="1" s="94">
      <c r="A937" s="57" t="n"/>
      <c r="B937" s="57" t="n"/>
      <c r="C937" s="57" t="n"/>
      <c r="D937" s="57" t="n"/>
      <c r="E937" s="57" t="n"/>
    </row>
    <row r="938" ht="15.75" customHeight="1" s="94">
      <c r="A938" s="57" t="n"/>
      <c r="B938" s="57" t="n"/>
      <c r="C938" s="57" t="n"/>
      <c r="D938" s="57" t="n"/>
      <c r="E938" s="57" t="n"/>
    </row>
    <row r="939" ht="15.75" customHeight="1" s="94">
      <c r="A939" s="57" t="n"/>
      <c r="B939" s="57" t="n"/>
      <c r="C939" s="57" t="n"/>
      <c r="D939" s="57" t="n"/>
      <c r="E939" s="57" t="n"/>
    </row>
    <row r="940" ht="15.75" customHeight="1" s="94">
      <c r="A940" s="57" t="n"/>
      <c r="B940" s="57" t="n"/>
      <c r="C940" s="57" t="n"/>
      <c r="D940" s="57" t="n"/>
      <c r="E940" s="57" t="n"/>
    </row>
    <row r="941" ht="15.75" customHeight="1" s="94">
      <c r="A941" s="57" t="n"/>
      <c r="B941" s="57" t="n"/>
      <c r="C941" s="57" t="n"/>
      <c r="D941" s="57" t="n"/>
      <c r="E941" s="57" t="n"/>
    </row>
    <row r="942" ht="15.75" customHeight="1" s="94">
      <c r="A942" s="57" t="n"/>
      <c r="B942" s="57" t="n"/>
      <c r="C942" s="57" t="n"/>
      <c r="D942" s="57" t="n"/>
      <c r="E942" s="57" t="n"/>
    </row>
    <row r="943" ht="15.75" customHeight="1" s="94">
      <c r="A943" s="57" t="n"/>
      <c r="B943" s="57" t="n"/>
      <c r="C943" s="57" t="n"/>
      <c r="D943" s="57" t="n"/>
      <c r="E943" s="57" t="n"/>
    </row>
    <row r="944" ht="15.75" customHeight="1" s="94">
      <c r="A944" s="57" t="n"/>
      <c r="B944" s="57" t="n"/>
      <c r="C944" s="57" t="n"/>
      <c r="D944" s="57" t="n"/>
      <c r="E944" s="57" t="n"/>
    </row>
    <row r="945" ht="15.75" customHeight="1" s="94">
      <c r="A945" s="57" t="n"/>
      <c r="B945" s="57" t="n"/>
      <c r="C945" s="57" t="n"/>
      <c r="D945" s="57" t="n"/>
      <c r="E945" s="57" t="n"/>
    </row>
    <row r="946" ht="15.75" customHeight="1" s="94">
      <c r="A946" s="57" t="n"/>
      <c r="B946" s="57" t="n"/>
      <c r="C946" s="57" t="n"/>
      <c r="D946" s="57" t="n"/>
      <c r="E946" s="57" t="n"/>
    </row>
    <row r="947" ht="15.75" customHeight="1" s="94">
      <c r="A947" s="57" t="n"/>
      <c r="B947" s="57" t="n"/>
      <c r="C947" s="57" t="n"/>
      <c r="D947" s="57" t="n"/>
      <c r="E947" s="57" t="n"/>
    </row>
    <row r="948" ht="15.75" customHeight="1" s="94">
      <c r="A948" s="57" t="n"/>
      <c r="B948" s="57" t="n"/>
      <c r="C948" s="57" t="n"/>
      <c r="D948" s="57" t="n"/>
      <c r="E948" s="57" t="n"/>
    </row>
    <row r="949" ht="15.75" customHeight="1" s="94">
      <c r="A949" s="57" t="n"/>
      <c r="B949" s="57" t="n"/>
      <c r="C949" s="57" t="n"/>
      <c r="D949" s="57" t="n"/>
      <c r="E949" s="57" t="n"/>
    </row>
    <row r="950" ht="15.75" customHeight="1" s="94">
      <c r="A950" s="57" t="n"/>
      <c r="B950" s="57" t="n"/>
      <c r="C950" s="57" t="n"/>
      <c r="D950" s="57" t="n"/>
      <c r="E950" s="57" t="n"/>
    </row>
    <row r="951" ht="15.75" customHeight="1" s="94">
      <c r="A951" s="57" t="n"/>
      <c r="B951" s="57" t="n"/>
      <c r="C951" s="57" t="n"/>
      <c r="D951" s="57" t="n"/>
      <c r="E951" s="57" t="n"/>
    </row>
    <row r="952" ht="15.75" customHeight="1" s="94">
      <c r="A952" s="57" t="n"/>
      <c r="B952" s="57" t="n"/>
      <c r="C952" s="57" t="n"/>
      <c r="D952" s="57" t="n"/>
      <c r="E952" s="57" t="n"/>
    </row>
    <row r="953" ht="15.75" customHeight="1" s="94">
      <c r="A953" s="57" t="n"/>
      <c r="B953" s="57" t="n"/>
      <c r="C953" s="57" t="n"/>
      <c r="D953" s="57" t="n"/>
      <c r="E953" s="57" t="n"/>
    </row>
    <row r="954" ht="15.75" customHeight="1" s="94">
      <c r="A954" s="57" t="n"/>
      <c r="B954" s="57" t="n"/>
      <c r="C954" s="57" t="n"/>
      <c r="D954" s="57" t="n"/>
      <c r="E954" s="57" t="n"/>
    </row>
    <row r="955" ht="15.75" customHeight="1" s="94">
      <c r="A955" s="57" t="n"/>
      <c r="B955" s="57" t="n"/>
      <c r="C955" s="57" t="n"/>
      <c r="D955" s="57" t="n"/>
      <c r="E955" s="57" t="n"/>
    </row>
    <row r="956" ht="15.75" customHeight="1" s="94">
      <c r="A956" s="57" t="n"/>
      <c r="B956" s="57" t="n"/>
      <c r="C956" s="57" t="n"/>
      <c r="D956" s="57" t="n"/>
      <c r="E956" s="57" t="n"/>
    </row>
    <row r="957" ht="15.75" customHeight="1" s="94">
      <c r="A957" s="57" t="n"/>
      <c r="B957" s="57" t="n"/>
      <c r="C957" s="57" t="n"/>
      <c r="D957" s="57" t="n"/>
      <c r="E957" s="57" t="n"/>
    </row>
    <row r="958" ht="15.75" customHeight="1" s="94">
      <c r="A958" s="57" t="n"/>
      <c r="B958" s="57" t="n"/>
      <c r="C958" s="57" t="n"/>
      <c r="D958" s="57" t="n"/>
      <c r="E958" s="57" t="n"/>
    </row>
    <row r="959" ht="15.75" customHeight="1" s="94">
      <c r="A959" s="57" t="n"/>
      <c r="B959" s="57" t="n"/>
      <c r="C959" s="57" t="n"/>
      <c r="D959" s="57" t="n"/>
      <c r="E959" s="57" t="n"/>
    </row>
    <row r="960" ht="15.75" customHeight="1" s="94">
      <c r="A960" s="57" t="n"/>
      <c r="B960" s="57" t="n"/>
      <c r="C960" s="57" t="n"/>
      <c r="D960" s="57" t="n"/>
      <c r="E960" s="57" t="n"/>
    </row>
    <row r="961" ht="15.75" customHeight="1" s="94">
      <c r="A961" s="57" t="n"/>
      <c r="B961" s="57" t="n"/>
      <c r="C961" s="57" t="n"/>
      <c r="D961" s="57" t="n"/>
      <c r="E961" s="57" t="n"/>
    </row>
    <row r="962" ht="15.75" customHeight="1" s="94">
      <c r="A962" s="57" t="n"/>
      <c r="B962" s="57" t="n"/>
      <c r="C962" s="57" t="n"/>
      <c r="D962" s="57" t="n"/>
      <c r="E962" s="57" t="n"/>
    </row>
    <row r="963" ht="15.75" customHeight="1" s="94">
      <c r="A963" s="57" t="n"/>
      <c r="B963" s="57" t="n"/>
      <c r="C963" s="57" t="n"/>
      <c r="D963" s="57" t="n"/>
      <c r="E963" s="57" t="n"/>
    </row>
    <row r="964" ht="15.75" customHeight="1" s="94">
      <c r="A964" s="57" t="n"/>
      <c r="B964" s="57" t="n"/>
      <c r="C964" s="57" t="n"/>
      <c r="D964" s="57" t="n"/>
      <c r="E964" s="57" t="n"/>
    </row>
    <row r="965" ht="15.75" customHeight="1" s="94">
      <c r="A965" s="57" t="n"/>
      <c r="B965" s="57" t="n"/>
      <c r="C965" s="57" t="n"/>
      <c r="D965" s="57" t="n"/>
      <c r="E965" s="57" t="n"/>
    </row>
    <row r="966" ht="15.75" customHeight="1" s="94">
      <c r="A966" s="57" t="n"/>
      <c r="B966" s="57" t="n"/>
      <c r="C966" s="57" t="n"/>
      <c r="D966" s="57" t="n"/>
      <c r="E966" s="57" t="n"/>
    </row>
    <row r="967" ht="15.75" customHeight="1" s="94">
      <c r="A967" s="57" t="n"/>
      <c r="B967" s="57" t="n"/>
      <c r="C967" s="57" t="n"/>
      <c r="D967" s="57" t="n"/>
      <c r="E967" s="57" t="n"/>
    </row>
    <row r="968" ht="15.75" customHeight="1" s="94">
      <c r="A968" s="57" t="n"/>
      <c r="B968" s="57" t="n"/>
      <c r="C968" s="57" t="n"/>
      <c r="D968" s="57" t="n"/>
      <c r="E968" s="57" t="n"/>
    </row>
    <row r="969" ht="15.75" customHeight="1" s="94">
      <c r="A969" s="57" t="n"/>
      <c r="B969" s="57" t="n"/>
      <c r="C969" s="57" t="n"/>
      <c r="D969" s="57" t="n"/>
      <c r="E969" s="57" t="n"/>
    </row>
    <row r="970" ht="15.75" customHeight="1" s="94">
      <c r="A970" s="57" t="n"/>
      <c r="B970" s="57" t="n"/>
      <c r="C970" s="57" t="n"/>
      <c r="D970" s="57" t="n"/>
      <c r="E970" s="57" t="n"/>
    </row>
    <row r="971" ht="15.75" customHeight="1" s="94">
      <c r="A971" s="57" t="n"/>
      <c r="B971" s="57" t="n"/>
      <c r="C971" s="57" t="n"/>
      <c r="D971" s="57" t="n"/>
      <c r="E971" s="57" t="n"/>
    </row>
    <row r="972" ht="15.75" customHeight="1" s="94">
      <c r="A972" s="57" t="n"/>
      <c r="B972" s="57" t="n"/>
      <c r="C972" s="57" t="n"/>
      <c r="D972" s="57" t="n"/>
      <c r="E972" s="57" t="n"/>
    </row>
    <row r="973" ht="15.75" customHeight="1" s="94">
      <c r="A973" s="57" t="n"/>
      <c r="B973" s="57" t="n"/>
      <c r="C973" s="57" t="n"/>
      <c r="D973" s="57" t="n"/>
      <c r="E973" s="57" t="n"/>
    </row>
    <row r="974" ht="15.75" customHeight="1" s="94">
      <c r="A974" s="57" t="n"/>
      <c r="B974" s="57" t="n"/>
      <c r="C974" s="57" t="n"/>
      <c r="D974" s="57" t="n"/>
      <c r="E974" s="57" t="n"/>
    </row>
    <row r="975" ht="15.75" customHeight="1" s="94">
      <c r="A975" s="57" t="n"/>
      <c r="B975" s="57" t="n"/>
      <c r="C975" s="57" t="n"/>
      <c r="D975" s="57" t="n"/>
      <c r="E975" s="57" t="n"/>
    </row>
    <row r="976" ht="15.75" customHeight="1" s="94">
      <c r="A976" s="57" t="n"/>
      <c r="B976" s="57" t="n"/>
      <c r="C976" s="57" t="n"/>
      <c r="D976" s="57" t="n"/>
      <c r="E976" s="57" t="n"/>
    </row>
    <row r="977" ht="15.75" customHeight="1" s="94">
      <c r="A977" s="57" t="n"/>
      <c r="B977" s="57" t="n"/>
      <c r="C977" s="57" t="n"/>
      <c r="D977" s="57" t="n"/>
      <c r="E977" s="57" t="n"/>
    </row>
    <row r="978" ht="15.75" customHeight="1" s="94">
      <c r="A978" s="57" t="n"/>
      <c r="B978" s="57" t="n"/>
      <c r="C978" s="57" t="n"/>
      <c r="D978" s="57" t="n"/>
      <c r="E978" s="57" t="n"/>
    </row>
    <row r="979" ht="15.75" customHeight="1" s="94">
      <c r="A979" s="57" t="n"/>
      <c r="B979" s="57" t="n"/>
      <c r="C979" s="57" t="n"/>
      <c r="D979" s="57" t="n"/>
      <c r="E979" s="57" t="n"/>
    </row>
    <row r="980" ht="15.75" customHeight="1" s="94">
      <c r="A980" s="57" t="n"/>
      <c r="B980" s="57" t="n"/>
      <c r="C980" s="57" t="n"/>
      <c r="D980" s="57" t="n"/>
      <c r="E980" s="57" t="n"/>
    </row>
    <row r="981" ht="15.75" customHeight="1" s="94">
      <c r="A981" s="57" t="n"/>
      <c r="B981" s="57" t="n"/>
      <c r="C981" s="57" t="n"/>
      <c r="D981" s="57" t="n"/>
      <c r="E981" s="57" t="n"/>
    </row>
    <row r="982" ht="15.75" customHeight="1" s="94">
      <c r="A982" s="57" t="n"/>
      <c r="B982" s="57" t="n"/>
      <c r="C982" s="57" t="n"/>
      <c r="D982" s="57" t="n"/>
      <c r="E982" s="57" t="n"/>
    </row>
    <row r="983" ht="15.75" customHeight="1" s="94">
      <c r="A983" s="57" t="n"/>
      <c r="B983" s="57" t="n"/>
      <c r="C983" s="57" t="n"/>
      <c r="D983" s="57" t="n"/>
      <c r="E983" s="57" t="n"/>
    </row>
    <row r="984" ht="15.75" customHeight="1" s="94">
      <c r="A984" s="57" t="n"/>
      <c r="B984" s="57" t="n"/>
      <c r="C984" s="57" t="n"/>
      <c r="D984" s="57" t="n"/>
      <c r="E984" s="57" t="n"/>
    </row>
    <row r="985" ht="15.75" customHeight="1" s="94">
      <c r="A985" s="57" t="n"/>
      <c r="B985" s="57" t="n"/>
      <c r="C985" s="57" t="n"/>
      <c r="D985" s="57" t="n"/>
      <c r="E985" s="57" t="n"/>
    </row>
    <row r="986" ht="15.75" customHeight="1" s="94">
      <c r="A986" s="57" t="n"/>
      <c r="B986" s="57" t="n"/>
      <c r="C986" s="57" t="n"/>
      <c r="D986" s="57" t="n"/>
      <c r="E986" s="57" t="n"/>
    </row>
    <row r="987" ht="15.75" customHeight="1" s="94">
      <c r="A987" s="57" t="n"/>
      <c r="B987" s="57" t="n"/>
      <c r="C987" s="57" t="n"/>
      <c r="D987" s="57" t="n"/>
      <c r="E987" s="57" t="n"/>
    </row>
    <row r="988" ht="15.75" customHeight="1" s="94">
      <c r="A988" s="57" t="n"/>
      <c r="B988" s="57" t="n"/>
      <c r="C988" s="57" t="n"/>
      <c r="D988" s="57" t="n"/>
      <c r="E988" s="57" t="n"/>
    </row>
    <row r="989" ht="15.75" customHeight="1" s="94">
      <c r="A989" s="57" t="n"/>
      <c r="B989" s="57" t="n"/>
      <c r="C989" s="57" t="n"/>
      <c r="D989" s="57" t="n"/>
      <c r="E989" s="57" t="n"/>
    </row>
    <row r="990" ht="15.75" customHeight="1" s="94">
      <c r="A990" s="57" t="n"/>
      <c r="B990" s="57" t="n"/>
      <c r="C990" s="57" t="n"/>
      <c r="D990" s="57" t="n"/>
      <c r="E990" s="57" t="n"/>
    </row>
    <row r="991" ht="15.75" customHeight="1" s="94">
      <c r="A991" s="57" t="n"/>
      <c r="B991" s="57" t="n"/>
      <c r="C991" s="57" t="n"/>
      <c r="D991" s="57" t="n"/>
      <c r="E991" s="57" t="n"/>
    </row>
    <row r="992" ht="15.75" customHeight="1" s="94">
      <c r="A992" s="57" t="n"/>
      <c r="B992" s="57" t="n"/>
      <c r="C992" s="57" t="n"/>
      <c r="D992" s="57" t="n"/>
      <c r="E992" s="57" t="n"/>
    </row>
    <row r="993" ht="15.75" customHeight="1" s="94">
      <c r="A993" s="57" t="n"/>
      <c r="B993" s="57" t="n"/>
      <c r="C993" s="57" t="n"/>
      <c r="D993" s="57" t="n"/>
      <c r="E993" s="57" t="n"/>
    </row>
    <row r="994" ht="15.75" customHeight="1" s="94">
      <c r="A994" s="57" t="n"/>
      <c r="B994" s="57" t="n"/>
      <c r="C994" s="57" t="n"/>
      <c r="D994" s="57" t="n"/>
      <c r="E994" s="57" t="n"/>
    </row>
    <row r="995" ht="15.75" customHeight="1" s="94">
      <c r="A995" s="57" t="n"/>
      <c r="B995" s="57" t="n"/>
      <c r="C995" s="57" t="n"/>
      <c r="D995" s="57" t="n"/>
      <c r="E995" s="57" t="n"/>
    </row>
    <row r="996" ht="15.75" customHeight="1" s="94">
      <c r="A996" s="57" t="n"/>
      <c r="B996" s="57" t="n"/>
      <c r="C996" s="57" t="n"/>
      <c r="D996" s="57" t="n"/>
      <c r="E996" s="57" t="n"/>
    </row>
    <row r="997" ht="15.75" customHeight="1" s="94">
      <c r="A997" s="57" t="n"/>
      <c r="B997" s="57" t="n"/>
      <c r="C997" s="57" t="n"/>
      <c r="D997" s="57" t="n"/>
      <c r="E997" s="57" t="n"/>
    </row>
    <row r="998" ht="15.75" customHeight="1" s="94">
      <c r="A998" s="57" t="n"/>
      <c r="B998" s="57" t="n"/>
      <c r="C998" s="57" t="n"/>
      <c r="D998" s="57" t="n"/>
      <c r="E998" s="57" t="n"/>
    </row>
    <row r="999" ht="15.75" customHeight="1" s="94">
      <c r="A999" s="57" t="n"/>
      <c r="B999" s="57" t="n"/>
      <c r="C999" s="57" t="n"/>
      <c r="D999" s="57" t="n"/>
      <c r="E999" s="57" t="n"/>
    </row>
    <row r="1000" ht="15.75" customHeight="1" s="94">
      <c r="A1000" s="57" t="n"/>
      <c r="B1000" s="57" t="n"/>
      <c r="C1000" s="57" t="n"/>
      <c r="D1000" s="57" t="n"/>
      <c r="E1000" s="57" t="n"/>
    </row>
  </sheetData>
  <autoFilter ref="$A$4:$E$11"/>
  <mergeCells count="2">
    <mergeCell ref="A2:E2"/>
    <mergeCell ref="A1:E1"/>
  </mergeCells>
  <printOptions horizontalCentered="1"/>
  <pageMargins left="0.25" right="0.25" top="1" bottom="1" header="0" footer="0"/>
  <pageSetup orientation="landscape"/>
</worksheet>
</file>

<file path=xl/worksheets/sheet20.xml><?xml version="1.0" encoding="utf-8"?>
<worksheet xmlns="http://schemas.openxmlformats.org/spreadsheetml/2006/main">
  <sheetPr>
    <tabColor rgb="000A9444"/>
    <outlinePr summaryBelow="1" summaryRight="1"/>
    <pageSetUpPr fitToPage="1"/>
  </sheetPr>
  <dimension ref="A1:G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style="94" min="1" max="1"/>
    <col width="38" customWidth="1" style="94" min="2" max="2"/>
    <col width="22" customWidth="1" style="94" min="3" max="3"/>
    <col width="22" customWidth="1" style="94" min="4" max="4"/>
    <col width="19" customWidth="1" style="94" min="5" max="5"/>
    <col width="18" customWidth="1" style="94" min="6" max="6"/>
    <col width="76" customWidth="1" style="94" min="7" max="7"/>
  </cols>
  <sheetData>
    <row r="1" ht="34" customHeight="1" s="94">
      <c r="A1" s="126" t="inlineStr">
        <is>
          <t>V5 — DANH SÁCH VAI TRÒ (ROLE)</t>
        </is>
      </c>
    </row>
    <row r="2" ht="38" customHeight="1" s="94">
      <c r="A2" s="127" t="inlineStr">
        <is>
          <t>7 vai trò V1 đang hoạt động + Kế toán dự phòng. Không dùng chuỗi tên vai trò trong code để cho phép thao tác.</t>
        </is>
      </c>
    </row>
    <row r="4" ht="38" customHeight="1" s="94">
      <c r="A4" s="128" t="inlineStr">
        <is>
          <t>ROLE_CODE</t>
        </is>
      </c>
      <c r="B4" s="128" t="inlineStr">
        <is>
          <t>Tên hiển thị</t>
        </is>
      </c>
      <c r="C4" s="128" t="inlineStr">
        <is>
          <t>Bộ phận</t>
        </is>
      </c>
      <c r="D4" s="128" t="inlineStr">
        <is>
          <t>Cấp</t>
        </is>
      </c>
      <c r="E4" s="128" t="inlineStr">
        <is>
          <t>Kích hoạt V1</t>
        </is>
      </c>
      <c r="F4" s="128" t="inlineStr">
        <is>
          <t>Giai đoạn</t>
        </is>
      </c>
      <c r="G4" s="128" t="inlineStr">
        <is>
          <t>Mô tả / phạm vi</t>
        </is>
      </c>
    </row>
    <row r="5" ht="36" customHeight="1" s="94">
      <c r="A5" s="129" t="inlineStr">
        <is>
          <t>SEC_STAFF</t>
        </is>
      </c>
      <c r="B5" s="130" t="inlineStr">
        <is>
          <t>Nhân viên An ninh</t>
        </is>
      </c>
      <c r="C5" s="130" t="inlineStr">
        <is>
          <t>AN_NINH</t>
        </is>
      </c>
      <c r="D5" s="130" t="inlineStr">
        <is>
          <t>Nhân viên</t>
        </is>
      </c>
      <c r="E5" s="131" t="inlineStr">
        <is>
          <t>Có</t>
        </is>
      </c>
      <c r="F5" s="130" t="inlineStr">
        <is>
          <t>V1</t>
        </is>
      </c>
      <c r="G5" s="130" t="inlineStr">
        <is>
          <t>Kiểm soát cổng, thu vé/phí lưu, ghi xe/cont ra, sửa mã cont có nhật ký.</t>
        </is>
      </c>
    </row>
    <row r="6" ht="36" customHeight="1" s="94">
      <c r="A6" s="132" t="inlineStr">
        <is>
          <t>SEC_LEAD</t>
        </is>
      </c>
      <c r="B6" s="133" t="inlineStr">
        <is>
          <t>Trưởng bộ phận An ninh</t>
        </is>
      </c>
      <c r="C6" s="133" t="inlineStr">
        <is>
          <t>AN_NINH</t>
        </is>
      </c>
      <c r="D6" s="133" t="inlineStr">
        <is>
          <t>Trưởng bộ phận</t>
        </is>
      </c>
      <c r="E6" s="134" t="inlineStr">
        <is>
          <t>Có</t>
        </is>
      </c>
      <c r="F6" s="133" t="inlineStr">
        <is>
          <t>V1</t>
        </is>
      </c>
      <c r="G6" s="133" t="inlineStr">
        <is>
          <t>Toàn quyền nghiệp vụ An ninh, xem thu ca/bộ phận, xử lý ngoại lệ.</t>
        </is>
      </c>
    </row>
    <row r="7" ht="36" customHeight="1" s="94">
      <c r="A7" s="129" t="inlineStr">
        <is>
          <t>PORT_STAFF</t>
        </is>
      </c>
      <c r="B7" s="130" t="inlineStr">
        <is>
          <t>Nhân viên Cổng cảng kho bãi</t>
        </is>
      </c>
      <c r="C7" s="130" t="inlineStr">
        <is>
          <t>CCKB</t>
        </is>
      </c>
      <c r="D7" s="130" t="inlineStr">
        <is>
          <t>Nhân viên</t>
        </is>
      </c>
      <c r="E7" s="131" t="inlineStr">
        <is>
          <t>Có</t>
        </is>
      </c>
      <c r="F7" s="130" t="inlineStr">
        <is>
          <t>V1</t>
        </is>
      </c>
      <c r="G7" s="130" t="inlineStr">
        <is>
          <t>Điện dự kiến, nhập/sửa giờ, thu điện, xác nhận tài chính/ngoại lệ có lý do.</t>
        </is>
      </c>
    </row>
    <row r="8" ht="36" customHeight="1" s="94">
      <c r="A8" s="132" t="inlineStr">
        <is>
          <t>PORT_LEAD</t>
        </is>
      </c>
      <c r="B8" s="133" t="inlineStr">
        <is>
          <t>Trưởng bộ phận Cổng cảng kho bãi</t>
        </is>
      </c>
      <c r="C8" s="133" t="inlineStr">
        <is>
          <t>CCKB</t>
        </is>
      </c>
      <c r="D8" s="133" t="inlineStr">
        <is>
          <t>Trưởng bộ phận</t>
        </is>
      </c>
      <c r="E8" s="134" t="inlineStr">
        <is>
          <t>Có</t>
        </is>
      </c>
      <c r="F8" s="133" t="inlineStr">
        <is>
          <t>V1</t>
        </is>
      </c>
      <c r="G8" s="133" t="inlineStr">
        <is>
          <t>Duyệt điều chỉnh tiền sau thu, xem đối soát, hỗ trợ nhân viên CCKB.</t>
        </is>
      </c>
    </row>
    <row r="9" ht="36" customHeight="1" s="94">
      <c r="A9" s="129" t="inlineStr">
        <is>
          <t>DIS_STAFF</t>
        </is>
      </c>
      <c r="B9" s="130" t="inlineStr">
        <is>
          <t>Nhân viên Điều phối</t>
        </is>
      </c>
      <c r="C9" s="130" t="inlineStr">
        <is>
          <t>DIEU_PHOI</t>
        </is>
      </c>
      <c r="D9" s="130" t="inlineStr">
        <is>
          <t>Nhân viên</t>
        </is>
      </c>
      <c r="E9" s="131" t="inlineStr">
        <is>
          <t>Có</t>
        </is>
      </c>
      <c r="F9" s="130" t="inlineStr">
        <is>
          <t>V1</t>
        </is>
      </c>
      <c r="G9" s="130" t="inlineStr">
        <is>
          <t>Cập nhật tình trạng container HÀNG/RỖNG trong bãi.</t>
        </is>
      </c>
    </row>
    <row r="10" ht="36" customHeight="1" s="94">
      <c r="A10" s="132" t="inlineStr">
        <is>
          <t>DIS_LEAD</t>
        </is>
      </c>
      <c r="B10" s="133" t="inlineStr">
        <is>
          <t>Trưởng bộ phận Điều phối</t>
        </is>
      </c>
      <c r="C10" s="133" t="inlineStr">
        <is>
          <t>DIEU_PHOI</t>
        </is>
      </c>
      <c r="D10" s="133" t="inlineStr">
        <is>
          <t>Trưởng bộ phận</t>
        </is>
      </c>
      <c r="E10" s="134" t="inlineStr">
        <is>
          <t>Có</t>
        </is>
      </c>
      <c r="F10" s="133" t="inlineStr">
        <is>
          <t>V1</t>
        </is>
      </c>
      <c r="G10" s="133" t="inlineStr">
        <is>
          <t>Xử lý thay đổi HÀNG/RỖNG sau khi cont đã ra; xem audit BP.</t>
        </is>
      </c>
    </row>
    <row r="11" ht="36" customHeight="1" s="94">
      <c r="A11" s="129" t="inlineStr">
        <is>
          <t>SYS_ADMIN</t>
        </is>
      </c>
      <c r="B11" s="130" t="inlineStr">
        <is>
          <t>Quản trị hệ thống</t>
        </is>
      </c>
      <c r="C11" s="130" t="inlineStr">
        <is>
          <t>HE_THONG</t>
        </is>
      </c>
      <c r="D11" s="130" t="inlineStr">
        <is>
          <t>Quản trị</t>
        </is>
      </c>
      <c r="E11" s="131" t="inlineStr">
        <is>
          <t>Có</t>
        </is>
      </c>
      <c r="F11" s="130" t="inlineStr">
        <is>
          <t>V1</t>
        </is>
      </c>
      <c r="G11" s="130" t="inlineStr">
        <is>
          <t>Quản trị tài khoản, gán quyền, bảng giá, bảo trì và ngoại lệ có audit.</t>
        </is>
      </c>
    </row>
    <row r="12" ht="36" customHeight="1" s="94">
      <c r="A12" s="132" t="inlineStr">
        <is>
          <t>ACCOUNTING_FUTURE</t>
        </is>
      </c>
      <c r="B12" s="133" t="inlineStr">
        <is>
          <t>Kế toán (dự phòng)</t>
        </is>
      </c>
      <c r="C12" s="133" t="inlineStr">
        <is>
          <t>KE_TOAN</t>
        </is>
      </c>
      <c r="D12" s="133" t="inlineStr">
        <is>
          <t>Chuyên môn</t>
        </is>
      </c>
      <c r="E12" s="135" t="inlineStr">
        <is>
          <t>Không</t>
        </is>
      </c>
      <c r="F12" s="133" t="inlineStr">
        <is>
          <t>GĐ sau</t>
        </is>
      </c>
      <c r="G12" s="133" t="inlineStr">
        <is>
          <t>Chưa bật trong V1; lưu thông tin hóa đơn, mở rộng khi có nghiệp vụ Kế toán.</t>
        </is>
      </c>
    </row>
  </sheetData>
  <autoFilter ref="A4:G12"/>
  <mergeCells count="2">
    <mergeCell ref="A2:G2"/>
    <mergeCell ref="A1:G1"/>
  </mergeCells>
  <printOptions horizontalCentered="1"/>
  <pageMargins left="0.75" right="0.75" top="1" bottom="1" header="0.5" footer="0.5"/>
  <pageSetup fitToWidth="1"/>
</worksheet>
</file>

<file path=xl/worksheets/sheet21.xml><?xml version="1.0" encoding="utf-8"?>
<worksheet xmlns="http://schemas.openxmlformats.org/spreadsheetml/2006/main">
  <sheetPr>
    <tabColor rgb="000A9444"/>
    <outlinePr summaryBelow="1" summaryRight="1"/>
    <pageSetUpPr fitToPage="1"/>
  </sheetPr>
  <dimension ref="A1:H7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2" customWidth="1" style="94" min="1" max="1"/>
    <col width="19" customWidth="1" style="94" min="2" max="2"/>
    <col width="57" customWidth="1" style="94" min="3" max="3"/>
    <col width="21" customWidth="1" style="94" min="4" max="4"/>
    <col width="17" customWidth="1" style="94" min="5" max="5"/>
    <col width="28" customWidth="1" style="94" min="6" max="6"/>
    <col width="18" customWidth="1" style="94" min="7" max="7"/>
    <col width="87" customWidth="1" style="94" min="8" max="8"/>
  </cols>
  <sheetData>
    <row r="1" ht="34" customHeight="1" s="94">
      <c r="A1" s="126" t="inlineStr">
        <is>
          <t>V5 — DANH MỤC QUYỀN THAO TÁC</t>
        </is>
      </c>
    </row>
    <row r="2" ht="38" customHeight="1" s="94">
      <c r="A2" s="127" t="inlineStr">
        <is>
          <t>Mỗi quyền có mã cố định resource.action. Thêm role/đổi quyền không sửa code; chức năng hoàn toàn mới vẫn phải lập trình.</t>
        </is>
      </c>
    </row>
    <row r="4" ht="38" customHeight="1" s="94">
      <c r="A4" s="128" t="inlineStr">
        <is>
          <t>PERMISSION_CODE</t>
        </is>
      </c>
      <c r="B4" s="128" t="inlineStr">
        <is>
          <t>Phân hệ</t>
        </is>
      </c>
      <c r="C4" s="128" t="inlineStr">
        <is>
          <t>Thao tác được kiểm soát</t>
        </is>
      </c>
      <c r="D4" s="128" t="inlineStr">
        <is>
          <t>Mã câu nguồn</t>
        </is>
      </c>
      <c r="E4" s="128" t="inlineStr">
        <is>
          <t>Giai đoạn</t>
        </is>
      </c>
      <c r="F4" s="128" t="inlineStr">
        <is>
          <t>Cờ tính năng</t>
        </is>
      </c>
      <c r="G4" s="128" t="inlineStr">
        <is>
          <t>Rủi ro</t>
        </is>
      </c>
      <c r="H4" s="128" t="inlineStr">
        <is>
          <t>Quy tắc bắt buộc</t>
        </is>
      </c>
    </row>
    <row r="5" ht="36" customHeight="1" s="94">
      <c r="A5" s="129" t="inlineStr">
        <is>
          <t>vehicle.visit.read</t>
        </is>
      </c>
      <c r="B5" s="130" t="inlineStr">
        <is>
          <t>Cổng xe</t>
        </is>
      </c>
      <c r="C5" s="130" t="inlineStr">
        <is>
          <t>Xem lượt xe trong bãi</t>
        </is>
      </c>
      <c r="D5" s="130" t="inlineStr">
        <is>
          <t>Q01,Q03,Q25</t>
        </is>
      </c>
      <c r="E5" s="130" t="inlineStr">
        <is>
          <t>V1</t>
        </is>
      </c>
      <c r="F5" s="130" t="inlineStr">
        <is>
          <t>CORE</t>
        </is>
      </c>
      <c r="G5" s="130" t="inlineStr">
        <is>
          <t>Thông thường</t>
        </is>
      </c>
      <c r="H5" s="130" t="inlineStr"/>
    </row>
    <row r="6" ht="36" customHeight="1" s="94">
      <c r="A6" s="132" t="inlineStr">
        <is>
          <t>vehicle.visit.create</t>
        </is>
      </c>
      <c r="B6" s="133" t="inlineStr">
        <is>
          <t>Cổng xe</t>
        </is>
      </c>
      <c r="C6" s="133" t="inlineStr">
        <is>
          <t>Tạo lượt xe/giờ vào</t>
        </is>
      </c>
      <c r="D6" s="133" t="inlineStr">
        <is>
          <t>Q01</t>
        </is>
      </c>
      <c r="E6" s="133" t="inlineStr">
        <is>
          <t>V1</t>
        </is>
      </c>
      <c r="F6" s="133" t="inlineStr">
        <is>
          <t>CORE</t>
        </is>
      </c>
      <c r="G6" s="133" t="inlineStr">
        <is>
          <t>Thông thường</t>
        </is>
      </c>
      <c r="H6" s="133" t="inlineStr"/>
    </row>
    <row r="7" ht="36" customHeight="1" s="94">
      <c r="A7" s="129" t="inlineStr">
        <is>
          <t>vehicle.visit.update_basic</t>
        </is>
      </c>
      <c r="B7" s="130" t="inlineStr">
        <is>
          <t>Cổng xe</t>
        </is>
      </c>
      <c r="C7" s="130" t="inlineStr">
        <is>
          <t>Sửa thông tin cơ bản của lượt xe</t>
        </is>
      </c>
      <c r="D7" s="130" t="inlineStr">
        <is>
          <t>Q03</t>
        </is>
      </c>
      <c r="E7" s="130" t="inlineStr">
        <is>
          <t>V1</t>
        </is>
      </c>
      <c r="F7" s="130" t="inlineStr">
        <is>
          <t>CORE</t>
        </is>
      </c>
      <c r="G7" s="130" t="inlineStr">
        <is>
          <t>Nhạy cảm</t>
        </is>
      </c>
      <c r="H7" s="130" t="inlineStr">
        <is>
          <t>Biển số/loại xe; audit trước/sau; không tự viết lại số tiền đã thu.</t>
        </is>
      </c>
    </row>
    <row r="8" ht="36" customHeight="1" s="94">
      <c r="A8" s="132" t="inlineStr">
        <is>
          <t>vehicle.visit.time_correction.request</t>
        </is>
      </c>
      <c r="B8" s="133" t="inlineStr">
        <is>
          <t>Cổng xe</t>
        </is>
      </c>
      <c r="C8" s="133" t="inlineStr">
        <is>
          <t>Yêu cầu sửa giờ vào sau khi phát sinh tiền</t>
        </is>
      </c>
      <c r="D8" s="133" t="inlineStr">
        <is>
          <t>Q03</t>
        </is>
      </c>
      <c r="E8" s="133" t="inlineStr">
        <is>
          <t>V1</t>
        </is>
      </c>
      <c r="F8" s="133" t="inlineStr">
        <is>
          <t>CORE</t>
        </is>
      </c>
      <c r="G8" s="133" t="inlineStr">
        <is>
          <t>Nhạy cảm</t>
        </is>
      </c>
      <c r="H8" s="133" t="inlineStr"/>
    </row>
    <row r="9" ht="36" customHeight="1" s="94">
      <c r="A9" s="129" t="inlineStr">
        <is>
          <t>vehicle.visit.time_correction.approve</t>
        </is>
      </c>
      <c r="B9" s="130" t="inlineStr">
        <is>
          <t>Cổng xe</t>
        </is>
      </c>
      <c r="C9" s="130" t="inlineStr">
        <is>
          <t>Duyệt sửa giờ vào sau khi phát sinh tiền</t>
        </is>
      </c>
      <c r="D9" s="130" t="inlineStr">
        <is>
          <t>Q03</t>
        </is>
      </c>
      <c r="E9" s="130" t="inlineStr">
        <is>
          <t>V1</t>
        </is>
      </c>
      <c r="F9" s="130" t="inlineStr">
        <is>
          <t>CORE</t>
        </is>
      </c>
      <c r="G9" s="130" t="inlineStr">
        <is>
          <t>Cao</t>
        </is>
      </c>
      <c r="H9" s="130" t="inlineStr">
        <is>
          <t>Không tự duyệt yêu cầu do mình tạo; tách điều chỉnh phí.</t>
        </is>
      </c>
    </row>
    <row r="10" ht="36" customHeight="1" s="94">
      <c r="A10" s="132" t="inlineStr">
        <is>
          <t>ticket.payment.collect</t>
        </is>
      </c>
      <c r="B10" s="133" t="inlineStr">
        <is>
          <t>Vé vào</t>
        </is>
      </c>
      <c r="C10" s="133" t="inlineStr">
        <is>
          <t>Ghi nhận thu tiền vé xe vào</t>
        </is>
      </c>
      <c r="D10" s="133" t="inlineStr">
        <is>
          <t>Q02</t>
        </is>
      </c>
      <c r="E10" s="133" t="inlineStr">
        <is>
          <t>V1</t>
        </is>
      </c>
      <c r="F10" s="133" t="inlineStr">
        <is>
          <t>CORE</t>
        </is>
      </c>
      <c r="G10" s="133" t="inlineStr">
        <is>
          <t>Tài chính</t>
        </is>
      </c>
      <c r="H10" s="133" t="inlineStr"/>
    </row>
    <row r="11" ht="36" customHeight="1" s="94">
      <c r="A11" s="129" t="inlineStr">
        <is>
          <t>ticket.lost_fee.collect</t>
        </is>
      </c>
      <c r="B11" s="130" t="inlineStr">
        <is>
          <t>Vé vào</t>
        </is>
      </c>
      <c r="C11" s="130" t="inlineStr">
        <is>
          <t>Ghi nhận và thu phạt mất vé</t>
        </is>
      </c>
      <c r="D11" s="130" t="inlineStr">
        <is>
          <t>Q20</t>
        </is>
      </c>
      <c r="E11" s="130" t="inlineStr">
        <is>
          <t>V1</t>
        </is>
      </c>
      <c r="F11" s="130" t="inlineStr">
        <is>
          <t>CORE</t>
        </is>
      </c>
      <c r="G11" s="130" t="inlineStr">
        <is>
          <t>Tài chính</t>
        </is>
      </c>
      <c r="H11" s="130" t="inlineStr"/>
    </row>
    <row r="12" ht="36" customHeight="1" s="94">
      <c r="A12" s="136" t="inlineStr">
        <is>
          <t>ticket.paper_number.adjust</t>
        </is>
      </c>
      <c r="B12" s="137" t="inlineStr">
        <is>
          <t>Vé vào</t>
        </is>
      </c>
      <c r="C12" s="137" t="inlineStr">
        <is>
          <t>Chỉnh số seri vé giấy / in vé</t>
        </is>
      </c>
      <c r="D12" s="137" t="inlineStr">
        <is>
          <t>Q04</t>
        </is>
      </c>
      <c r="E12" s="137" t="inlineStr">
        <is>
          <t>GĐ sau</t>
        </is>
      </c>
      <c r="F12" s="137" t="inlineStr">
        <is>
          <t>TICKET_AUTOPRINT</t>
        </is>
      </c>
      <c r="G12" s="137" t="inlineStr">
        <is>
          <t>Thông thường</t>
        </is>
      </c>
      <c r="H12" s="137" t="inlineStr">
        <is>
          <t>Chưa xây theo quyết định V1; vẫn lưu thông tin số vé nếu có.</t>
        </is>
      </c>
    </row>
    <row r="13" ht="36" customHeight="1" s="94">
      <c r="A13" s="129" t="inlineStr">
        <is>
          <t>vehicle.visit.exit_confirm</t>
        </is>
      </c>
      <c r="B13" s="130" t="inlineStr">
        <is>
          <t>Cổng ra</t>
        </is>
      </c>
      <c r="C13" s="130" t="inlineStr">
        <is>
          <t>Xác nhận lượt xe thực tế ra</t>
        </is>
      </c>
      <c r="D13" s="130" t="inlineStr">
        <is>
          <t>Q25</t>
        </is>
      </c>
      <c r="E13" s="130" t="inlineStr">
        <is>
          <t>V1</t>
        </is>
      </c>
      <c r="F13" s="130" t="inlineStr">
        <is>
          <t>CORE</t>
        </is>
      </c>
      <c r="G13" s="130" t="inlineStr">
        <is>
          <t>Cao</t>
        </is>
      </c>
      <c r="H13" s="130" t="inlineStr">
        <is>
          <t>Bắt buộc server xác thực và chặn bấm đúp; không xác nhận offline.</t>
        </is>
      </c>
    </row>
    <row r="14" ht="36" customHeight="1" s="94">
      <c r="A14" s="132" t="inlineStr">
        <is>
          <t>container.visit.read</t>
        </is>
      </c>
      <c r="B14" s="133" t="inlineStr">
        <is>
          <t>Container</t>
        </is>
      </c>
      <c r="C14" s="133" t="inlineStr">
        <is>
          <t>Xem lượt container trong bãi</t>
        </is>
      </c>
      <c r="D14" s="133" t="inlineStr">
        <is>
          <t>Q05,Q06,Q18</t>
        </is>
      </c>
      <c r="E14" s="133" t="inlineStr">
        <is>
          <t>V1</t>
        </is>
      </c>
      <c r="F14" s="133" t="inlineStr">
        <is>
          <t>CORE</t>
        </is>
      </c>
      <c r="G14" s="133" t="inlineStr">
        <is>
          <t>Thông thường</t>
        </is>
      </c>
      <c r="H14" s="133" t="inlineStr"/>
    </row>
    <row r="15" ht="36" customHeight="1" s="94">
      <c r="A15" s="129" t="inlineStr">
        <is>
          <t>container.visit.create</t>
        </is>
      </c>
      <c r="B15" s="130" t="inlineStr">
        <is>
          <t>Container</t>
        </is>
      </c>
      <c r="C15" s="130" t="inlineStr">
        <is>
          <t>Tạo lượt container vào và giờ vào</t>
        </is>
      </c>
      <c r="D15" s="130" t="inlineStr">
        <is>
          <t>Q05</t>
        </is>
      </c>
      <c r="E15" s="130" t="inlineStr">
        <is>
          <t>V1</t>
        </is>
      </c>
      <c r="F15" s="130" t="inlineStr">
        <is>
          <t>CORE</t>
        </is>
      </c>
      <c r="G15" s="130" t="inlineStr">
        <is>
          <t>Thông thường</t>
        </is>
      </c>
      <c r="H15" s="130" t="inlineStr"/>
    </row>
    <row r="16" ht="36" customHeight="1" s="94">
      <c r="A16" s="132" t="inlineStr">
        <is>
          <t>container.number.correct</t>
        </is>
      </c>
      <c r="B16" s="133" t="inlineStr">
        <is>
          <t>Container</t>
        </is>
      </c>
      <c r="C16" s="133" t="inlineStr">
        <is>
          <t>Sửa số container trên cùng ID lượt</t>
        </is>
      </c>
      <c r="D16" s="133" t="inlineStr">
        <is>
          <t>Q06,Q35</t>
        </is>
      </c>
      <c r="E16" s="133" t="inlineStr">
        <is>
          <t>V1</t>
        </is>
      </c>
      <c r="F16" s="133" t="inlineStr">
        <is>
          <t>CORE</t>
        </is>
      </c>
      <c r="G16" s="133" t="inlineStr">
        <is>
          <t>Cao</t>
        </is>
      </c>
      <c r="H16" s="133" t="inlineStr">
        <is>
          <t>Ghi số cũ/mới, lý do, người sửa; tự cảnh báo CCKB; giữ nguyên charge/payment và ID.</t>
        </is>
      </c>
    </row>
    <row r="17" ht="36" customHeight="1" s="94">
      <c r="A17" s="129" t="inlineStr">
        <is>
          <t>container.number.discrepancy.view</t>
        </is>
      </c>
      <c r="B17" s="130" t="inlineStr">
        <is>
          <t>Container</t>
        </is>
      </c>
      <c r="C17" s="130" t="inlineStr">
        <is>
          <t>Xem cảnh báo sai số container</t>
        </is>
      </c>
      <c r="D17" s="130" t="inlineStr">
        <is>
          <t>Q35,Q36,Q39</t>
        </is>
      </c>
      <c r="E17" s="130" t="inlineStr">
        <is>
          <t>V1</t>
        </is>
      </c>
      <c r="F17" s="130" t="inlineStr">
        <is>
          <t>CORE</t>
        </is>
      </c>
      <c r="G17" s="130" t="inlineStr">
        <is>
          <t>Thông thường</t>
        </is>
      </c>
      <c r="H17" s="130" t="inlineStr"/>
    </row>
    <row r="18" ht="36" customHeight="1" s="94">
      <c r="A18" s="132" t="inlineStr">
        <is>
          <t>container.number.discrepancy.sec_ack</t>
        </is>
      </c>
      <c r="B18" s="133" t="inlineStr">
        <is>
          <t>Container</t>
        </is>
      </c>
      <c r="C18" s="133" t="inlineStr">
        <is>
          <t>An ninh xác nhận đã báo CCKB</t>
        </is>
      </c>
      <c r="D18" s="133" t="inlineStr">
        <is>
          <t>Q35,Q39</t>
        </is>
      </c>
      <c r="E18" s="133" t="inlineStr">
        <is>
          <t>V1</t>
        </is>
      </c>
      <c r="F18" s="133" t="inlineStr">
        <is>
          <t>CORE</t>
        </is>
      </c>
      <c r="G18" s="133" t="inlineStr">
        <is>
          <t>Thông thường</t>
        </is>
      </c>
      <c r="H18" s="133" t="inlineStr"/>
    </row>
    <row r="19" ht="36" customHeight="1" s="94">
      <c r="A19" s="129" t="inlineStr">
        <is>
          <t>container.number.discrepancy.port_reconcile</t>
        </is>
      </c>
      <c r="B19" s="130" t="inlineStr">
        <is>
          <t>Container</t>
        </is>
      </c>
      <c r="C19" s="130" t="inlineStr">
        <is>
          <t>CCKB đối chiếu sai số và đóng cảnh báo</t>
        </is>
      </c>
      <c r="D19" s="130" t="inlineStr">
        <is>
          <t>Q36,Q38,Q39</t>
        </is>
      </c>
      <c r="E19" s="130" t="inlineStr">
        <is>
          <t>V1</t>
        </is>
      </c>
      <c r="F19" s="130" t="inlineStr">
        <is>
          <t>CORE</t>
        </is>
      </c>
      <c r="G19" s="130" t="inlineStr">
        <is>
          <t>Nhạy cảm</t>
        </is>
      </c>
      <c r="H19" s="130" t="inlineStr"/>
    </row>
    <row r="20" ht="36" customHeight="1" s="94">
      <c r="A20" s="132" t="inlineStr">
        <is>
          <t>container.number.evidence.attach</t>
        </is>
      </c>
      <c r="B20" s="133" t="inlineStr">
        <is>
          <t>Chứng từ</t>
        </is>
      </c>
      <c r="C20" s="133" t="inlineStr">
        <is>
          <t>Đính kèm ảnh/video xác minh số cont</t>
        </is>
      </c>
      <c r="D20" s="133" t="inlineStr">
        <is>
          <t>Q37</t>
        </is>
      </c>
      <c r="E20" s="133" t="inlineStr">
        <is>
          <t>V1</t>
        </is>
      </c>
      <c r="F20" s="133" t="inlineStr">
        <is>
          <t>CORE</t>
        </is>
      </c>
      <c r="G20" s="133" t="inlineStr">
        <is>
          <t>Thông thường</t>
        </is>
      </c>
      <c r="H20" s="133" t="inlineStr"/>
    </row>
    <row r="21" ht="36" customHeight="1" s="94">
      <c r="A21" s="129" t="inlineStr">
        <is>
          <t>container.visit.link_request</t>
        </is>
      </c>
      <c r="B21" s="130" t="inlineStr">
        <is>
          <t>Container</t>
        </is>
      </c>
      <c r="C21" s="130" t="inlineStr">
        <is>
          <t>Ghép yêu cầu dự kiến vào lượt cont vào</t>
        </is>
      </c>
      <c r="D21" s="130" t="inlineStr">
        <is>
          <t>Q34</t>
        </is>
      </c>
      <c r="E21" s="130" t="inlineStr">
        <is>
          <t>V1</t>
        </is>
      </c>
      <c r="F21" s="130" t="inlineStr">
        <is>
          <t>CORE</t>
        </is>
      </c>
      <c r="G21" s="130" t="inlineStr">
        <is>
          <t>Nhạy cảm</t>
        </is>
      </c>
      <c r="H21" s="130" t="inlineStr">
        <is>
          <t>Chỉ xác nhận thủ công, không auto-ghép từ mã gần giống.</t>
        </is>
      </c>
    </row>
    <row r="22" ht="36" customHeight="1" s="94">
      <c r="A22" s="132" t="inlineStr">
        <is>
          <t>container.cargo.read</t>
        </is>
      </c>
      <c r="B22" s="133" t="inlineStr">
        <is>
          <t>Điều phối</t>
        </is>
      </c>
      <c r="C22" s="133" t="inlineStr">
        <is>
          <t>Xem HÀNG/RỖNG</t>
        </is>
      </c>
      <c r="D22" s="133" t="inlineStr">
        <is>
          <t>Q08,Q09</t>
        </is>
      </c>
      <c r="E22" s="133" t="inlineStr">
        <is>
          <t>V1</t>
        </is>
      </c>
      <c r="F22" s="133" t="inlineStr">
        <is>
          <t>CORE</t>
        </is>
      </c>
      <c r="G22" s="133" t="inlineStr">
        <is>
          <t>Thông thường</t>
        </is>
      </c>
      <c r="H22" s="133" t="inlineStr"/>
    </row>
    <row r="23" ht="36" customHeight="1" s="94">
      <c r="A23" s="129" t="inlineStr">
        <is>
          <t>container.cargo.update</t>
        </is>
      </c>
      <c r="B23" s="130" t="inlineStr">
        <is>
          <t>Điều phối</t>
        </is>
      </c>
      <c r="C23" s="130" t="inlineStr">
        <is>
          <t>Cập nhật HÀNG/RỖNG khi còn trong bãi</t>
        </is>
      </c>
      <c r="D23" s="130" t="inlineStr">
        <is>
          <t>Q08</t>
        </is>
      </c>
      <c r="E23" s="130" t="inlineStr">
        <is>
          <t>V1</t>
        </is>
      </c>
      <c r="F23" s="130" t="inlineStr">
        <is>
          <t>CORE</t>
        </is>
      </c>
      <c r="G23" s="130" t="inlineStr">
        <is>
          <t>Thông thường</t>
        </is>
      </c>
      <c r="H23" s="130" t="inlineStr"/>
    </row>
    <row r="24" ht="36" customHeight="1" s="94">
      <c r="A24" s="132" t="inlineStr">
        <is>
          <t>container.cargo.post_exit.request</t>
        </is>
      </c>
      <c r="B24" s="133" t="inlineStr">
        <is>
          <t>Điều phối</t>
        </is>
      </c>
      <c r="C24" s="133" t="inlineStr">
        <is>
          <t>Đề nghị sửa HÀNG/RỖNG sau ra</t>
        </is>
      </c>
      <c r="D24" s="133" t="inlineStr">
        <is>
          <t>Q09</t>
        </is>
      </c>
      <c r="E24" s="133" t="inlineStr">
        <is>
          <t>V1</t>
        </is>
      </c>
      <c r="F24" s="133" t="inlineStr">
        <is>
          <t>CORE</t>
        </is>
      </c>
      <c r="G24" s="133" t="inlineStr">
        <is>
          <t>Nhạy cảm</t>
        </is>
      </c>
      <c r="H24" s="133" t="inlineStr"/>
    </row>
    <row r="25" ht="36" customHeight="1" s="94">
      <c r="A25" s="129" t="inlineStr">
        <is>
          <t>container.cargo.post_exit.approve</t>
        </is>
      </c>
      <c r="B25" s="130" t="inlineStr">
        <is>
          <t>Điều phối</t>
        </is>
      </c>
      <c r="C25" s="130" t="inlineStr">
        <is>
          <t>Duyệt sửa HÀNG/RỖNG sau ra</t>
        </is>
      </c>
      <c r="D25" s="130" t="inlineStr">
        <is>
          <t>Q09</t>
        </is>
      </c>
      <c r="E25" s="130" t="inlineStr">
        <is>
          <t>V1</t>
        </is>
      </c>
      <c r="F25" s="130" t="inlineStr">
        <is>
          <t>CORE</t>
        </is>
      </c>
      <c r="G25" s="130" t="inlineStr">
        <is>
          <t>Cao</t>
        </is>
      </c>
      <c r="H25" s="130" t="inlineStr"/>
    </row>
    <row r="26" ht="36" customHeight="1" s="94">
      <c r="A26" s="136" t="inlineStr">
        <is>
          <t>container.handling.record</t>
        </is>
      </c>
      <c r="B26" s="137" t="inlineStr">
        <is>
          <t>Container</t>
        </is>
      </c>
      <c r="C26" s="137" t="inlineStr">
        <is>
          <t>Ghi nhận hạ/xếp, vị trí khu/dãy/ô</t>
        </is>
      </c>
      <c r="D26" s="137" t="inlineStr">
        <is>
          <t>Q07</t>
        </is>
      </c>
      <c r="E26" s="137" t="inlineStr">
        <is>
          <t>GĐ sau</t>
        </is>
      </c>
      <c r="F26" s="137" t="inlineStr">
        <is>
          <t>YARD_SLOT_MANAGEMENT</t>
        </is>
      </c>
      <c r="G26" s="137" t="inlineStr">
        <is>
          <t>Thông thường</t>
        </is>
      </c>
      <c r="H26" s="137" t="inlineStr">
        <is>
          <t>Không dùng sự kiện hạ/xếp làm căn cứ thu phí lưu container.</t>
        </is>
      </c>
    </row>
    <row r="27" ht="36" customHeight="1" s="94">
      <c r="A27" s="129" t="inlineStr">
        <is>
          <t>reefer.request.read</t>
        </is>
      </c>
      <c r="B27" s="130" t="inlineStr">
        <is>
          <t>Điện dự kiến</t>
        </is>
      </c>
      <c r="C27" s="130" t="inlineStr">
        <is>
          <t>Xem yêu cầu điện dự kiến / đang xử lý</t>
        </is>
      </c>
      <c r="D27" s="130" t="inlineStr">
        <is>
          <t>Q10,Q31,Q33</t>
        </is>
      </c>
      <c r="E27" s="130" t="inlineStr">
        <is>
          <t>V1</t>
        </is>
      </c>
      <c r="F27" s="130" t="inlineStr">
        <is>
          <t>CORE</t>
        </is>
      </c>
      <c r="G27" s="130" t="inlineStr">
        <is>
          <t>Thông thường</t>
        </is>
      </c>
      <c r="H27" s="130" t="inlineStr"/>
    </row>
    <row r="28" ht="36" customHeight="1" s="94">
      <c r="A28" s="132" t="inlineStr">
        <is>
          <t>reefer.request.create</t>
        </is>
      </c>
      <c r="B28" s="133" t="inlineStr">
        <is>
          <t>Điện dự kiến</t>
        </is>
      </c>
      <c r="C28" s="133" t="inlineStr">
        <is>
          <t>Tạo phiếu yêu cầu cắm/rút (kể cả cont chưa vào)</t>
        </is>
      </c>
      <c r="D28" s="133" t="inlineStr">
        <is>
          <t>Q10,Q31</t>
        </is>
      </c>
      <c r="E28" s="133" t="inlineStr">
        <is>
          <t>V1</t>
        </is>
      </c>
      <c r="F28" s="133" t="inlineStr">
        <is>
          <t>CORE</t>
        </is>
      </c>
      <c r="G28" s="133" t="inlineStr">
        <is>
          <t>Thông thường</t>
        </is>
      </c>
      <c r="H28" s="133" t="inlineStr">
        <is>
          <t>Một phiếu/cont, nhiều phiên; không tạo GIO_CONT_VAO khi phiếu là dự kiến.</t>
        </is>
      </c>
    </row>
    <row r="29" ht="36" customHeight="1" s="94">
      <c r="A29" s="129" t="inlineStr">
        <is>
          <t>reefer.request.update</t>
        </is>
      </c>
      <c r="B29" s="130" t="inlineStr">
        <is>
          <t>Điện dự kiến</t>
        </is>
      </c>
      <c r="C29" s="130" t="inlineStr">
        <is>
          <t>Sửa thông tin yêu cầu dự kiến</t>
        </is>
      </c>
      <c r="D29" s="130" t="inlineStr">
        <is>
          <t>Q32,Q36</t>
        </is>
      </c>
      <c r="E29" s="130" t="inlineStr">
        <is>
          <t>V1</t>
        </is>
      </c>
      <c r="F29" s="130" t="inlineStr">
        <is>
          <t>CORE</t>
        </is>
      </c>
      <c r="G29" s="130" t="inlineStr">
        <is>
          <t>Thông thường</t>
        </is>
      </c>
      <c r="H29" s="130" t="inlineStr">
        <is>
          <t>Sửa số cont/khách/loại yêu cầu có lịch sử và báo An ninh.</t>
        </is>
      </c>
    </row>
    <row r="30" ht="36" customHeight="1" s="94">
      <c r="A30" s="132" t="inlineStr">
        <is>
          <t>reefer.request.cancel</t>
        </is>
      </c>
      <c r="B30" s="133" t="inlineStr">
        <is>
          <t>Điện dự kiến</t>
        </is>
      </c>
      <c r="C30" s="133" t="inlineStr">
        <is>
          <t>Hủy phiếu điện chưa thực hiện</t>
        </is>
      </c>
      <c r="D30" s="133" t="inlineStr">
        <is>
          <t>Q32</t>
        </is>
      </c>
      <c r="E30" s="133" t="inlineStr">
        <is>
          <t>V1</t>
        </is>
      </c>
      <c r="F30" s="133" t="inlineStr">
        <is>
          <t>CORE</t>
        </is>
      </c>
      <c r="G30" s="133" t="inlineStr">
        <is>
          <t>Nhạy cảm</t>
        </is>
      </c>
      <c r="H30" s="133" t="inlineStr">
        <is>
          <t>Hủy mềm có lịch sử; không xóa phiếu đã phát sinh điện.</t>
        </is>
      </c>
    </row>
    <row r="31" ht="36" customHeight="1" s="94">
      <c r="A31" s="129" t="inlineStr">
        <is>
          <t>reefer.request.alert.view</t>
        </is>
      </c>
      <c r="B31" s="130" t="inlineStr">
        <is>
          <t>Điện dự kiến</t>
        </is>
      </c>
      <c r="C31" s="130" t="inlineStr">
        <is>
          <t>Xem cảnh báo yêu cầu điện khi xe vào</t>
        </is>
      </c>
      <c r="D31" s="130" t="inlineStr">
        <is>
          <t>Q33</t>
        </is>
      </c>
      <c r="E31" s="130" t="inlineStr">
        <is>
          <t>V1</t>
        </is>
      </c>
      <c r="F31" s="130" t="inlineStr">
        <is>
          <t>CORE</t>
        </is>
      </c>
      <c r="G31" s="130" t="inlineStr">
        <is>
          <t>Thông thường</t>
        </is>
      </c>
      <c r="H31" s="130" t="inlineStr"/>
    </row>
    <row r="32" ht="36" customHeight="1" s="94">
      <c r="A32" s="132" t="inlineStr">
        <is>
          <t>reefer.request.match_confirm</t>
        </is>
      </c>
      <c r="B32" s="133" t="inlineStr">
        <is>
          <t>Điện dự kiến</t>
        </is>
      </c>
      <c r="C32" s="133" t="inlineStr">
        <is>
          <t>Xác nhận ghép phiếu dự kiến với cont thực</t>
        </is>
      </c>
      <c r="D32" s="133" t="inlineStr">
        <is>
          <t>Q34</t>
        </is>
      </c>
      <c r="E32" s="133" t="inlineStr">
        <is>
          <t>V1</t>
        </is>
      </c>
      <c r="F32" s="133" t="inlineStr">
        <is>
          <t>CORE</t>
        </is>
      </c>
      <c r="G32" s="133" t="inlineStr">
        <is>
          <t>Nhạy cảm</t>
        </is>
      </c>
      <c r="H32" s="133" t="inlineStr"/>
    </row>
    <row r="33" ht="36" customHeight="1" s="94">
      <c r="A33" s="129" t="inlineStr">
        <is>
          <t>reefer.field_work.note</t>
        </is>
      </c>
      <c r="B33" s="130" t="inlineStr">
        <is>
          <t>Cắm điện</t>
        </is>
      </c>
      <c r="C33" s="130" t="inlineStr">
        <is>
          <t>Ghi nhận thông tin An ninh báo cắm/rút ngoài hiện trường</t>
        </is>
      </c>
      <c r="D33" s="130" t="inlineStr">
        <is>
          <t>Q11</t>
        </is>
      </c>
      <c r="E33" s="130" t="inlineStr">
        <is>
          <t>V1</t>
        </is>
      </c>
      <c r="F33" s="130" t="inlineStr">
        <is>
          <t>CORE</t>
        </is>
      </c>
      <c r="G33" s="130" t="inlineStr">
        <is>
          <t>Thông thường</t>
        </is>
      </c>
      <c r="H33" s="130" t="inlineStr">
        <is>
          <t>Quyền ghi chú/bằng chứng; KHÔNG biến việc bấm nút thành điều kiện bắt buộc để cắm/rút thực tế.</t>
        </is>
      </c>
    </row>
    <row r="34" ht="36" customHeight="1" s="94">
      <c r="A34" s="132" t="inlineStr">
        <is>
          <t>reefer.session.read</t>
        </is>
      </c>
      <c r="B34" s="133" t="inlineStr">
        <is>
          <t>Cắm điện</t>
        </is>
      </c>
      <c r="C34" s="133" t="inlineStr">
        <is>
          <t>Xem phiên điện/trạng thái</t>
        </is>
      </c>
      <c r="D34" s="133" t="inlineStr">
        <is>
          <t>Q12,Q13</t>
        </is>
      </c>
      <c r="E34" s="133" t="inlineStr">
        <is>
          <t>V1</t>
        </is>
      </c>
      <c r="F34" s="133" t="inlineStr">
        <is>
          <t>CORE</t>
        </is>
      </c>
      <c r="G34" s="133" t="inlineStr">
        <is>
          <t>Thông thường</t>
        </is>
      </c>
      <c r="H34" s="133" t="inlineStr"/>
    </row>
    <row r="35" ht="36" customHeight="1" s="94">
      <c r="A35" s="129" t="inlineStr">
        <is>
          <t>reefer.session.actual_start.record</t>
        </is>
      </c>
      <c r="B35" s="130" t="inlineStr">
        <is>
          <t>Cắm điện</t>
        </is>
      </c>
      <c r="C35" s="130" t="inlineStr">
        <is>
          <t>CCKB nhập giờ cắm thực tế</t>
        </is>
      </c>
      <c r="D35" s="130" t="inlineStr">
        <is>
          <t>Q12</t>
        </is>
      </c>
      <c r="E35" s="130" t="inlineStr">
        <is>
          <t>V1</t>
        </is>
      </c>
      <c r="F35" s="130" t="inlineStr">
        <is>
          <t>CORE</t>
        </is>
      </c>
      <c r="G35" s="130" t="inlineStr">
        <is>
          <t>Thông thường</t>
        </is>
      </c>
      <c r="H35" s="130" t="inlineStr"/>
    </row>
    <row r="36" ht="36" customHeight="1" s="94">
      <c r="A36" s="132" t="inlineStr">
        <is>
          <t>reefer.session.actual_end.record</t>
        </is>
      </c>
      <c r="B36" s="133" t="inlineStr">
        <is>
          <t>Cắm điện</t>
        </is>
      </c>
      <c r="C36" s="133" t="inlineStr">
        <is>
          <t>CCKB nhập giờ rút thực tế</t>
        </is>
      </c>
      <c r="D36" s="133" t="inlineStr">
        <is>
          <t>Q13</t>
        </is>
      </c>
      <c r="E36" s="133" t="inlineStr">
        <is>
          <t>V1</t>
        </is>
      </c>
      <c r="F36" s="133" t="inlineStr">
        <is>
          <t>CORE</t>
        </is>
      </c>
      <c r="G36" s="133" t="inlineStr">
        <is>
          <t>Thông thường</t>
        </is>
      </c>
      <c r="H36" s="133" t="inlineStr"/>
    </row>
    <row r="37" ht="36" customHeight="1" s="94">
      <c r="A37" s="129" t="inlineStr">
        <is>
          <t>reefer.session.time.edit_unpaid</t>
        </is>
      </c>
      <c r="B37" s="130" t="inlineStr">
        <is>
          <t>Cắm điện</t>
        </is>
      </c>
      <c r="C37" s="130" t="inlineStr">
        <is>
          <t>CCKB sửa giờ cắm/rút trước khi thu</t>
        </is>
      </c>
      <c r="D37" s="130" t="inlineStr">
        <is>
          <t>Q14</t>
        </is>
      </c>
      <c r="E37" s="130" t="inlineStr">
        <is>
          <t>V1</t>
        </is>
      </c>
      <c r="F37" s="130" t="inlineStr">
        <is>
          <t>CORE</t>
        </is>
      </c>
      <c r="G37" s="130" t="inlineStr">
        <is>
          <t>Nhạy cảm</t>
        </is>
      </c>
      <c r="H37" s="130" t="inlineStr"/>
    </row>
    <row r="38" ht="36" customHeight="1" s="94">
      <c r="A38" s="132" t="inlineStr">
        <is>
          <t>reefer.session.billable.override_unpaid</t>
        </is>
      </c>
      <c r="B38" s="133" t="inlineStr">
        <is>
          <t>Cắm điện</t>
        </is>
      </c>
      <c r="C38" s="133" t="inlineStr">
        <is>
          <t>Chỉnh thời lượng tính tiền trước khi thu</t>
        </is>
      </c>
      <c r="D38" s="133" t="inlineStr">
        <is>
          <t>Q14</t>
        </is>
      </c>
      <c r="E38" s="133" t="inlineStr">
        <is>
          <t>V1</t>
        </is>
      </c>
      <c r="F38" s="133" t="inlineStr">
        <is>
          <t>CORE</t>
        </is>
      </c>
      <c r="G38" s="133" t="inlineStr">
        <is>
          <t>Tài chính</t>
        </is>
      </c>
      <c r="H38" s="133" t="inlineStr">
        <is>
          <t>Tự làm tròn 15 phút mặc định; nếu chỉnh thì lưu số tính tự động, số điều chỉnh và lý do.</t>
        </is>
      </c>
    </row>
    <row r="39" ht="36" customHeight="1" s="94">
      <c r="A39" s="129" t="inlineStr">
        <is>
          <t>reefer.session.amendment.request</t>
        </is>
      </c>
      <c r="B39" s="130" t="inlineStr">
        <is>
          <t>Cắm điện</t>
        </is>
      </c>
      <c r="C39" s="130" t="inlineStr">
        <is>
          <t>Đề nghị điều chỉnh giờ/tiền sau thu</t>
        </is>
      </c>
      <c r="D39" s="130" t="inlineStr">
        <is>
          <t>Q15</t>
        </is>
      </c>
      <c r="E39" s="130" t="inlineStr">
        <is>
          <t>V1</t>
        </is>
      </c>
      <c r="F39" s="130" t="inlineStr">
        <is>
          <t>CORE</t>
        </is>
      </c>
      <c r="G39" s="130" t="inlineStr">
        <is>
          <t>Tài chính</t>
        </is>
      </c>
      <c r="H39" s="130" t="inlineStr"/>
    </row>
    <row r="40" ht="36" customHeight="1" s="94">
      <c r="A40" s="132" t="inlineStr">
        <is>
          <t>reefer.session.amendment.approve</t>
        </is>
      </c>
      <c r="B40" s="133" t="inlineStr">
        <is>
          <t>Cắm điện</t>
        </is>
      </c>
      <c r="C40" s="133" t="inlineStr">
        <is>
          <t>Duyệt chênh lệch sau thu điện</t>
        </is>
      </c>
      <c r="D40" s="133" t="inlineStr">
        <is>
          <t>Q16</t>
        </is>
      </c>
      <c r="E40" s="133" t="inlineStr">
        <is>
          <t>V1</t>
        </is>
      </c>
      <c r="F40" s="133" t="inlineStr">
        <is>
          <t>CORE</t>
        </is>
      </c>
      <c r="G40" s="133" t="inlineStr">
        <is>
          <t>Cao</t>
        </is>
      </c>
      <c r="H40" s="133" t="inlineStr">
        <is>
          <t>Tài khoản duyệt phải khác người đề nghị; không ghi đè tiền đã thu.</t>
        </is>
      </c>
    </row>
    <row r="41" ht="36" customHeight="1" s="94">
      <c r="A41" s="129" t="inlineStr">
        <is>
          <t>reefer.payment.collect</t>
        </is>
      </c>
      <c r="B41" s="130" t="inlineStr">
        <is>
          <t>Thanh toán</t>
        </is>
      </c>
      <c r="C41" s="130" t="inlineStr">
        <is>
          <t>Thu tiền điện từng phiên hoặc tổng hợp</t>
        </is>
      </c>
      <c r="D41" s="130" t="inlineStr">
        <is>
          <t>Q19</t>
        </is>
      </c>
      <c r="E41" s="130" t="inlineStr">
        <is>
          <t>V1</t>
        </is>
      </c>
      <c r="F41" s="130" t="inlineStr">
        <is>
          <t>CORE</t>
        </is>
      </c>
      <c r="G41" s="130" t="inlineStr">
        <is>
          <t>Tài chính</t>
        </is>
      </c>
      <c r="H41" s="130" t="inlineStr"/>
    </row>
    <row r="42" ht="36" customHeight="1" s="94">
      <c r="A42" s="132" t="inlineStr">
        <is>
          <t>reefer.payment.partial_collect</t>
        </is>
      </c>
      <c r="B42" s="133" t="inlineStr">
        <is>
          <t>Thanh toán</t>
        </is>
      </c>
      <c r="C42" s="133" t="inlineStr">
        <is>
          <t>Thu một phần phí điện</t>
        </is>
      </c>
      <c r="D42" s="133" t="inlineStr">
        <is>
          <t>Q19</t>
        </is>
      </c>
      <c r="E42" s="133" t="inlineStr">
        <is>
          <t>V1</t>
        </is>
      </c>
      <c r="F42" s="133" t="inlineStr">
        <is>
          <t>CORE</t>
        </is>
      </c>
      <c r="G42" s="133" t="inlineStr">
        <is>
          <t>Tài chính</t>
        </is>
      </c>
      <c r="H42" s="133" t="inlineStr"/>
    </row>
    <row r="43" ht="36" customHeight="1" s="94">
      <c r="A43" s="129" t="inlineStr">
        <is>
          <t>storage.payment.collect</t>
        </is>
      </c>
      <c r="B43" s="130" t="inlineStr">
        <is>
          <t>Thanh toán</t>
        </is>
      </c>
      <c r="C43" s="130" t="inlineStr">
        <is>
          <t>An ninh tính/thu phí lưu tại giờ cont ra</t>
        </is>
      </c>
      <c r="D43" s="130" t="inlineStr">
        <is>
          <t>Q18</t>
        </is>
      </c>
      <c r="E43" s="130" t="inlineStr">
        <is>
          <t>V1</t>
        </is>
      </c>
      <c r="F43" s="130" t="inlineStr">
        <is>
          <t>CORE</t>
        </is>
      </c>
      <c r="G43" s="130" t="inlineStr">
        <is>
          <t>Tài chính</t>
        </is>
      </c>
      <c r="H43" s="130" t="inlineStr">
        <is>
          <t>Chốt dựa GIO_CONT_VAO và GIO_CONT_RA thực tế, không khóa phí lúc rút điện.</t>
        </is>
      </c>
    </row>
    <row r="44" ht="36" customHeight="1" s="94">
      <c r="A44" s="132" t="inlineStr">
        <is>
          <t>payment.bank_evidence.attach</t>
        </is>
      </c>
      <c r="B44" s="133" t="inlineStr">
        <is>
          <t>Thanh toán</t>
        </is>
      </c>
      <c r="C44" s="133" t="inlineStr">
        <is>
          <t>Đính kèm ảnh chứng từ thanh toán</t>
        </is>
      </c>
      <c r="D44" s="133" t="inlineStr">
        <is>
          <t>Q02,Q19,Q21</t>
        </is>
      </c>
      <c r="E44" s="133" t="inlineStr">
        <is>
          <t>V1</t>
        </is>
      </c>
      <c r="F44" s="133" t="inlineStr">
        <is>
          <t>CORE</t>
        </is>
      </c>
      <c r="G44" s="133" t="inlineStr">
        <is>
          <t>Thông thường</t>
        </is>
      </c>
      <c r="H44" s="133" t="inlineStr">
        <is>
          <t>Quy định bắt buộc chứng từ có thể cấu hình riêng theo hình thức thu.</t>
        </is>
      </c>
    </row>
    <row r="45" ht="36" customHeight="1" s="94">
      <c r="A45" s="129" t="inlineStr">
        <is>
          <t>payment.bank.reconcile</t>
        </is>
      </c>
      <c r="B45" s="130" t="inlineStr">
        <is>
          <t>Thanh toán</t>
        </is>
      </c>
      <c r="C45" s="130" t="inlineStr">
        <is>
          <t>Đối soát chuyển khoản theo bộ phận</t>
        </is>
      </c>
      <c r="D45" s="130" t="inlineStr">
        <is>
          <t>Q21</t>
        </is>
      </c>
      <c r="E45" s="130" t="inlineStr">
        <is>
          <t>V1</t>
        </is>
      </c>
      <c r="F45" s="130" t="inlineStr">
        <is>
          <t>CORE</t>
        </is>
      </c>
      <c r="G45" s="130" t="inlineStr">
        <is>
          <t>Tài chính</t>
        </is>
      </c>
      <c r="H45" s="130" t="inlineStr"/>
    </row>
    <row r="46" ht="36" customHeight="1" s="94">
      <c r="A46" s="132" t="inlineStr">
        <is>
          <t>payment.post_correction.request</t>
        </is>
      </c>
      <c r="B46" s="133" t="inlineStr">
        <is>
          <t>Thanh toán</t>
        </is>
      </c>
      <c r="C46" s="133" t="inlineStr">
        <is>
          <t>Yêu cầu xử lý chênh lệch khi sửa mã cont đã thu</t>
        </is>
      </c>
      <c r="D46" s="133" t="inlineStr">
        <is>
          <t>Q38</t>
        </is>
      </c>
      <c r="E46" s="133" t="inlineStr">
        <is>
          <t>V1</t>
        </is>
      </c>
      <c r="F46" s="133" t="inlineStr">
        <is>
          <t>CORE</t>
        </is>
      </c>
      <c r="G46" s="133" t="inlineStr">
        <is>
          <t>Tài chính</t>
        </is>
      </c>
      <c r="H46" s="133" t="inlineStr"/>
    </row>
    <row r="47" ht="36" customHeight="1" s="94">
      <c r="A47" s="129" t="inlineStr">
        <is>
          <t>payment.post_correction.approve</t>
        </is>
      </c>
      <c r="B47" s="130" t="inlineStr">
        <is>
          <t>Thanh toán</t>
        </is>
      </c>
      <c r="C47" s="130" t="inlineStr">
        <is>
          <t>Duyệt chênh lệch tiền do sửa số cont</t>
        </is>
      </c>
      <c r="D47" s="130" t="inlineStr">
        <is>
          <t>Q38</t>
        </is>
      </c>
      <c r="E47" s="130" t="inlineStr">
        <is>
          <t>V1</t>
        </is>
      </c>
      <c r="F47" s="130" t="inlineStr">
        <is>
          <t>CORE</t>
        </is>
      </c>
      <c r="G47" s="130" t="inlineStr">
        <is>
          <t>Cao</t>
        </is>
      </c>
      <c r="H47" s="130" t="inlineStr"/>
    </row>
    <row r="48" ht="36" customHeight="1" s="94">
      <c r="A48" s="136" t="inlineStr">
        <is>
          <t>charge.adjust.request</t>
        </is>
      </c>
      <c r="B48" s="137" t="inlineStr">
        <is>
          <t>Thanh toán</t>
        </is>
      </c>
      <c r="C48" s="137" t="inlineStr">
        <is>
          <t>Gửi đề nghị miễn/giảm/điều chỉnh tiền</t>
        </is>
      </c>
      <c r="D48" s="137" t="inlineStr">
        <is>
          <t>Q22</t>
        </is>
      </c>
      <c r="E48" s="137" t="inlineStr">
        <is>
          <t>GĐ sau</t>
        </is>
      </c>
      <c r="F48" s="137" t="inlineStr">
        <is>
          <t>CHARGE_DISCOUNT</t>
        </is>
      </c>
      <c r="G48" s="137" t="inlineStr">
        <is>
          <t>Tài chính</t>
        </is>
      </c>
      <c r="H48" s="137" t="inlineStr"/>
    </row>
    <row r="49" ht="36" customHeight="1" s="94">
      <c r="A49" s="136" t="inlineStr">
        <is>
          <t>charge.adjust.approve</t>
        </is>
      </c>
      <c r="B49" s="137" t="inlineStr">
        <is>
          <t>Thanh toán</t>
        </is>
      </c>
      <c r="C49" s="137" t="inlineStr">
        <is>
          <t>Duyệt miễn/giảm/điều chỉnh tiền</t>
        </is>
      </c>
      <c r="D49" s="137" t="inlineStr">
        <is>
          <t>Q22</t>
        </is>
      </c>
      <c r="E49" s="137" t="inlineStr">
        <is>
          <t>GĐ sau</t>
        </is>
      </c>
      <c r="F49" s="137" t="inlineStr">
        <is>
          <t>CHARGE_DISCOUNT</t>
        </is>
      </c>
      <c r="G49" s="137" t="inlineStr">
        <is>
          <t>Cao</t>
        </is>
      </c>
      <c r="H49" s="137" t="inlineStr"/>
    </row>
    <row r="50" ht="36" customHeight="1" s="94">
      <c r="A50" s="136" t="inlineStr">
        <is>
          <t>payment.refund.request</t>
        </is>
      </c>
      <c r="B50" s="137" t="inlineStr">
        <is>
          <t>Thanh toán</t>
        </is>
      </c>
      <c r="C50" s="137" t="inlineStr">
        <is>
          <t>Đề nghị hoàn tiền</t>
        </is>
      </c>
      <c r="D50" s="137" t="inlineStr">
        <is>
          <t>Q23</t>
        </is>
      </c>
      <c r="E50" s="137" t="inlineStr">
        <is>
          <t>GĐ sau</t>
        </is>
      </c>
      <c r="F50" s="137" t="inlineStr">
        <is>
          <t>REFUNDS</t>
        </is>
      </c>
      <c r="G50" s="137" t="inlineStr">
        <is>
          <t>Tài chính</t>
        </is>
      </c>
      <c r="H50" s="137" t="inlineStr"/>
    </row>
    <row r="51" ht="36" customHeight="1" s="94">
      <c r="A51" s="136" t="inlineStr">
        <is>
          <t>payment.refund.approve</t>
        </is>
      </c>
      <c r="B51" s="137" t="inlineStr">
        <is>
          <t>Thanh toán</t>
        </is>
      </c>
      <c r="C51" s="137" t="inlineStr">
        <is>
          <t>Duyệt hoàn tiền / hủy bút toán</t>
        </is>
      </c>
      <c r="D51" s="137" t="inlineStr">
        <is>
          <t>Q23</t>
        </is>
      </c>
      <c r="E51" s="137" t="inlineStr">
        <is>
          <t>GĐ sau</t>
        </is>
      </c>
      <c r="F51" s="137" t="inlineStr">
        <is>
          <t>REFUNDS</t>
        </is>
      </c>
      <c r="G51" s="137" t="inlineStr">
        <is>
          <t>Cao</t>
        </is>
      </c>
      <c r="H51" s="137" t="inlineStr"/>
    </row>
    <row r="52" ht="36" customHeight="1" s="94">
      <c r="A52" s="132" t="inlineStr">
        <is>
          <t>exit.clearance.read</t>
        </is>
      </c>
      <c r="B52" s="133" t="inlineStr">
        <is>
          <t>Cổng ra</t>
        </is>
      </c>
      <c r="C52" s="133" t="inlineStr">
        <is>
          <t>Xem tình trạng tài chính và cho ra</t>
        </is>
      </c>
      <c r="D52" s="133" t="inlineStr">
        <is>
          <t>Q24,Q25</t>
        </is>
      </c>
      <c r="E52" s="133" t="inlineStr">
        <is>
          <t>V1</t>
        </is>
      </c>
      <c r="F52" s="133" t="inlineStr">
        <is>
          <t>CORE</t>
        </is>
      </c>
      <c r="G52" s="133" t="inlineStr">
        <is>
          <t>Thông thường</t>
        </is>
      </c>
      <c r="H52" s="133" t="inlineStr"/>
    </row>
    <row r="53" ht="36" customHeight="1" s="94">
      <c r="A53" s="129" t="inlineStr">
        <is>
          <t>exit.clearance.issue</t>
        </is>
      </c>
      <c r="B53" s="130" t="inlineStr">
        <is>
          <t>Cổng ra</t>
        </is>
      </c>
      <c r="C53" s="130" t="inlineStr">
        <is>
          <t>CCKB xác nhận điều kiện tài chính</t>
        </is>
      </c>
      <c r="D53" s="130" t="inlineStr">
        <is>
          <t>Q24</t>
        </is>
      </c>
      <c r="E53" s="130" t="inlineStr">
        <is>
          <t>V1</t>
        </is>
      </c>
      <c r="F53" s="130" t="inlineStr">
        <is>
          <t>CORE</t>
        </is>
      </c>
      <c r="G53" s="130" t="inlineStr">
        <is>
          <t>Cao</t>
        </is>
      </c>
      <c r="H53" s="130" t="inlineStr">
        <is>
          <t>Xác nhận điện/công nợ đã biết; KHÔNG khóa phí lưu container.</t>
        </is>
      </c>
    </row>
    <row r="54" ht="36" customHeight="1" s="94">
      <c r="A54" s="132" t="inlineStr">
        <is>
          <t>exit.clearance.debt_exception</t>
        </is>
      </c>
      <c r="B54" s="133" t="inlineStr">
        <is>
          <t>Cổng ra</t>
        </is>
      </c>
      <c r="C54" s="133" t="inlineStr">
        <is>
          <t>CCKB xác nhận cho ra còn khoản chưa thu</t>
        </is>
      </c>
      <c r="D54" s="133" t="inlineStr">
        <is>
          <t>Q24</t>
        </is>
      </c>
      <c r="E54" s="133" t="inlineStr">
        <is>
          <t>V1</t>
        </is>
      </c>
      <c r="F54" s="133" t="inlineStr">
        <is>
          <t>CORE</t>
        </is>
      </c>
      <c r="G54" s="133" t="inlineStr">
        <is>
          <t>Cao</t>
        </is>
      </c>
      <c r="H54" s="133" t="inlineStr">
        <is>
          <t>Bắt buộc lý do, hiện cảnh báo và giữ khoản còn nợ; phải kiểm tra lại nếu phí lưu mới phát sinh.</t>
        </is>
      </c>
    </row>
    <row r="55" ht="36" customHeight="1" s="94">
      <c r="A55" s="129" t="inlineStr">
        <is>
          <t>exit.clearance.revoke.request</t>
        </is>
      </c>
      <c r="B55" s="130" t="inlineStr">
        <is>
          <t>Cổng ra</t>
        </is>
      </c>
      <c r="C55" s="130" t="inlineStr">
        <is>
          <t>Đề nghị thu hồi chấp thuận xuất trước khi xe ra</t>
        </is>
      </c>
      <c r="D55" s="130" t="inlineStr">
        <is>
          <t>Q26</t>
        </is>
      </c>
      <c r="E55" s="130" t="inlineStr">
        <is>
          <t>V1</t>
        </is>
      </c>
      <c r="F55" s="130" t="inlineStr">
        <is>
          <t>CORE</t>
        </is>
      </c>
      <c r="G55" s="130" t="inlineStr">
        <is>
          <t>Nhạy cảm</t>
        </is>
      </c>
      <c r="H55" s="130" t="inlineStr"/>
    </row>
    <row r="56" ht="36" customHeight="1" s="94">
      <c r="A56" s="132" t="inlineStr">
        <is>
          <t>exit.clearance.revoke.approve</t>
        </is>
      </c>
      <c r="B56" s="133" t="inlineStr">
        <is>
          <t>Cổng ra</t>
        </is>
      </c>
      <c r="C56" s="133" t="inlineStr">
        <is>
          <t>Thu hồi chấp thuận cho ra trước khi thực xuất</t>
        </is>
      </c>
      <c r="D56" s="133" t="inlineStr">
        <is>
          <t>Q26</t>
        </is>
      </c>
      <c r="E56" s="133" t="inlineStr">
        <is>
          <t>V1</t>
        </is>
      </c>
      <c r="F56" s="133" t="inlineStr">
        <is>
          <t>CORE</t>
        </is>
      </c>
      <c r="G56" s="133" t="inlineStr">
        <is>
          <t>Cao</t>
        </is>
      </c>
      <c r="H56" s="133" t="inlineStr"/>
    </row>
    <row r="57" ht="36" customHeight="1" s="94">
      <c r="A57" s="129" t="inlineStr">
        <is>
          <t>exit.actual.confirm</t>
        </is>
      </c>
      <c r="B57" s="130" t="inlineStr">
        <is>
          <t>Cổng ra</t>
        </is>
      </c>
      <c r="C57" s="130" t="inlineStr">
        <is>
          <t>An ninh xác nhận cont/xe ra thật</t>
        </is>
      </c>
      <c r="D57" s="130" t="inlineStr">
        <is>
          <t>Q25</t>
        </is>
      </c>
      <c r="E57" s="130" t="inlineStr">
        <is>
          <t>V1</t>
        </is>
      </c>
      <c r="F57" s="130" t="inlineStr">
        <is>
          <t>CORE</t>
        </is>
      </c>
      <c r="G57" s="130" t="inlineStr">
        <is>
          <t>Cao</t>
        </is>
      </c>
      <c r="H57" s="130" t="inlineStr">
        <is>
          <t>Server transaction và idempotency; không được tự hoàn tất nếu offline.</t>
        </is>
      </c>
    </row>
    <row r="58" ht="36" customHeight="1" s="94">
      <c r="A58" s="132" t="inlineStr">
        <is>
          <t>exit.reefer_state.exception</t>
        </is>
      </c>
      <c r="B58" s="133" t="inlineStr">
        <is>
          <t>Cổng ra</t>
        </is>
      </c>
      <c r="C58" s="133" t="inlineStr">
        <is>
          <t>CCKB ghi ngoại lệ trạng thái điện chưa cập nhật</t>
        </is>
      </c>
      <c r="D58" s="133" t="inlineStr">
        <is>
          <t>Q24</t>
        </is>
      </c>
      <c r="E58" s="133" t="inlineStr">
        <is>
          <t>V1</t>
        </is>
      </c>
      <c r="F58" s="133" t="inlineStr">
        <is>
          <t>CORE</t>
        </is>
      </c>
      <c r="G58" s="133" t="inlineStr">
        <is>
          <t>Cao</t>
        </is>
      </c>
      <c r="H58" s="133" t="inlineStr">
        <is>
          <t>Phải có An ninh xác minh ngoài hiện trường đã rút điện, không được cho cont rời bãi khi còn kết nối điện thực tế.</t>
        </is>
      </c>
    </row>
    <row r="59" ht="36" customHeight="1" s="94">
      <c r="A59" s="129" t="inlineStr">
        <is>
          <t>report.revenue.read</t>
        </is>
      </c>
      <c r="B59" s="130" t="inlineStr">
        <is>
          <t>Báo cáo</t>
        </is>
      </c>
      <c r="C59" s="130" t="inlineStr">
        <is>
          <t>Xem doanh thu và khoản thu theo phạm vi</t>
        </is>
      </c>
      <c r="D59" s="130" t="inlineStr">
        <is>
          <t>Q29</t>
        </is>
      </c>
      <c r="E59" s="130" t="inlineStr">
        <is>
          <t>V1</t>
        </is>
      </c>
      <c r="F59" s="130" t="inlineStr">
        <is>
          <t>CORE</t>
        </is>
      </c>
      <c r="G59" s="130" t="inlineStr">
        <is>
          <t>Tài chính</t>
        </is>
      </c>
      <c r="H59" s="130" t="inlineStr"/>
    </row>
    <row r="60" ht="36" customHeight="1" s="94">
      <c r="A60" s="132" t="inlineStr">
        <is>
          <t>report.revenue.export</t>
        </is>
      </c>
      <c r="B60" s="133" t="inlineStr">
        <is>
          <t>Báo cáo</t>
        </is>
      </c>
      <c r="C60" s="133" t="inlineStr">
        <is>
          <t>Xuất báo cáo doanh thu theo bộ phận</t>
        </is>
      </c>
      <c r="D60" s="133" t="inlineStr">
        <is>
          <t>Q30</t>
        </is>
      </c>
      <c r="E60" s="133" t="inlineStr">
        <is>
          <t>V1</t>
        </is>
      </c>
      <c r="F60" s="133" t="inlineStr">
        <is>
          <t>CORE</t>
        </is>
      </c>
      <c r="G60" s="133" t="inlineStr">
        <is>
          <t>Tài chính</t>
        </is>
      </c>
      <c r="H60" s="133" t="inlineStr"/>
    </row>
    <row r="61" ht="36" customHeight="1" s="94">
      <c r="A61" s="129" t="inlineStr">
        <is>
          <t>audit.read</t>
        </is>
      </c>
      <c r="B61" s="130" t="inlineStr">
        <is>
          <t>Giám sát</t>
        </is>
      </c>
      <c r="C61" s="130" t="inlineStr">
        <is>
          <t>Xem lịch sử thao tác thuộc phạm vi</t>
        </is>
      </c>
      <c r="D61" s="130" t="inlineStr">
        <is>
          <t>Q28</t>
        </is>
      </c>
      <c r="E61" s="130" t="inlineStr">
        <is>
          <t>V1</t>
        </is>
      </c>
      <c r="F61" s="130" t="inlineStr">
        <is>
          <t>CORE</t>
        </is>
      </c>
      <c r="G61" s="130" t="inlineStr">
        <is>
          <t>Thông thường</t>
        </is>
      </c>
      <c r="H61" s="130" t="inlineStr"/>
    </row>
    <row r="62" ht="36" customHeight="1" s="94">
      <c r="A62" s="132" t="inlineStr">
        <is>
          <t>audit.export_all</t>
        </is>
      </c>
      <c r="B62" s="133" t="inlineStr">
        <is>
          <t>Giám sát</t>
        </is>
      </c>
      <c r="C62" s="133" t="inlineStr">
        <is>
          <t>Xuất nhật ký kiểm toán toàn hệ thống</t>
        </is>
      </c>
      <c r="D62" s="133" t="inlineStr">
        <is>
          <t>Q30</t>
        </is>
      </c>
      <c r="E62" s="133" t="inlineStr">
        <is>
          <t>V1</t>
        </is>
      </c>
      <c r="F62" s="133" t="inlineStr">
        <is>
          <t>CORE</t>
        </is>
      </c>
      <c r="G62" s="133" t="inlineStr">
        <is>
          <t>Cao</t>
        </is>
      </c>
      <c r="H62" s="133" t="inlineStr"/>
    </row>
    <row r="63" ht="36" customHeight="1" s="94">
      <c r="A63" s="129" t="inlineStr">
        <is>
          <t>tariff.read</t>
        </is>
      </c>
      <c r="B63" s="130" t="inlineStr">
        <is>
          <t>Bảng giá</t>
        </is>
      </c>
      <c r="C63" s="130" t="inlineStr">
        <is>
          <t>Xem giá dịch vụ theo hiệu lực</t>
        </is>
      </c>
      <c r="D63" s="130" t="inlineStr">
        <is>
          <t>Q17</t>
        </is>
      </c>
      <c r="E63" s="130" t="inlineStr">
        <is>
          <t>V1</t>
        </is>
      </c>
      <c r="F63" s="130" t="inlineStr">
        <is>
          <t>CORE</t>
        </is>
      </c>
      <c r="G63" s="130" t="inlineStr">
        <is>
          <t>Thông thường</t>
        </is>
      </c>
      <c r="H63" s="130" t="inlineStr"/>
    </row>
    <row r="64" ht="36" customHeight="1" s="94">
      <c r="A64" s="132" t="inlineStr">
        <is>
          <t>tariff.change.request</t>
        </is>
      </c>
      <c r="B64" s="133" t="inlineStr">
        <is>
          <t>Bảng giá</t>
        </is>
      </c>
      <c r="C64" s="133" t="inlineStr">
        <is>
          <t>Gửi đề nghị thay đổi bảng giá</t>
        </is>
      </c>
      <c r="D64" s="133" t="inlineStr">
        <is>
          <t>Q17</t>
        </is>
      </c>
      <c r="E64" s="133" t="inlineStr">
        <is>
          <t>V1</t>
        </is>
      </c>
      <c r="F64" s="133" t="inlineStr">
        <is>
          <t>CORE</t>
        </is>
      </c>
      <c r="G64" s="133" t="inlineStr">
        <is>
          <t>Tài chính</t>
        </is>
      </c>
      <c r="H64" s="133" t="inlineStr"/>
    </row>
    <row r="65" ht="36" customHeight="1" s="94">
      <c r="A65" s="129" t="inlineStr">
        <is>
          <t>tariff.change.publish</t>
        </is>
      </c>
      <c r="B65" s="130" t="inlineStr">
        <is>
          <t>Bảng giá</t>
        </is>
      </c>
      <c r="C65" s="130" t="inlineStr">
        <is>
          <t>Ban hành mức giá và ngày hiệu lực</t>
        </is>
      </c>
      <c r="D65" s="130" t="inlineStr">
        <is>
          <t>Q17</t>
        </is>
      </c>
      <c r="E65" s="130" t="inlineStr">
        <is>
          <t>V1</t>
        </is>
      </c>
      <c r="F65" s="130" t="inlineStr">
        <is>
          <t>CORE</t>
        </is>
      </c>
      <c r="G65" s="130" t="inlineStr">
        <is>
          <t>Cao</t>
        </is>
      </c>
      <c r="H65" s="130" t="inlineStr">
        <is>
          <t>Thay đổi giá qua bảng tariff_versions, không sửa code/giá lịch sử.</t>
        </is>
      </c>
    </row>
    <row r="66" ht="36" customHeight="1" s="94">
      <c r="A66" s="132" t="inlineStr">
        <is>
          <t>admin.users.manage</t>
        </is>
      </c>
      <c r="B66" s="133" t="inlineStr">
        <is>
          <t>Quản trị</t>
        </is>
      </c>
      <c r="C66" s="133" t="inlineStr">
        <is>
          <t>Tạo/khóa user và gán role theo phạm vi</t>
        </is>
      </c>
      <c r="D66" s="133" t="inlineStr">
        <is>
          <t>Q27</t>
        </is>
      </c>
      <c r="E66" s="133" t="inlineStr">
        <is>
          <t>V1</t>
        </is>
      </c>
      <c r="F66" s="133" t="inlineStr">
        <is>
          <t>CORE</t>
        </is>
      </c>
      <c r="G66" s="133" t="inlineStr">
        <is>
          <t>Cao</t>
        </is>
      </c>
      <c r="H66" s="133" t="inlineStr"/>
    </row>
    <row r="67" ht="36" customHeight="1" s="94">
      <c r="A67" s="129" t="inlineStr">
        <is>
          <t>admin.roles.manage</t>
        </is>
      </c>
      <c r="B67" s="130" t="inlineStr">
        <is>
          <t>Quản trị</t>
        </is>
      </c>
      <c r="C67" s="130" t="inlineStr">
        <is>
          <t>Thêm/sửa tên vai trò và thành phần vai trò</t>
        </is>
      </c>
      <c r="D67" s="130" t="inlineStr">
        <is>
          <t>Q27</t>
        </is>
      </c>
      <c r="E67" s="130" t="inlineStr">
        <is>
          <t>V1</t>
        </is>
      </c>
      <c r="F67" s="130" t="inlineStr">
        <is>
          <t>CORE</t>
        </is>
      </c>
      <c r="G67" s="130" t="inlineStr">
        <is>
          <t>Cao</t>
        </is>
      </c>
      <c r="H67" s="130" t="inlineStr">
        <is>
          <t>Vai trò tùy biến nhưng không thể tạo tính năng mới chỉ bằng cách đặt role.</t>
        </is>
      </c>
    </row>
    <row r="68" ht="36" customHeight="1" s="94">
      <c r="A68" s="132" t="inlineStr">
        <is>
          <t>admin.role_permissions.manage</t>
        </is>
      </c>
      <c r="B68" s="133" t="inlineStr">
        <is>
          <t>Quản trị</t>
        </is>
      </c>
      <c r="C68" s="133" t="inlineStr">
        <is>
          <t>Cấp/thu hồi quyền của vai trò</t>
        </is>
      </c>
      <c r="D68" s="133" t="inlineStr">
        <is>
          <t>Q27</t>
        </is>
      </c>
      <c r="E68" s="133" t="inlineStr">
        <is>
          <t>V1</t>
        </is>
      </c>
      <c r="F68" s="133" t="inlineStr">
        <is>
          <t>CORE</t>
        </is>
      </c>
      <c r="G68" s="133" t="inlineStr">
        <is>
          <t>Cao</t>
        </is>
      </c>
      <c r="H68" s="133" t="inlineStr">
        <is>
          <t>Cấm tự động cho quyền cao hơn do seed chủ sở hữu quy định; audit và quyền bootstrap.</t>
        </is>
      </c>
    </row>
    <row r="69" ht="36" customHeight="1" s="94">
      <c r="A69" s="129" t="inlineStr">
        <is>
          <t>admin.billing_settings.manage</t>
        </is>
      </c>
      <c r="B69" s="130" t="inlineStr">
        <is>
          <t>Quản trị</t>
        </is>
      </c>
      <c r="C69" s="130" t="inlineStr">
        <is>
          <t>Quản lý tham số tính phí và chức năng mở rộng</t>
        </is>
      </c>
      <c r="D69" s="130" t="inlineStr">
        <is>
          <t>Q17</t>
        </is>
      </c>
      <c r="E69" s="130" t="inlineStr">
        <is>
          <t>V1</t>
        </is>
      </c>
      <c r="F69" s="130" t="inlineStr">
        <is>
          <t>CORE</t>
        </is>
      </c>
      <c r="G69" s="130" t="inlineStr">
        <is>
          <t>Cao</t>
        </is>
      </c>
      <c r="H69" s="130" t="inlineStr"/>
    </row>
    <row r="70" ht="36" customHeight="1" s="94">
      <c r="A70" s="132" t="inlineStr">
        <is>
          <t>admin.legacy_correct</t>
        </is>
      </c>
      <c r="B70" s="133" t="inlineStr">
        <is>
          <t>Quản trị</t>
        </is>
      </c>
      <c r="C70" s="133" t="inlineStr">
        <is>
          <t>Sửa dữ liệu nhập lịch sử AppSheet có audit</t>
        </is>
      </c>
      <c r="D70" s="133" t="inlineStr">
        <is>
          <t>Q03,Q06</t>
        </is>
      </c>
      <c r="E70" s="133" t="inlineStr">
        <is>
          <t>V1</t>
        </is>
      </c>
      <c r="F70" s="133" t="inlineStr">
        <is>
          <t>CORE</t>
        </is>
      </c>
      <c r="G70" s="133" t="inlineStr">
        <is>
          <t>Cao</t>
        </is>
      </c>
      <c r="H70" s="133" t="inlineStr">
        <is>
          <t>Không chỉnh sửa trực tiếp DB; phải ghi đối chiếu lịch sử và không tạo nợ legacy chưa xác minh.</t>
        </is>
      </c>
    </row>
    <row r="71" ht="36" customHeight="1" s="94">
      <c r="A71" s="136" t="inlineStr">
        <is>
          <t>accounting.invoice.prepare</t>
        </is>
      </c>
      <c r="B71" s="137" t="inlineStr">
        <is>
          <t>Hóa đơn</t>
        </is>
      </c>
      <c r="C71" s="137" t="inlineStr">
        <is>
          <t>Nhập dữ liệu hóa đơn từ bộ phận Kế toán</t>
        </is>
      </c>
      <c r="D71" s="137" t="inlineStr"/>
      <c r="E71" s="137" t="inlineStr">
        <is>
          <t>GĐ sau</t>
        </is>
      </c>
      <c r="F71" s="137" t="inlineStr">
        <is>
          <t>E_INVOICE</t>
        </is>
      </c>
      <c r="G71" s="137" t="inlineStr">
        <is>
          <t>Nhạy cảm</t>
        </is>
      </c>
      <c r="H71" s="137" t="inlineStr"/>
    </row>
  </sheetData>
  <autoFilter ref="A4:H71"/>
  <mergeCells count="2">
    <mergeCell ref="A2:H2"/>
    <mergeCell ref="A1:H1"/>
  </mergeCells>
  <printOptions horizontalCentered="1"/>
  <pageMargins left="0.75" right="0.75" top="1" bottom="1" header="0.5" footer="0.5"/>
  <pageSetup fitToWidth="1"/>
</worksheet>
</file>

<file path=xl/worksheets/sheet22.xml><?xml version="1.0" encoding="utf-8"?>
<worksheet xmlns="http://schemas.openxmlformats.org/spreadsheetml/2006/main">
  <sheetPr>
    <tabColor rgb="000A9444"/>
    <outlinePr summaryBelow="1" summaryRight="1"/>
    <pageSetUpPr fitToPage="1"/>
  </sheetPr>
  <dimension ref="A1:H2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style="94" min="1" max="1"/>
    <col width="37" customWidth="1" style="94" min="2" max="2"/>
    <col width="41" customWidth="1" style="94" min="3" max="3"/>
    <col width="19" customWidth="1" style="94" min="4" max="4"/>
    <col width="16" customWidth="1" style="94" min="5" max="5"/>
    <col width="19" customWidth="1" style="94" min="6" max="6"/>
    <col width="22" customWidth="1" style="94" min="7" max="7"/>
    <col width="80" customWidth="1" style="94" min="8" max="8"/>
  </cols>
  <sheetData>
    <row r="1" ht="34" customHeight="1" s="94">
      <c r="A1" s="126" t="inlineStr">
        <is>
          <t>V5 — GÁN QUYỀN THEO VAI TRÒ (SEED)</t>
        </is>
      </c>
    </row>
    <row r="2" ht="38" customHeight="1" s="94">
      <c r="A2" s="127" t="inlineStr">
        <is>
          <t>Dữ liệu mẫu triển khai role_permissions. Scope: SELF = khoản mình làm, DEPARTMENT = bộ phận, YARD = bãi, ALL = toàn hệ thống.</t>
        </is>
      </c>
    </row>
    <row r="4" ht="38" customHeight="1" s="94">
      <c r="A4" s="128" t="inlineStr">
        <is>
          <t>ROLE_CODE</t>
        </is>
      </c>
      <c r="B4" s="128" t="inlineStr">
        <is>
          <t>Tên vai trò</t>
        </is>
      </c>
      <c r="C4" s="128" t="inlineStr">
        <is>
          <t>PERMISSION_CODE</t>
        </is>
      </c>
      <c r="D4" s="128" t="inlineStr">
        <is>
          <t>SCOPE</t>
        </is>
      </c>
      <c r="E4" s="128" t="inlineStr">
        <is>
          <t>Đang cấp</t>
        </is>
      </c>
      <c r="F4" s="128" t="inlineStr">
        <is>
          <t>Độ nhạy</t>
        </is>
      </c>
      <c r="G4" s="128" t="inlineStr">
        <is>
          <t>Mã tham chiếu</t>
        </is>
      </c>
      <c r="H4" s="128" t="inlineStr">
        <is>
          <t>Điều kiện hệ thống</t>
        </is>
      </c>
    </row>
    <row r="5" ht="36" customHeight="1" s="94">
      <c r="A5" s="129" t="inlineStr">
        <is>
          <t>SEC_STAFF</t>
        </is>
      </c>
      <c r="B5" s="130" t="inlineStr">
        <is>
          <t>Nhân viên An ninh</t>
        </is>
      </c>
      <c r="C5" s="130" t="inlineStr">
        <is>
          <t>vehicle.visit.read</t>
        </is>
      </c>
      <c r="D5" s="130" t="inlineStr">
        <is>
          <t>YARD</t>
        </is>
      </c>
      <c r="E5" s="130" t="inlineStr">
        <is>
          <t>Có</t>
        </is>
      </c>
      <c r="F5" s="130" t="inlineStr">
        <is>
          <t>Thông thường</t>
        </is>
      </c>
      <c r="G5" s="130" t="inlineStr">
        <is>
          <t>Q01,Q03,Q25</t>
        </is>
      </c>
      <c r="H5" s="130" t="inlineStr">
        <is>
          <t>Kiểm tra server theo dữ liệu thuộc phạm vi.</t>
        </is>
      </c>
    </row>
    <row r="6" ht="36" customHeight="1" s="94">
      <c r="A6" s="132" t="inlineStr">
        <is>
          <t>SEC_LEAD</t>
        </is>
      </c>
      <c r="B6" s="133" t="inlineStr">
        <is>
          <t>Trưởng bộ phận An ninh</t>
        </is>
      </c>
      <c r="C6" s="133" t="inlineStr">
        <is>
          <t>vehicle.visit.read</t>
        </is>
      </c>
      <c r="D6" s="133" t="inlineStr">
        <is>
          <t>YARD</t>
        </is>
      </c>
      <c r="E6" s="133" t="inlineStr">
        <is>
          <t>Có</t>
        </is>
      </c>
      <c r="F6" s="133" t="inlineStr">
        <is>
          <t>Thông thường</t>
        </is>
      </c>
      <c r="G6" s="133" t="inlineStr">
        <is>
          <t>Q01,Q03,Q25</t>
        </is>
      </c>
      <c r="H6" s="133" t="inlineStr">
        <is>
          <t>Kiểm tra server theo dữ liệu thuộc phạm vi.</t>
        </is>
      </c>
    </row>
    <row r="7" ht="36" customHeight="1" s="94">
      <c r="A7" s="129" t="inlineStr">
        <is>
          <t>PORT_STAFF</t>
        </is>
      </c>
      <c r="B7" s="130" t="inlineStr">
        <is>
          <t>Nhân viên Cổng cảng kho bãi</t>
        </is>
      </c>
      <c r="C7" s="130" t="inlineStr">
        <is>
          <t>vehicle.visit.read</t>
        </is>
      </c>
      <c r="D7" s="130" t="inlineStr">
        <is>
          <t>YARD</t>
        </is>
      </c>
      <c r="E7" s="130" t="inlineStr">
        <is>
          <t>Có</t>
        </is>
      </c>
      <c r="F7" s="130" t="inlineStr">
        <is>
          <t>Thông thường</t>
        </is>
      </c>
      <c r="G7" s="130" t="inlineStr">
        <is>
          <t>Q01,Q03,Q25</t>
        </is>
      </c>
      <c r="H7" s="130" t="inlineStr">
        <is>
          <t>Kiểm tra server theo dữ liệu thuộc phạm vi.</t>
        </is>
      </c>
    </row>
    <row r="8" ht="36" customHeight="1" s="94">
      <c r="A8" s="132" t="inlineStr">
        <is>
          <t>PORT_LEAD</t>
        </is>
      </c>
      <c r="B8" s="133" t="inlineStr">
        <is>
          <t>Trưởng bộ phận Cổng cảng kho bãi</t>
        </is>
      </c>
      <c r="C8" s="133" t="inlineStr">
        <is>
          <t>vehicle.visit.read</t>
        </is>
      </c>
      <c r="D8" s="133" t="inlineStr">
        <is>
          <t>YARD</t>
        </is>
      </c>
      <c r="E8" s="133" t="inlineStr">
        <is>
          <t>Có</t>
        </is>
      </c>
      <c r="F8" s="133" t="inlineStr">
        <is>
          <t>Thông thường</t>
        </is>
      </c>
      <c r="G8" s="133" t="inlineStr">
        <is>
          <t>Q01,Q03,Q25</t>
        </is>
      </c>
      <c r="H8" s="133" t="inlineStr">
        <is>
          <t>Kiểm tra server theo dữ liệu thuộc phạm vi.</t>
        </is>
      </c>
    </row>
    <row r="9" ht="36" customHeight="1" s="94">
      <c r="A9" s="129" t="inlineStr">
        <is>
          <t>DIS_STAFF</t>
        </is>
      </c>
      <c r="B9" s="130" t="inlineStr">
        <is>
          <t>Nhân viên Điều phối</t>
        </is>
      </c>
      <c r="C9" s="130" t="inlineStr">
        <is>
          <t>vehicle.visit.read</t>
        </is>
      </c>
      <c r="D9" s="130" t="inlineStr">
        <is>
          <t>YARD</t>
        </is>
      </c>
      <c r="E9" s="130" t="inlineStr">
        <is>
          <t>Có</t>
        </is>
      </c>
      <c r="F9" s="130" t="inlineStr">
        <is>
          <t>Thông thường</t>
        </is>
      </c>
      <c r="G9" s="130" t="inlineStr">
        <is>
          <t>Q01,Q03,Q25</t>
        </is>
      </c>
      <c r="H9" s="130" t="inlineStr">
        <is>
          <t>Kiểm tra server theo dữ liệu thuộc phạm vi.</t>
        </is>
      </c>
    </row>
    <row r="10" ht="36" customHeight="1" s="94">
      <c r="A10" s="132" t="inlineStr">
        <is>
          <t>DIS_LEAD</t>
        </is>
      </c>
      <c r="B10" s="133" t="inlineStr">
        <is>
          <t>Trưởng bộ phận Điều phối</t>
        </is>
      </c>
      <c r="C10" s="133" t="inlineStr">
        <is>
          <t>vehicle.visit.read</t>
        </is>
      </c>
      <c r="D10" s="133" t="inlineStr">
        <is>
          <t>YARD</t>
        </is>
      </c>
      <c r="E10" s="133" t="inlineStr">
        <is>
          <t>Có</t>
        </is>
      </c>
      <c r="F10" s="133" t="inlineStr">
        <is>
          <t>Thông thường</t>
        </is>
      </c>
      <c r="G10" s="133" t="inlineStr">
        <is>
          <t>Q01,Q03,Q25</t>
        </is>
      </c>
      <c r="H10" s="133" t="inlineStr">
        <is>
          <t>Kiểm tra server theo dữ liệu thuộc phạm vi.</t>
        </is>
      </c>
    </row>
    <row r="11" ht="36" customHeight="1" s="94">
      <c r="A11" s="129" t="inlineStr">
        <is>
          <t>SYS_ADMIN</t>
        </is>
      </c>
      <c r="B11" s="130" t="inlineStr">
        <is>
          <t>Quản trị hệ thống</t>
        </is>
      </c>
      <c r="C11" s="130" t="inlineStr">
        <is>
          <t>vehicle.visit.read</t>
        </is>
      </c>
      <c r="D11" s="130" t="inlineStr">
        <is>
          <t>ALL</t>
        </is>
      </c>
      <c r="E11" s="130" t="inlineStr">
        <is>
          <t>Có</t>
        </is>
      </c>
      <c r="F11" s="130" t="inlineStr">
        <is>
          <t>Thông thường</t>
        </is>
      </c>
      <c r="G11" s="130" t="inlineStr">
        <is>
          <t>Q01,Q03,Q25</t>
        </is>
      </c>
      <c r="H11" s="130" t="inlineStr">
        <is>
          <t>Kiểm tra server theo dữ liệu thuộc phạm vi.</t>
        </is>
      </c>
    </row>
    <row r="12" ht="36" customHeight="1" s="94">
      <c r="A12" s="132" t="inlineStr">
        <is>
          <t>SEC_STAFF</t>
        </is>
      </c>
      <c r="B12" s="133" t="inlineStr">
        <is>
          <t>Nhân viên An ninh</t>
        </is>
      </c>
      <c r="C12" s="133" t="inlineStr">
        <is>
          <t>vehicle.visit.create</t>
        </is>
      </c>
      <c r="D12" s="133" t="inlineStr">
        <is>
          <t>YARD</t>
        </is>
      </c>
      <c r="E12" s="133" t="inlineStr">
        <is>
          <t>Có</t>
        </is>
      </c>
      <c r="F12" s="133" t="inlineStr">
        <is>
          <t>Thông thường</t>
        </is>
      </c>
      <c r="G12" s="133" t="inlineStr">
        <is>
          <t>Q01</t>
        </is>
      </c>
      <c r="H12" s="133" t="inlineStr">
        <is>
          <t>Kiểm tra server theo dữ liệu thuộc phạm vi.</t>
        </is>
      </c>
    </row>
    <row r="13" ht="36" customHeight="1" s="94">
      <c r="A13" s="129" t="inlineStr">
        <is>
          <t>SEC_LEAD</t>
        </is>
      </c>
      <c r="B13" s="130" t="inlineStr">
        <is>
          <t>Trưởng bộ phận An ninh</t>
        </is>
      </c>
      <c r="C13" s="130" t="inlineStr">
        <is>
          <t>vehicle.visit.create</t>
        </is>
      </c>
      <c r="D13" s="130" t="inlineStr">
        <is>
          <t>YARD</t>
        </is>
      </c>
      <c r="E13" s="130" t="inlineStr">
        <is>
          <t>Có</t>
        </is>
      </c>
      <c r="F13" s="130" t="inlineStr">
        <is>
          <t>Thông thường</t>
        </is>
      </c>
      <c r="G13" s="130" t="inlineStr">
        <is>
          <t>Q01</t>
        </is>
      </c>
      <c r="H13" s="130" t="inlineStr">
        <is>
          <t>Kiểm tra server theo dữ liệu thuộc phạm vi.</t>
        </is>
      </c>
    </row>
    <row r="14" ht="36" customHeight="1" s="94">
      <c r="A14" s="132" t="inlineStr">
        <is>
          <t>SYS_ADMIN</t>
        </is>
      </c>
      <c r="B14" s="133" t="inlineStr">
        <is>
          <t>Quản trị hệ thống</t>
        </is>
      </c>
      <c r="C14" s="133" t="inlineStr">
        <is>
          <t>vehicle.visit.create</t>
        </is>
      </c>
      <c r="D14" s="133" t="inlineStr">
        <is>
          <t>ALL</t>
        </is>
      </c>
      <c r="E14" s="133" t="inlineStr">
        <is>
          <t>Có</t>
        </is>
      </c>
      <c r="F14" s="133" t="inlineStr">
        <is>
          <t>Thông thường</t>
        </is>
      </c>
      <c r="G14" s="133" t="inlineStr">
        <is>
          <t>Q01</t>
        </is>
      </c>
      <c r="H14" s="133" t="inlineStr">
        <is>
          <t>Kiểm tra server theo dữ liệu thuộc phạm vi.</t>
        </is>
      </c>
    </row>
    <row r="15" ht="36" customHeight="1" s="94">
      <c r="A15" s="129" t="inlineStr">
        <is>
          <t>SEC_STAFF</t>
        </is>
      </c>
      <c r="B15" s="130" t="inlineStr">
        <is>
          <t>Nhân viên An ninh</t>
        </is>
      </c>
      <c r="C15" s="130" t="inlineStr">
        <is>
          <t>vehicle.visit.update_basic</t>
        </is>
      </c>
      <c r="D15" s="130" t="inlineStr">
        <is>
          <t>YARD</t>
        </is>
      </c>
      <c r="E15" s="130" t="inlineStr">
        <is>
          <t>Có</t>
        </is>
      </c>
      <c r="F15" s="130" t="inlineStr">
        <is>
          <t>Nhạy cảm</t>
        </is>
      </c>
      <c r="G15" s="130" t="inlineStr">
        <is>
          <t>Q03</t>
        </is>
      </c>
      <c r="H15" s="130" t="inlineStr">
        <is>
          <t>Kiểm tra server theo dữ liệu thuộc phạm vi.</t>
        </is>
      </c>
    </row>
    <row r="16" ht="36" customHeight="1" s="94">
      <c r="A16" s="132" t="inlineStr">
        <is>
          <t>SEC_LEAD</t>
        </is>
      </c>
      <c r="B16" s="133" t="inlineStr">
        <is>
          <t>Trưởng bộ phận An ninh</t>
        </is>
      </c>
      <c r="C16" s="133" t="inlineStr">
        <is>
          <t>vehicle.visit.update_basic</t>
        </is>
      </c>
      <c r="D16" s="133" t="inlineStr">
        <is>
          <t>YARD</t>
        </is>
      </c>
      <c r="E16" s="133" t="inlineStr">
        <is>
          <t>Có</t>
        </is>
      </c>
      <c r="F16" s="133" t="inlineStr">
        <is>
          <t>Nhạy cảm</t>
        </is>
      </c>
      <c r="G16" s="133" t="inlineStr">
        <is>
          <t>Q03</t>
        </is>
      </c>
      <c r="H16" s="133" t="inlineStr">
        <is>
          <t>Kiểm tra server theo dữ liệu thuộc phạm vi.</t>
        </is>
      </c>
    </row>
    <row r="17" ht="36" customHeight="1" s="94">
      <c r="A17" s="129" t="inlineStr">
        <is>
          <t>SYS_ADMIN</t>
        </is>
      </c>
      <c r="B17" s="130" t="inlineStr">
        <is>
          <t>Quản trị hệ thống</t>
        </is>
      </c>
      <c r="C17" s="130" t="inlineStr">
        <is>
          <t>vehicle.visit.update_basic</t>
        </is>
      </c>
      <c r="D17" s="130" t="inlineStr">
        <is>
          <t>ALL</t>
        </is>
      </c>
      <c r="E17" s="130" t="inlineStr">
        <is>
          <t>Có</t>
        </is>
      </c>
      <c r="F17" s="130" t="inlineStr">
        <is>
          <t>Nhạy cảm</t>
        </is>
      </c>
      <c r="G17" s="130" t="inlineStr">
        <is>
          <t>Q03</t>
        </is>
      </c>
      <c r="H17" s="130" t="inlineStr">
        <is>
          <t>Kiểm tra server theo dữ liệu thuộc phạm vi.</t>
        </is>
      </c>
    </row>
    <row r="18" ht="36" customHeight="1" s="94">
      <c r="A18" s="132" t="inlineStr">
        <is>
          <t>SEC_STAFF</t>
        </is>
      </c>
      <c r="B18" s="133" t="inlineStr">
        <is>
          <t>Nhân viên An ninh</t>
        </is>
      </c>
      <c r="C18" s="133" t="inlineStr">
        <is>
          <t>vehicle.visit.time_correction.request</t>
        </is>
      </c>
      <c r="D18" s="133" t="inlineStr">
        <is>
          <t>YARD</t>
        </is>
      </c>
      <c r="E18" s="133" t="inlineStr">
        <is>
          <t>Có</t>
        </is>
      </c>
      <c r="F18" s="133" t="inlineStr">
        <is>
          <t>Nhạy cảm</t>
        </is>
      </c>
      <c r="G18" s="133" t="inlineStr">
        <is>
          <t>Q03</t>
        </is>
      </c>
      <c r="H18" s="133" t="inlineStr">
        <is>
          <t>Kiểm tra server theo dữ liệu thuộc phạm vi.</t>
        </is>
      </c>
    </row>
    <row r="19" ht="36" customHeight="1" s="94">
      <c r="A19" s="129" t="inlineStr">
        <is>
          <t>SEC_LEAD</t>
        </is>
      </c>
      <c r="B19" s="130" t="inlineStr">
        <is>
          <t>Trưởng bộ phận An ninh</t>
        </is>
      </c>
      <c r="C19" s="130" t="inlineStr">
        <is>
          <t>vehicle.visit.time_correction.request</t>
        </is>
      </c>
      <c r="D19" s="130" t="inlineStr">
        <is>
          <t>YARD</t>
        </is>
      </c>
      <c r="E19" s="130" t="inlineStr">
        <is>
          <t>Có</t>
        </is>
      </c>
      <c r="F19" s="130" t="inlineStr">
        <is>
          <t>Nhạy cảm</t>
        </is>
      </c>
      <c r="G19" s="130" t="inlineStr">
        <is>
          <t>Q03</t>
        </is>
      </c>
      <c r="H19" s="130" t="inlineStr">
        <is>
          <t>Kiểm tra server theo dữ liệu thuộc phạm vi.</t>
        </is>
      </c>
    </row>
    <row r="20" ht="36" customHeight="1" s="94">
      <c r="A20" s="132" t="inlineStr">
        <is>
          <t>SYS_ADMIN</t>
        </is>
      </c>
      <c r="B20" s="133" t="inlineStr">
        <is>
          <t>Quản trị hệ thống</t>
        </is>
      </c>
      <c r="C20" s="133" t="inlineStr">
        <is>
          <t>vehicle.visit.time_correction.request</t>
        </is>
      </c>
      <c r="D20" s="133" t="inlineStr">
        <is>
          <t>ALL</t>
        </is>
      </c>
      <c r="E20" s="133" t="inlineStr">
        <is>
          <t>Có</t>
        </is>
      </c>
      <c r="F20" s="133" t="inlineStr">
        <is>
          <t>Nhạy cảm</t>
        </is>
      </c>
      <c r="G20" s="133" t="inlineStr">
        <is>
          <t>Q03</t>
        </is>
      </c>
      <c r="H20" s="133" t="inlineStr">
        <is>
          <t>Kiểm tra server theo dữ liệu thuộc phạm vi.</t>
        </is>
      </c>
    </row>
    <row r="21" ht="36" customHeight="1" s="94">
      <c r="A21" s="129" t="inlineStr">
        <is>
          <t>SEC_LEAD</t>
        </is>
      </c>
      <c r="B21" s="130" t="inlineStr">
        <is>
          <t>Trưởng bộ phận An ninh</t>
        </is>
      </c>
      <c r="C21" s="130" t="inlineStr">
        <is>
          <t>vehicle.visit.time_correction.approve</t>
        </is>
      </c>
      <c r="D21" s="130" t="inlineStr">
        <is>
          <t>DEPARTMENT</t>
        </is>
      </c>
      <c r="E21" s="130" t="inlineStr">
        <is>
          <t>Có</t>
        </is>
      </c>
      <c r="F21" s="130" t="inlineStr">
        <is>
          <t>Cao</t>
        </is>
      </c>
      <c r="G21" s="130" t="inlineStr">
        <is>
          <t>Q03</t>
        </is>
      </c>
      <c r="H21" s="130" t="inlineStr">
        <is>
          <t>Chỉ bật nếu phân hệ đang hoạt động; ràng buộc server/RLS + audit.</t>
        </is>
      </c>
    </row>
    <row r="22" ht="36" customHeight="1" s="94">
      <c r="A22" s="132" t="inlineStr">
        <is>
          <t>SYS_ADMIN</t>
        </is>
      </c>
      <c r="B22" s="133" t="inlineStr">
        <is>
          <t>Quản trị hệ thống</t>
        </is>
      </c>
      <c r="C22" s="133" t="inlineStr">
        <is>
          <t>vehicle.visit.time_correction.approve</t>
        </is>
      </c>
      <c r="D22" s="133" t="inlineStr">
        <is>
          <t>ALL</t>
        </is>
      </c>
      <c r="E22" s="133" t="inlineStr">
        <is>
          <t>Có</t>
        </is>
      </c>
      <c r="F22" s="133" t="inlineStr">
        <is>
          <t>Cao</t>
        </is>
      </c>
      <c r="G22" s="133" t="inlineStr">
        <is>
          <t>Q03</t>
        </is>
      </c>
      <c r="H22" s="133" t="inlineStr">
        <is>
          <t>Chỉ bật nếu phân hệ đang hoạt động; ràng buộc server/RLS + audit.</t>
        </is>
      </c>
    </row>
    <row r="23" ht="36" customHeight="1" s="94">
      <c r="A23" s="129" t="inlineStr">
        <is>
          <t>SEC_STAFF</t>
        </is>
      </c>
      <c r="B23" s="130" t="inlineStr">
        <is>
          <t>Nhân viên An ninh</t>
        </is>
      </c>
      <c r="C23" s="130" t="inlineStr">
        <is>
          <t>ticket.payment.collect</t>
        </is>
      </c>
      <c r="D23" s="130" t="inlineStr">
        <is>
          <t>YARD</t>
        </is>
      </c>
      <c r="E23" s="130" t="inlineStr">
        <is>
          <t>Có</t>
        </is>
      </c>
      <c r="F23" s="130" t="inlineStr">
        <is>
          <t>Tài chính</t>
        </is>
      </c>
      <c r="G23" s="130" t="inlineStr">
        <is>
          <t>Q02</t>
        </is>
      </c>
      <c r="H23" s="130" t="inlineStr">
        <is>
          <t>Chỉ bật nếu phân hệ đang hoạt động; ràng buộc server/RLS + audit.</t>
        </is>
      </c>
    </row>
    <row r="24" ht="36" customHeight="1" s="94">
      <c r="A24" s="132" t="inlineStr">
        <is>
          <t>SEC_LEAD</t>
        </is>
      </c>
      <c r="B24" s="133" t="inlineStr">
        <is>
          <t>Trưởng bộ phận An ninh</t>
        </is>
      </c>
      <c r="C24" s="133" t="inlineStr">
        <is>
          <t>ticket.payment.collect</t>
        </is>
      </c>
      <c r="D24" s="133" t="inlineStr">
        <is>
          <t>YARD</t>
        </is>
      </c>
      <c r="E24" s="133" t="inlineStr">
        <is>
          <t>Có</t>
        </is>
      </c>
      <c r="F24" s="133" t="inlineStr">
        <is>
          <t>Tài chính</t>
        </is>
      </c>
      <c r="G24" s="133" t="inlineStr">
        <is>
          <t>Q02</t>
        </is>
      </c>
      <c r="H24" s="133" t="inlineStr">
        <is>
          <t>Chỉ bật nếu phân hệ đang hoạt động; ràng buộc server/RLS + audit.</t>
        </is>
      </c>
    </row>
    <row r="25" ht="36" customHeight="1" s="94">
      <c r="A25" s="129" t="inlineStr">
        <is>
          <t>SYS_ADMIN</t>
        </is>
      </c>
      <c r="B25" s="130" t="inlineStr">
        <is>
          <t>Quản trị hệ thống</t>
        </is>
      </c>
      <c r="C25" s="130" t="inlineStr">
        <is>
          <t>ticket.payment.collect</t>
        </is>
      </c>
      <c r="D25" s="130" t="inlineStr">
        <is>
          <t>ALL</t>
        </is>
      </c>
      <c r="E25" s="130" t="inlineStr">
        <is>
          <t>Có</t>
        </is>
      </c>
      <c r="F25" s="130" t="inlineStr">
        <is>
          <t>Tài chính</t>
        </is>
      </c>
      <c r="G25" s="130" t="inlineStr">
        <is>
          <t>Q02</t>
        </is>
      </c>
      <c r="H25" s="130" t="inlineStr">
        <is>
          <t>Chỉ bật nếu phân hệ đang hoạt động; ràng buộc server/RLS + audit.</t>
        </is>
      </c>
    </row>
    <row r="26" ht="36" customHeight="1" s="94">
      <c r="A26" s="132" t="inlineStr">
        <is>
          <t>SEC_STAFF</t>
        </is>
      </c>
      <c r="B26" s="133" t="inlineStr">
        <is>
          <t>Nhân viên An ninh</t>
        </is>
      </c>
      <c r="C26" s="133" t="inlineStr">
        <is>
          <t>ticket.lost_fee.collect</t>
        </is>
      </c>
      <c r="D26" s="133" t="inlineStr">
        <is>
          <t>YARD</t>
        </is>
      </c>
      <c r="E26" s="133" t="inlineStr">
        <is>
          <t>Có</t>
        </is>
      </c>
      <c r="F26" s="133" t="inlineStr">
        <is>
          <t>Tài chính</t>
        </is>
      </c>
      <c r="G26" s="133" t="inlineStr">
        <is>
          <t>Q20</t>
        </is>
      </c>
      <c r="H26" s="133" t="inlineStr">
        <is>
          <t>Chỉ bật nếu phân hệ đang hoạt động; ràng buộc server/RLS + audit.</t>
        </is>
      </c>
    </row>
    <row r="27" ht="36" customHeight="1" s="94">
      <c r="A27" s="129" t="inlineStr">
        <is>
          <t>SEC_LEAD</t>
        </is>
      </c>
      <c r="B27" s="130" t="inlineStr">
        <is>
          <t>Trưởng bộ phận An ninh</t>
        </is>
      </c>
      <c r="C27" s="130" t="inlineStr">
        <is>
          <t>ticket.lost_fee.collect</t>
        </is>
      </c>
      <c r="D27" s="130" t="inlineStr">
        <is>
          <t>YARD</t>
        </is>
      </c>
      <c r="E27" s="130" t="inlineStr">
        <is>
          <t>Có</t>
        </is>
      </c>
      <c r="F27" s="130" t="inlineStr">
        <is>
          <t>Tài chính</t>
        </is>
      </c>
      <c r="G27" s="130" t="inlineStr">
        <is>
          <t>Q20</t>
        </is>
      </c>
      <c r="H27" s="130" t="inlineStr">
        <is>
          <t>Chỉ bật nếu phân hệ đang hoạt động; ràng buộc server/RLS + audit.</t>
        </is>
      </c>
    </row>
    <row r="28" ht="36" customHeight="1" s="94">
      <c r="A28" s="132" t="inlineStr">
        <is>
          <t>SYS_ADMIN</t>
        </is>
      </c>
      <c r="B28" s="133" t="inlineStr">
        <is>
          <t>Quản trị hệ thống</t>
        </is>
      </c>
      <c r="C28" s="133" t="inlineStr">
        <is>
          <t>ticket.lost_fee.collect</t>
        </is>
      </c>
      <c r="D28" s="133" t="inlineStr">
        <is>
          <t>ALL</t>
        </is>
      </c>
      <c r="E28" s="133" t="inlineStr">
        <is>
          <t>Có</t>
        </is>
      </c>
      <c r="F28" s="133" t="inlineStr">
        <is>
          <t>Tài chính</t>
        </is>
      </c>
      <c r="G28" s="133" t="inlineStr">
        <is>
          <t>Q20</t>
        </is>
      </c>
      <c r="H28" s="133" t="inlineStr">
        <is>
          <t>Chỉ bật nếu phân hệ đang hoạt động; ràng buộc server/RLS + audit.</t>
        </is>
      </c>
    </row>
    <row r="29" ht="36" customHeight="1" s="94">
      <c r="A29" s="129" t="inlineStr">
        <is>
          <t>SEC_STAFF</t>
        </is>
      </c>
      <c r="B29" s="130" t="inlineStr">
        <is>
          <t>Nhân viên An ninh</t>
        </is>
      </c>
      <c r="C29" s="130" t="inlineStr">
        <is>
          <t>vehicle.visit.exit_confirm</t>
        </is>
      </c>
      <c r="D29" s="130" t="inlineStr">
        <is>
          <t>YARD</t>
        </is>
      </c>
      <c r="E29" s="130" t="inlineStr">
        <is>
          <t>Có</t>
        </is>
      </c>
      <c r="F29" s="130" t="inlineStr">
        <is>
          <t>Cao</t>
        </is>
      </c>
      <c r="G29" s="130" t="inlineStr">
        <is>
          <t>Q25</t>
        </is>
      </c>
      <c r="H29" s="130" t="inlineStr">
        <is>
          <t>Chỉ bật nếu phân hệ đang hoạt động; ràng buộc server/RLS + audit.</t>
        </is>
      </c>
    </row>
    <row r="30" ht="36" customHeight="1" s="94">
      <c r="A30" s="132" t="inlineStr">
        <is>
          <t>SEC_LEAD</t>
        </is>
      </c>
      <c r="B30" s="133" t="inlineStr">
        <is>
          <t>Trưởng bộ phận An ninh</t>
        </is>
      </c>
      <c r="C30" s="133" t="inlineStr">
        <is>
          <t>vehicle.visit.exit_confirm</t>
        </is>
      </c>
      <c r="D30" s="133" t="inlineStr">
        <is>
          <t>YARD</t>
        </is>
      </c>
      <c r="E30" s="133" t="inlineStr">
        <is>
          <t>Có</t>
        </is>
      </c>
      <c r="F30" s="133" t="inlineStr">
        <is>
          <t>Cao</t>
        </is>
      </c>
      <c r="G30" s="133" t="inlineStr">
        <is>
          <t>Q25</t>
        </is>
      </c>
      <c r="H30" s="133" t="inlineStr">
        <is>
          <t>Chỉ bật nếu phân hệ đang hoạt động; ràng buộc server/RLS + audit.</t>
        </is>
      </c>
    </row>
    <row r="31" ht="36" customHeight="1" s="94">
      <c r="A31" s="129" t="inlineStr">
        <is>
          <t>SYS_ADMIN</t>
        </is>
      </c>
      <c r="B31" s="130" t="inlineStr">
        <is>
          <t>Quản trị hệ thống</t>
        </is>
      </c>
      <c r="C31" s="130" t="inlineStr">
        <is>
          <t>vehicle.visit.exit_confirm</t>
        </is>
      </c>
      <c r="D31" s="130" t="inlineStr">
        <is>
          <t>ALL</t>
        </is>
      </c>
      <c r="E31" s="130" t="inlineStr">
        <is>
          <t>Có</t>
        </is>
      </c>
      <c r="F31" s="130" t="inlineStr">
        <is>
          <t>Cao</t>
        </is>
      </c>
      <c r="G31" s="130" t="inlineStr">
        <is>
          <t>Q25</t>
        </is>
      </c>
      <c r="H31" s="130" t="inlineStr">
        <is>
          <t>Chỉ bật nếu phân hệ đang hoạt động; ràng buộc server/RLS + audit.</t>
        </is>
      </c>
    </row>
    <row r="32" ht="36" customHeight="1" s="94">
      <c r="A32" s="132" t="inlineStr">
        <is>
          <t>SEC_STAFF</t>
        </is>
      </c>
      <c r="B32" s="133" t="inlineStr">
        <is>
          <t>Nhân viên An ninh</t>
        </is>
      </c>
      <c r="C32" s="133" t="inlineStr">
        <is>
          <t>container.visit.read</t>
        </is>
      </c>
      <c r="D32" s="133" t="inlineStr">
        <is>
          <t>YARD</t>
        </is>
      </c>
      <c r="E32" s="133" t="inlineStr">
        <is>
          <t>Có</t>
        </is>
      </c>
      <c r="F32" s="133" t="inlineStr">
        <is>
          <t>Thông thường</t>
        </is>
      </c>
      <c r="G32" s="133" t="inlineStr">
        <is>
          <t>Q05,Q06,Q18</t>
        </is>
      </c>
      <c r="H32" s="133" t="inlineStr">
        <is>
          <t>Kiểm tra server theo dữ liệu thuộc phạm vi.</t>
        </is>
      </c>
    </row>
    <row r="33" ht="36" customHeight="1" s="94">
      <c r="A33" s="129" t="inlineStr">
        <is>
          <t>SEC_LEAD</t>
        </is>
      </c>
      <c r="B33" s="130" t="inlineStr">
        <is>
          <t>Trưởng bộ phận An ninh</t>
        </is>
      </c>
      <c r="C33" s="130" t="inlineStr">
        <is>
          <t>container.visit.read</t>
        </is>
      </c>
      <c r="D33" s="130" t="inlineStr">
        <is>
          <t>YARD</t>
        </is>
      </c>
      <c r="E33" s="130" t="inlineStr">
        <is>
          <t>Có</t>
        </is>
      </c>
      <c r="F33" s="130" t="inlineStr">
        <is>
          <t>Thông thường</t>
        </is>
      </c>
      <c r="G33" s="130" t="inlineStr">
        <is>
          <t>Q05,Q06,Q18</t>
        </is>
      </c>
      <c r="H33" s="130" t="inlineStr">
        <is>
          <t>Kiểm tra server theo dữ liệu thuộc phạm vi.</t>
        </is>
      </c>
    </row>
    <row r="34" ht="36" customHeight="1" s="94">
      <c r="A34" s="132" t="inlineStr">
        <is>
          <t>PORT_STAFF</t>
        </is>
      </c>
      <c r="B34" s="133" t="inlineStr">
        <is>
          <t>Nhân viên Cổng cảng kho bãi</t>
        </is>
      </c>
      <c r="C34" s="133" t="inlineStr">
        <is>
          <t>container.visit.read</t>
        </is>
      </c>
      <c r="D34" s="133" t="inlineStr">
        <is>
          <t>YARD</t>
        </is>
      </c>
      <c r="E34" s="133" t="inlineStr">
        <is>
          <t>Có</t>
        </is>
      </c>
      <c r="F34" s="133" t="inlineStr">
        <is>
          <t>Thông thường</t>
        </is>
      </c>
      <c r="G34" s="133" t="inlineStr">
        <is>
          <t>Q05,Q06,Q18</t>
        </is>
      </c>
      <c r="H34" s="133" t="inlineStr">
        <is>
          <t>Kiểm tra server theo dữ liệu thuộc phạm vi.</t>
        </is>
      </c>
    </row>
    <row r="35" ht="36" customHeight="1" s="94">
      <c r="A35" s="129" t="inlineStr">
        <is>
          <t>PORT_LEAD</t>
        </is>
      </c>
      <c r="B35" s="130" t="inlineStr">
        <is>
          <t>Trưởng bộ phận Cổng cảng kho bãi</t>
        </is>
      </c>
      <c r="C35" s="130" t="inlineStr">
        <is>
          <t>container.visit.read</t>
        </is>
      </c>
      <c r="D35" s="130" t="inlineStr">
        <is>
          <t>YARD</t>
        </is>
      </c>
      <c r="E35" s="130" t="inlineStr">
        <is>
          <t>Có</t>
        </is>
      </c>
      <c r="F35" s="130" t="inlineStr">
        <is>
          <t>Thông thường</t>
        </is>
      </c>
      <c r="G35" s="130" t="inlineStr">
        <is>
          <t>Q05,Q06,Q18</t>
        </is>
      </c>
      <c r="H35" s="130" t="inlineStr">
        <is>
          <t>Kiểm tra server theo dữ liệu thuộc phạm vi.</t>
        </is>
      </c>
    </row>
    <row r="36" ht="36" customHeight="1" s="94">
      <c r="A36" s="132" t="inlineStr">
        <is>
          <t>DIS_STAFF</t>
        </is>
      </c>
      <c r="B36" s="133" t="inlineStr">
        <is>
          <t>Nhân viên Điều phối</t>
        </is>
      </c>
      <c r="C36" s="133" t="inlineStr">
        <is>
          <t>container.visit.read</t>
        </is>
      </c>
      <c r="D36" s="133" t="inlineStr">
        <is>
          <t>YARD</t>
        </is>
      </c>
      <c r="E36" s="133" t="inlineStr">
        <is>
          <t>Có</t>
        </is>
      </c>
      <c r="F36" s="133" t="inlineStr">
        <is>
          <t>Thông thường</t>
        </is>
      </c>
      <c r="G36" s="133" t="inlineStr">
        <is>
          <t>Q05,Q06,Q18</t>
        </is>
      </c>
      <c r="H36" s="133" t="inlineStr">
        <is>
          <t>Kiểm tra server theo dữ liệu thuộc phạm vi.</t>
        </is>
      </c>
    </row>
    <row r="37" ht="36" customHeight="1" s="94">
      <c r="A37" s="129" t="inlineStr">
        <is>
          <t>DIS_LEAD</t>
        </is>
      </c>
      <c r="B37" s="130" t="inlineStr">
        <is>
          <t>Trưởng bộ phận Điều phối</t>
        </is>
      </c>
      <c r="C37" s="130" t="inlineStr">
        <is>
          <t>container.visit.read</t>
        </is>
      </c>
      <c r="D37" s="130" t="inlineStr">
        <is>
          <t>YARD</t>
        </is>
      </c>
      <c r="E37" s="130" t="inlineStr">
        <is>
          <t>Có</t>
        </is>
      </c>
      <c r="F37" s="130" t="inlineStr">
        <is>
          <t>Thông thường</t>
        </is>
      </c>
      <c r="G37" s="130" t="inlineStr">
        <is>
          <t>Q05,Q06,Q18</t>
        </is>
      </c>
      <c r="H37" s="130" t="inlineStr">
        <is>
          <t>Kiểm tra server theo dữ liệu thuộc phạm vi.</t>
        </is>
      </c>
    </row>
    <row r="38" ht="36" customHeight="1" s="94">
      <c r="A38" s="132" t="inlineStr">
        <is>
          <t>SYS_ADMIN</t>
        </is>
      </c>
      <c r="B38" s="133" t="inlineStr">
        <is>
          <t>Quản trị hệ thống</t>
        </is>
      </c>
      <c r="C38" s="133" t="inlineStr">
        <is>
          <t>container.visit.read</t>
        </is>
      </c>
      <c r="D38" s="133" t="inlineStr">
        <is>
          <t>ALL</t>
        </is>
      </c>
      <c r="E38" s="133" t="inlineStr">
        <is>
          <t>Có</t>
        </is>
      </c>
      <c r="F38" s="133" t="inlineStr">
        <is>
          <t>Thông thường</t>
        </is>
      </c>
      <c r="G38" s="133" t="inlineStr">
        <is>
          <t>Q05,Q06,Q18</t>
        </is>
      </c>
      <c r="H38" s="133" t="inlineStr">
        <is>
          <t>Kiểm tra server theo dữ liệu thuộc phạm vi.</t>
        </is>
      </c>
    </row>
    <row r="39" ht="36" customHeight="1" s="94">
      <c r="A39" s="129" t="inlineStr">
        <is>
          <t>SEC_STAFF</t>
        </is>
      </c>
      <c r="B39" s="130" t="inlineStr">
        <is>
          <t>Nhân viên An ninh</t>
        </is>
      </c>
      <c r="C39" s="130" t="inlineStr">
        <is>
          <t>container.visit.create</t>
        </is>
      </c>
      <c r="D39" s="130" t="inlineStr">
        <is>
          <t>YARD</t>
        </is>
      </c>
      <c r="E39" s="130" t="inlineStr">
        <is>
          <t>Có</t>
        </is>
      </c>
      <c r="F39" s="130" t="inlineStr">
        <is>
          <t>Thông thường</t>
        </is>
      </c>
      <c r="G39" s="130" t="inlineStr">
        <is>
          <t>Q05</t>
        </is>
      </c>
      <c r="H39" s="130" t="inlineStr">
        <is>
          <t>Kiểm tra server theo dữ liệu thuộc phạm vi.</t>
        </is>
      </c>
    </row>
    <row r="40" ht="36" customHeight="1" s="94">
      <c r="A40" s="132" t="inlineStr">
        <is>
          <t>SEC_LEAD</t>
        </is>
      </c>
      <c r="B40" s="133" t="inlineStr">
        <is>
          <t>Trưởng bộ phận An ninh</t>
        </is>
      </c>
      <c r="C40" s="133" t="inlineStr">
        <is>
          <t>container.visit.create</t>
        </is>
      </c>
      <c r="D40" s="133" t="inlineStr">
        <is>
          <t>YARD</t>
        </is>
      </c>
      <c r="E40" s="133" t="inlineStr">
        <is>
          <t>Có</t>
        </is>
      </c>
      <c r="F40" s="133" t="inlineStr">
        <is>
          <t>Thông thường</t>
        </is>
      </c>
      <c r="G40" s="133" t="inlineStr">
        <is>
          <t>Q05</t>
        </is>
      </c>
      <c r="H40" s="133" t="inlineStr">
        <is>
          <t>Kiểm tra server theo dữ liệu thuộc phạm vi.</t>
        </is>
      </c>
    </row>
    <row r="41" ht="36" customHeight="1" s="94">
      <c r="A41" s="129" t="inlineStr">
        <is>
          <t>SYS_ADMIN</t>
        </is>
      </c>
      <c r="B41" s="130" t="inlineStr">
        <is>
          <t>Quản trị hệ thống</t>
        </is>
      </c>
      <c r="C41" s="130" t="inlineStr">
        <is>
          <t>container.visit.create</t>
        </is>
      </c>
      <c r="D41" s="130" t="inlineStr">
        <is>
          <t>ALL</t>
        </is>
      </c>
      <c r="E41" s="130" t="inlineStr">
        <is>
          <t>Có</t>
        </is>
      </c>
      <c r="F41" s="130" t="inlineStr">
        <is>
          <t>Thông thường</t>
        </is>
      </c>
      <c r="G41" s="130" t="inlineStr">
        <is>
          <t>Q05</t>
        </is>
      </c>
      <c r="H41" s="130" t="inlineStr">
        <is>
          <t>Kiểm tra server theo dữ liệu thuộc phạm vi.</t>
        </is>
      </c>
    </row>
    <row r="42" ht="36" customHeight="1" s="94">
      <c r="A42" s="132" t="inlineStr">
        <is>
          <t>SEC_STAFF</t>
        </is>
      </c>
      <c r="B42" s="133" t="inlineStr">
        <is>
          <t>Nhân viên An ninh</t>
        </is>
      </c>
      <c r="C42" s="133" t="inlineStr">
        <is>
          <t>container.number.correct</t>
        </is>
      </c>
      <c r="D42" s="133" t="inlineStr">
        <is>
          <t>YARD</t>
        </is>
      </c>
      <c r="E42" s="133" t="inlineStr">
        <is>
          <t>Có</t>
        </is>
      </c>
      <c r="F42" s="133" t="inlineStr">
        <is>
          <t>Cao</t>
        </is>
      </c>
      <c r="G42" s="133" t="inlineStr">
        <is>
          <t>Q06,Q35</t>
        </is>
      </c>
      <c r="H42" s="133" t="inlineStr">
        <is>
          <t>Chỉ bật nếu phân hệ đang hoạt động; ràng buộc server/RLS + audit.</t>
        </is>
      </c>
    </row>
    <row r="43" ht="36" customHeight="1" s="94">
      <c r="A43" s="129" t="inlineStr">
        <is>
          <t>SEC_LEAD</t>
        </is>
      </c>
      <c r="B43" s="130" t="inlineStr">
        <is>
          <t>Trưởng bộ phận An ninh</t>
        </is>
      </c>
      <c r="C43" s="130" t="inlineStr">
        <is>
          <t>container.number.correct</t>
        </is>
      </c>
      <c r="D43" s="130" t="inlineStr">
        <is>
          <t>YARD</t>
        </is>
      </c>
      <c r="E43" s="130" t="inlineStr">
        <is>
          <t>Có</t>
        </is>
      </c>
      <c r="F43" s="130" t="inlineStr">
        <is>
          <t>Cao</t>
        </is>
      </c>
      <c r="G43" s="130" t="inlineStr">
        <is>
          <t>Q06,Q35</t>
        </is>
      </c>
      <c r="H43" s="130" t="inlineStr">
        <is>
          <t>Chỉ bật nếu phân hệ đang hoạt động; ràng buộc server/RLS + audit.</t>
        </is>
      </c>
    </row>
    <row r="44" ht="36" customHeight="1" s="94">
      <c r="A44" s="132" t="inlineStr">
        <is>
          <t>SYS_ADMIN</t>
        </is>
      </c>
      <c r="B44" s="133" t="inlineStr">
        <is>
          <t>Quản trị hệ thống</t>
        </is>
      </c>
      <c r="C44" s="133" t="inlineStr">
        <is>
          <t>container.number.correct</t>
        </is>
      </c>
      <c r="D44" s="133" t="inlineStr">
        <is>
          <t>ALL</t>
        </is>
      </c>
      <c r="E44" s="133" t="inlineStr">
        <is>
          <t>Có</t>
        </is>
      </c>
      <c r="F44" s="133" t="inlineStr">
        <is>
          <t>Cao</t>
        </is>
      </c>
      <c r="G44" s="133" t="inlineStr">
        <is>
          <t>Q06,Q35</t>
        </is>
      </c>
      <c r="H44" s="133" t="inlineStr">
        <is>
          <t>Chỉ bật nếu phân hệ đang hoạt động; ràng buộc server/RLS + audit.</t>
        </is>
      </c>
    </row>
    <row r="45" ht="36" customHeight="1" s="94">
      <c r="A45" s="129" t="inlineStr">
        <is>
          <t>SEC_STAFF</t>
        </is>
      </c>
      <c r="B45" s="130" t="inlineStr">
        <is>
          <t>Nhân viên An ninh</t>
        </is>
      </c>
      <c r="C45" s="130" t="inlineStr">
        <is>
          <t>container.number.discrepancy.view</t>
        </is>
      </c>
      <c r="D45" s="130" t="inlineStr">
        <is>
          <t>YARD</t>
        </is>
      </c>
      <c r="E45" s="130" t="inlineStr">
        <is>
          <t>Có</t>
        </is>
      </c>
      <c r="F45" s="130" t="inlineStr">
        <is>
          <t>Thông thường</t>
        </is>
      </c>
      <c r="G45" s="130" t="inlineStr">
        <is>
          <t>Q35,Q36,Q39</t>
        </is>
      </c>
      <c r="H45" s="130" t="inlineStr">
        <is>
          <t>Kiểm tra server theo dữ liệu thuộc phạm vi.</t>
        </is>
      </c>
    </row>
    <row r="46" ht="36" customHeight="1" s="94">
      <c r="A46" s="132" t="inlineStr">
        <is>
          <t>SEC_LEAD</t>
        </is>
      </c>
      <c r="B46" s="133" t="inlineStr">
        <is>
          <t>Trưởng bộ phận An ninh</t>
        </is>
      </c>
      <c r="C46" s="133" t="inlineStr">
        <is>
          <t>container.number.discrepancy.view</t>
        </is>
      </c>
      <c r="D46" s="133" t="inlineStr">
        <is>
          <t>YARD</t>
        </is>
      </c>
      <c r="E46" s="133" t="inlineStr">
        <is>
          <t>Có</t>
        </is>
      </c>
      <c r="F46" s="133" t="inlineStr">
        <is>
          <t>Thông thường</t>
        </is>
      </c>
      <c r="G46" s="133" t="inlineStr">
        <is>
          <t>Q35,Q36,Q39</t>
        </is>
      </c>
      <c r="H46" s="133" t="inlineStr">
        <is>
          <t>Kiểm tra server theo dữ liệu thuộc phạm vi.</t>
        </is>
      </c>
    </row>
    <row r="47" ht="36" customHeight="1" s="94">
      <c r="A47" s="129" t="inlineStr">
        <is>
          <t>PORT_STAFF</t>
        </is>
      </c>
      <c r="B47" s="130" t="inlineStr">
        <is>
          <t>Nhân viên Cổng cảng kho bãi</t>
        </is>
      </c>
      <c r="C47" s="130" t="inlineStr">
        <is>
          <t>container.number.discrepancy.view</t>
        </is>
      </c>
      <c r="D47" s="130" t="inlineStr">
        <is>
          <t>YARD</t>
        </is>
      </c>
      <c r="E47" s="130" t="inlineStr">
        <is>
          <t>Có</t>
        </is>
      </c>
      <c r="F47" s="130" t="inlineStr">
        <is>
          <t>Thông thường</t>
        </is>
      </c>
      <c r="G47" s="130" t="inlineStr">
        <is>
          <t>Q35,Q36,Q39</t>
        </is>
      </c>
      <c r="H47" s="130" t="inlineStr">
        <is>
          <t>Kiểm tra server theo dữ liệu thuộc phạm vi.</t>
        </is>
      </c>
    </row>
    <row r="48" ht="36" customHeight="1" s="94">
      <c r="A48" s="132" t="inlineStr">
        <is>
          <t>PORT_LEAD</t>
        </is>
      </c>
      <c r="B48" s="133" t="inlineStr">
        <is>
          <t>Trưởng bộ phận Cổng cảng kho bãi</t>
        </is>
      </c>
      <c r="C48" s="133" t="inlineStr">
        <is>
          <t>container.number.discrepancy.view</t>
        </is>
      </c>
      <c r="D48" s="133" t="inlineStr">
        <is>
          <t>YARD</t>
        </is>
      </c>
      <c r="E48" s="133" t="inlineStr">
        <is>
          <t>Có</t>
        </is>
      </c>
      <c r="F48" s="133" t="inlineStr">
        <is>
          <t>Thông thường</t>
        </is>
      </c>
      <c r="G48" s="133" t="inlineStr">
        <is>
          <t>Q35,Q36,Q39</t>
        </is>
      </c>
      <c r="H48" s="133" t="inlineStr">
        <is>
          <t>Kiểm tra server theo dữ liệu thuộc phạm vi.</t>
        </is>
      </c>
    </row>
    <row r="49" ht="36" customHeight="1" s="94">
      <c r="A49" s="129" t="inlineStr">
        <is>
          <t>SYS_ADMIN</t>
        </is>
      </c>
      <c r="B49" s="130" t="inlineStr">
        <is>
          <t>Quản trị hệ thống</t>
        </is>
      </c>
      <c r="C49" s="130" t="inlineStr">
        <is>
          <t>container.number.discrepancy.view</t>
        </is>
      </c>
      <c r="D49" s="130" t="inlineStr">
        <is>
          <t>ALL</t>
        </is>
      </c>
      <c r="E49" s="130" t="inlineStr">
        <is>
          <t>Có</t>
        </is>
      </c>
      <c r="F49" s="130" t="inlineStr">
        <is>
          <t>Thông thường</t>
        </is>
      </c>
      <c r="G49" s="130" t="inlineStr">
        <is>
          <t>Q35,Q36,Q39</t>
        </is>
      </c>
      <c r="H49" s="130" t="inlineStr">
        <is>
          <t>Kiểm tra server theo dữ liệu thuộc phạm vi.</t>
        </is>
      </c>
    </row>
    <row r="50" ht="36" customHeight="1" s="94">
      <c r="A50" s="132" t="inlineStr">
        <is>
          <t>SEC_STAFF</t>
        </is>
      </c>
      <c r="B50" s="133" t="inlineStr">
        <is>
          <t>Nhân viên An ninh</t>
        </is>
      </c>
      <c r="C50" s="133" t="inlineStr">
        <is>
          <t>container.number.discrepancy.sec_ack</t>
        </is>
      </c>
      <c r="D50" s="133" t="inlineStr">
        <is>
          <t>YARD</t>
        </is>
      </c>
      <c r="E50" s="133" t="inlineStr">
        <is>
          <t>Có</t>
        </is>
      </c>
      <c r="F50" s="133" t="inlineStr">
        <is>
          <t>Thông thường</t>
        </is>
      </c>
      <c r="G50" s="133" t="inlineStr">
        <is>
          <t>Q35,Q39</t>
        </is>
      </c>
      <c r="H50" s="133" t="inlineStr">
        <is>
          <t>Kiểm tra server theo dữ liệu thuộc phạm vi.</t>
        </is>
      </c>
    </row>
    <row r="51" ht="36" customHeight="1" s="94">
      <c r="A51" s="129" t="inlineStr">
        <is>
          <t>SEC_LEAD</t>
        </is>
      </c>
      <c r="B51" s="130" t="inlineStr">
        <is>
          <t>Trưởng bộ phận An ninh</t>
        </is>
      </c>
      <c r="C51" s="130" t="inlineStr">
        <is>
          <t>container.number.discrepancy.sec_ack</t>
        </is>
      </c>
      <c r="D51" s="130" t="inlineStr">
        <is>
          <t>YARD</t>
        </is>
      </c>
      <c r="E51" s="130" t="inlineStr">
        <is>
          <t>Có</t>
        </is>
      </c>
      <c r="F51" s="130" t="inlineStr">
        <is>
          <t>Thông thường</t>
        </is>
      </c>
      <c r="G51" s="130" t="inlineStr">
        <is>
          <t>Q35,Q39</t>
        </is>
      </c>
      <c r="H51" s="130" t="inlineStr">
        <is>
          <t>Kiểm tra server theo dữ liệu thuộc phạm vi.</t>
        </is>
      </c>
    </row>
    <row r="52" ht="36" customHeight="1" s="94">
      <c r="A52" s="132" t="inlineStr">
        <is>
          <t>SYS_ADMIN</t>
        </is>
      </c>
      <c r="B52" s="133" t="inlineStr">
        <is>
          <t>Quản trị hệ thống</t>
        </is>
      </c>
      <c r="C52" s="133" t="inlineStr">
        <is>
          <t>container.number.discrepancy.sec_ack</t>
        </is>
      </c>
      <c r="D52" s="133" t="inlineStr">
        <is>
          <t>ALL</t>
        </is>
      </c>
      <c r="E52" s="133" t="inlineStr">
        <is>
          <t>Có</t>
        </is>
      </c>
      <c r="F52" s="133" t="inlineStr">
        <is>
          <t>Thông thường</t>
        </is>
      </c>
      <c r="G52" s="133" t="inlineStr">
        <is>
          <t>Q35,Q39</t>
        </is>
      </c>
      <c r="H52" s="133" t="inlineStr">
        <is>
          <t>Kiểm tra server theo dữ liệu thuộc phạm vi.</t>
        </is>
      </c>
    </row>
    <row r="53" ht="36" customHeight="1" s="94">
      <c r="A53" s="129" t="inlineStr">
        <is>
          <t>PORT_STAFF</t>
        </is>
      </c>
      <c r="B53" s="130" t="inlineStr">
        <is>
          <t>Nhân viên Cổng cảng kho bãi</t>
        </is>
      </c>
      <c r="C53" s="130" t="inlineStr">
        <is>
          <t>container.number.discrepancy.port_reconcile</t>
        </is>
      </c>
      <c r="D53" s="130" t="inlineStr">
        <is>
          <t>YARD</t>
        </is>
      </c>
      <c r="E53" s="130" t="inlineStr">
        <is>
          <t>Có</t>
        </is>
      </c>
      <c r="F53" s="130" t="inlineStr">
        <is>
          <t>Nhạy cảm</t>
        </is>
      </c>
      <c r="G53" s="130" t="inlineStr">
        <is>
          <t>Q36,Q38,Q39</t>
        </is>
      </c>
      <c r="H53" s="130" t="inlineStr">
        <is>
          <t>Kiểm tra server theo dữ liệu thuộc phạm vi.</t>
        </is>
      </c>
    </row>
    <row r="54" ht="36" customHeight="1" s="94">
      <c r="A54" s="132" t="inlineStr">
        <is>
          <t>PORT_LEAD</t>
        </is>
      </c>
      <c r="B54" s="133" t="inlineStr">
        <is>
          <t>Trưởng bộ phận Cổng cảng kho bãi</t>
        </is>
      </c>
      <c r="C54" s="133" t="inlineStr">
        <is>
          <t>container.number.discrepancy.port_reconcile</t>
        </is>
      </c>
      <c r="D54" s="133" t="inlineStr">
        <is>
          <t>YARD</t>
        </is>
      </c>
      <c r="E54" s="133" t="inlineStr">
        <is>
          <t>Có</t>
        </is>
      </c>
      <c r="F54" s="133" t="inlineStr">
        <is>
          <t>Nhạy cảm</t>
        </is>
      </c>
      <c r="G54" s="133" t="inlineStr">
        <is>
          <t>Q36,Q38,Q39</t>
        </is>
      </c>
      <c r="H54" s="133" t="inlineStr">
        <is>
          <t>Kiểm tra server theo dữ liệu thuộc phạm vi.</t>
        </is>
      </c>
    </row>
    <row r="55" ht="36" customHeight="1" s="94">
      <c r="A55" s="129" t="inlineStr">
        <is>
          <t>SYS_ADMIN</t>
        </is>
      </c>
      <c r="B55" s="130" t="inlineStr">
        <is>
          <t>Quản trị hệ thống</t>
        </is>
      </c>
      <c r="C55" s="130" t="inlineStr">
        <is>
          <t>container.number.discrepancy.port_reconcile</t>
        </is>
      </c>
      <c r="D55" s="130" t="inlineStr">
        <is>
          <t>ALL</t>
        </is>
      </c>
      <c r="E55" s="130" t="inlineStr">
        <is>
          <t>Có</t>
        </is>
      </c>
      <c r="F55" s="130" t="inlineStr">
        <is>
          <t>Nhạy cảm</t>
        </is>
      </c>
      <c r="G55" s="130" t="inlineStr">
        <is>
          <t>Q36,Q38,Q39</t>
        </is>
      </c>
      <c r="H55" s="130" t="inlineStr">
        <is>
          <t>Kiểm tra server theo dữ liệu thuộc phạm vi.</t>
        </is>
      </c>
    </row>
    <row r="56" ht="36" customHeight="1" s="94">
      <c r="A56" s="132" t="inlineStr">
        <is>
          <t>SEC_STAFF</t>
        </is>
      </c>
      <c r="B56" s="133" t="inlineStr">
        <is>
          <t>Nhân viên An ninh</t>
        </is>
      </c>
      <c r="C56" s="133" t="inlineStr">
        <is>
          <t>container.number.evidence.attach</t>
        </is>
      </c>
      <c r="D56" s="133" t="inlineStr">
        <is>
          <t>YARD</t>
        </is>
      </c>
      <c r="E56" s="133" t="inlineStr">
        <is>
          <t>Có</t>
        </is>
      </c>
      <c r="F56" s="133" t="inlineStr">
        <is>
          <t>Thông thường</t>
        </is>
      </c>
      <c r="G56" s="133" t="inlineStr">
        <is>
          <t>Q37</t>
        </is>
      </c>
      <c r="H56" s="133" t="inlineStr">
        <is>
          <t>Kiểm tra server theo dữ liệu thuộc phạm vi.</t>
        </is>
      </c>
    </row>
    <row r="57" ht="36" customHeight="1" s="94">
      <c r="A57" s="129" t="inlineStr">
        <is>
          <t>SEC_LEAD</t>
        </is>
      </c>
      <c r="B57" s="130" t="inlineStr">
        <is>
          <t>Trưởng bộ phận An ninh</t>
        </is>
      </c>
      <c r="C57" s="130" t="inlineStr">
        <is>
          <t>container.number.evidence.attach</t>
        </is>
      </c>
      <c r="D57" s="130" t="inlineStr">
        <is>
          <t>YARD</t>
        </is>
      </c>
      <c r="E57" s="130" t="inlineStr">
        <is>
          <t>Có</t>
        </is>
      </c>
      <c r="F57" s="130" t="inlineStr">
        <is>
          <t>Thông thường</t>
        </is>
      </c>
      <c r="G57" s="130" t="inlineStr">
        <is>
          <t>Q37</t>
        </is>
      </c>
      <c r="H57" s="130" t="inlineStr">
        <is>
          <t>Kiểm tra server theo dữ liệu thuộc phạm vi.</t>
        </is>
      </c>
    </row>
    <row r="58" ht="36" customHeight="1" s="94">
      <c r="A58" s="132" t="inlineStr">
        <is>
          <t>PORT_STAFF</t>
        </is>
      </c>
      <c r="B58" s="133" t="inlineStr">
        <is>
          <t>Nhân viên Cổng cảng kho bãi</t>
        </is>
      </c>
      <c r="C58" s="133" t="inlineStr">
        <is>
          <t>container.number.evidence.attach</t>
        </is>
      </c>
      <c r="D58" s="133" t="inlineStr">
        <is>
          <t>YARD</t>
        </is>
      </c>
      <c r="E58" s="133" t="inlineStr">
        <is>
          <t>Có</t>
        </is>
      </c>
      <c r="F58" s="133" t="inlineStr">
        <is>
          <t>Thông thường</t>
        </is>
      </c>
      <c r="G58" s="133" t="inlineStr">
        <is>
          <t>Q37</t>
        </is>
      </c>
      <c r="H58" s="133" t="inlineStr">
        <is>
          <t>Kiểm tra server theo dữ liệu thuộc phạm vi.</t>
        </is>
      </c>
    </row>
    <row r="59" ht="36" customHeight="1" s="94">
      <c r="A59" s="129" t="inlineStr">
        <is>
          <t>PORT_LEAD</t>
        </is>
      </c>
      <c r="B59" s="130" t="inlineStr">
        <is>
          <t>Trưởng bộ phận Cổng cảng kho bãi</t>
        </is>
      </c>
      <c r="C59" s="130" t="inlineStr">
        <is>
          <t>container.number.evidence.attach</t>
        </is>
      </c>
      <c r="D59" s="130" t="inlineStr">
        <is>
          <t>YARD</t>
        </is>
      </c>
      <c r="E59" s="130" t="inlineStr">
        <is>
          <t>Có</t>
        </is>
      </c>
      <c r="F59" s="130" t="inlineStr">
        <is>
          <t>Thông thường</t>
        </is>
      </c>
      <c r="G59" s="130" t="inlineStr">
        <is>
          <t>Q37</t>
        </is>
      </c>
      <c r="H59" s="130" t="inlineStr">
        <is>
          <t>Kiểm tra server theo dữ liệu thuộc phạm vi.</t>
        </is>
      </c>
    </row>
    <row r="60" ht="36" customHeight="1" s="94">
      <c r="A60" s="132" t="inlineStr">
        <is>
          <t>SYS_ADMIN</t>
        </is>
      </c>
      <c r="B60" s="133" t="inlineStr">
        <is>
          <t>Quản trị hệ thống</t>
        </is>
      </c>
      <c r="C60" s="133" t="inlineStr">
        <is>
          <t>container.number.evidence.attach</t>
        </is>
      </c>
      <c r="D60" s="133" t="inlineStr">
        <is>
          <t>ALL</t>
        </is>
      </c>
      <c r="E60" s="133" t="inlineStr">
        <is>
          <t>Có</t>
        </is>
      </c>
      <c r="F60" s="133" t="inlineStr">
        <is>
          <t>Thông thường</t>
        </is>
      </c>
      <c r="G60" s="133" t="inlineStr">
        <is>
          <t>Q37</t>
        </is>
      </c>
      <c r="H60" s="133" t="inlineStr">
        <is>
          <t>Kiểm tra server theo dữ liệu thuộc phạm vi.</t>
        </is>
      </c>
    </row>
    <row r="61" ht="36" customHeight="1" s="94">
      <c r="A61" s="129" t="inlineStr">
        <is>
          <t>SEC_STAFF</t>
        </is>
      </c>
      <c r="B61" s="130" t="inlineStr">
        <is>
          <t>Nhân viên An ninh</t>
        </is>
      </c>
      <c r="C61" s="130" t="inlineStr">
        <is>
          <t>container.visit.link_request</t>
        </is>
      </c>
      <c r="D61" s="130" t="inlineStr">
        <is>
          <t>YARD</t>
        </is>
      </c>
      <c r="E61" s="130" t="inlineStr">
        <is>
          <t>Có</t>
        </is>
      </c>
      <c r="F61" s="130" t="inlineStr">
        <is>
          <t>Nhạy cảm</t>
        </is>
      </c>
      <c r="G61" s="130" t="inlineStr">
        <is>
          <t>Q34</t>
        </is>
      </c>
      <c r="H61" s="130" t="inlineStr">
        <is>
          <t>Kiểm tra server theo dữ liệu thuộc phạm vi.</t>
        </is>
      </c>
    </row>
    <row r="62" ht="36" customHeight="1" s="94">
      <c r="A62" s="132" t="inlineStr">
        <is>
          <t>SEC_LEAD</t>
        </is>
      </c>
      <c r="B62" s="133" t="inlineStr">
        <is>
          <t>Trưởng bộ phận An ninh</t>
        </is>
      </c>
      <c r="C62" s="133" t="inlineStr">
        <is>
          <t>container.visit.link_request</t>
        </is>
      </c>
      <c r="D62" s="133" t="inlineStr">
        <is>
          <t>YARD</t>
        </is>
      </c>
      <c r="E62" s="133" t="inlineStr">
        <is>
          <t>Có</t>
        </is>
      </c>
      <c r="F62" s="133" t="inlineStr">
        <is>
          <t>Nhạy cảm</t>
        </is>
      </c>
      <c r="G62" s="133" t="inlineStr">
        <is>
          <t>Q34</t>
        </is>
      </c>
      <c r="H62" s="133" t="inlineStr">
        <is>
          <t>Kiểm tra server theo dữ liệu thuộc phạm vi.</t>
        </is>
      </c>
    </row>
    <row r="63" ht="36" customHeight="1" s="94">
      <c r="A63" s="129" t="inlineStr">
        <is>
          <t>PORT_STAFF</t>
        </is>
      </c>
      <c r="B63" s="130" t="inlineStr">
        <is>
          <t>Nhân viên Cổng cảng kho bãi</t>
        </is>
      </c>
      <c r="C63" s="130" t="inlineStr">
        <is>
          <t>container.visit.link_request</t>
        </is>
      </c>
      <c r="D63" s="130" t="inlineStr">
        <is>
          <t>YARD</t>
        </is>
      </c>
      <c r="E63" s="130" t="inlineStr">
        <is>
          <t>Có</t>
        </is>
      </c>
      <c r="F63" s="130" t="inlineStr">
        <is>
          <t>Nhạy cảm</t>
        </is>
      </c>
      <c r="G63" s="130" t="inlineStr">
        <is>
          <t>Q34</t>
        </is>
      </c>
      <c r="H63" s="130" t="inlineStr">
        <is>
          <t>Kiểm tra server theo dữ liệu thuộc phạm vi.</t>
        </is>
      </c>
    </row>
    <row r="64" ht="36" customHeight="1" s="94">
      <c r="A64" s="132" t="inlineStr">
        <is>
          <t>PORT_LEAD</t>
        </is>
      </c>
      <c r="B64" s="133" t="inlineStr">
        <is>
          <t>Trưởng bộ phận Cổng cảng kho bãi</t>
        </is>
      </c>
      <c r="C64" s="133" t="inlineStr">
        <is>
          <t>container.visit.link_request</t>
        </is>
      </c>
      <c r="D64" s="133" t="inlineStr">
        <is>
          <t>YARD</t>
        </is>
      </c>
      <c r="E64" s="133" t="inlineStr">
        <is>
          <t>Có</t>
        </is>
      </c>
      <c r="F64" s="133" t="inlineStr">
        <is>
          <t>Nhạy cảm</t>
        </is>
      </c>
      <c r="G64" s="133" t="inlineStr">
        <is>
          <t>Q34</t>
        </is>
      </c>
      <c r="H64" s="133" t="inlineStr">
        <is>
          <t>Kiểm tra server theo dữ liệu thuộc phạm vi.</t>
        </is>
      </c>
    </row>
    <row r="65" ht="36" customHeight="1" s="94">
      <c r="A65" s="129" t="inlineStr">
        <is>
          <t>SYS_ADMIN</t>
        </is>
      </c>
      <c r="B65" s="130" t="inlineStr">
        <is>
          <t>Quản trị hệ thống</t>
        </is>
      </c>
      <c r="C65" s="130" t="inlineStr">
        <is>
          <t>container.visit.link_request</t>
        </is>
      </c>
      <c r="D65" s="130" t="inlineStr">
        <is>
          <t>ALL</t>
        </is>
      </c>
      <c r="E65" s="130" t="inlineStr">
        <is>
          <t>Có</t>
        </is>
      </c>
      <c r="F65" s="130" t="inlineStr">
        <is>
          <t>Nhạy cảm</t>
        </is>
      </c>
      <c r="G65" s="130" t="inlineStr">
        <is>
          <t>Q34</t>
        </is>
      </c>
      <c r="H65" s="130" t="inlineStr">
        <is>
          <t>Kiểm tra server theo dữ liệu thuộc phạm vi.</t>
        </is>
      </c>
    </row>
    <row r="66" ht="36" customHeight="1" s="94">
      <c r="A66" s="132" t="inlineStr">
        <is>
          <t>SEC_STAFF</t>
        </is>
      </c>
      <c r="B66" s="133" t="inlineStr">
        <is>
          <t>Nhân viên An ninh</t>
        </is>
      </c>
      <c r="C66" s="133" t="inlineStr">
        <is>
          <t>container.cargo.read</t>
        </is>
      </c>
      <c r="D66" s="133" t="inlineStr">
        <is>
          <t>YARD</t>
        </is>
      </c>
      <c r="E66" s="133" t="inlineStr">
        <is>
          <t>Có</t>
        </is>
      </c>
      <c r="F66" s="133" t="inlineStr">
        <is>
          <t>Thông thường</t>
        </is>
      </c>
      <c r="G66" s="133" t="inlineStr">
        <is>
          <t>Q08,Q09</t>
        </is>
      </c>
      <c r="H66" s="133" t="inlineStr">
        <is>
          <t>Kiểm tra server theo dữ liệu thuộc phạm vi.</t>
        </is>
      </c>
    </row>
    <row r="67" ht="36" customHeight="1" s="94">
      <c r="A67" s="129" t="inlineStr">
        <is>
          <t>SEC_LEAD</t>
        </is>
      </c>
      <c r="B67" s="130" t="inlineStr">
        <is>
          <t>Trưởng bộ phận An ninh</t>
        </is>
      </c>
      <c r="C67" s="130" t="inlineStr">
        <is>
          <t>container.cargo.read</t>
        </is>
      </c>
      <c r="D67" s="130" t="inlineStr">
        <is>
          <t>YARD</t>
        </is>
      </c>
      <c r="E67" s="130" t="inlineStr">
        <is>
          <t>Có</t>
        </is>
      </c>
      <c r="F67" s="130" t="inlineStr">
        <is>
          <t>Thông thường</t>
        </is>
      </c>
      <c r="G67" s="130" t="inlineStr">
        <is>
          <t>Q08,Q09</t>
        </is>
      </c>
      <c r="H67" s="130" t="inlineStr">
        <is>
          <t>Kiểm tra server theo dữ liệu thuộc phạm vi.</t>
        </is>
      </c>
    </row>
    <row r="68" ht="36" customHeight="1" s="94">
      <c r="A68" s="132" t="inlineStr">
        <is>
          <t>PORT_STAFF</t>
        </is>
      </c>
      <c r="B68" s="133" t="inlineStr">
        <is>
          <t>Nhân viên Cổng cảng kho bãi</t>
        </is>
      </c>
      <c r="C68" s="133" t="inlineStr">
        <is>
          <t>container.cargo.read</t>
        </is>
      </c>
      <c r="D68" s="133" t="inlineStr">
        <is>
          <t>YARD</t>
        </is>
      </c>
      <c r="E68" s="133" t="inlineStr">
        <is>
          <t>Có</t>
        </is>
      </c>
      <c r="F68" s="133" t="inlineStr">
        <is>
          <t>Thông thường</t>
        </is>
      </c>
      <c r="G68" s="133" t="inlineStr">
        <is>
          <t>Q08,Q09</t>
        </is>
      </c>
      <c r="H68" s="133" t="inlineStr">
        <is>
          <t>Kiểm tra server theo dữ liệu thuộc phạm vi.</t>
        </is>
      </c>
    </row>
    <row r="69" ht="36" customHeight="1" s="94">
      <c r="A69" s="129" t="inlineStr">
        <is>
          <t>PORT_LEAD</t>
        </is>
      </c>
      <c r="B69" s="130" t="inlineStr">
        <is>
          <t>Trưởng bộ phận Cổng cảng kho bãi</t>
        </is>
      </c>
      <c r="C69" s="130" t="inlineStr">
        <is>
          <t>container.cargo.read</t>
        </is>
      </c>
      <c r="D69" s="130" t="inlineStr">
        <is>
          <t>YARD</t>
        </is>
      </c>
      <c r="E69" s="130" t="inlineStr">
        <is>
          <t>Có</t>
        </is>
      </c>
      <c r="F69" s="130" t="inlineStr">
        <is>
          <t>Thông thường</t>
        </is>
      </c>
      <c r="G69" s="130" t="inlineStr">
        <is>
          <t>Q08,Q09</t>
        </is>
      </c>
      <c r="H69" s="130" t="inlineStr">
        <is>
          <t>Kiểm tra server theo dữ liệu thuộc phạm vi.</t>
        </is>
      </c>
    </row>
    <row r="70" ht="36" customHeight="1" s="94">
      <c r="A70" s="132" t="inlineStr">
        <is>
          <t>DIS_STAFF</t>
        </is>
      </c>
      <c r="B70" s="133" t="inlineStr">
        <is>
          <t>Nhân viên Điều phối</t>
        </is>
      </c>
      <c r="C70" s="133" t="inlineStr">
        <is>
          <t>container.cargo.read</t>
        </is>
      </c>
      <c r="D70" s="133" t="inlineStr">
        <is>
          <t>YARD</t>
        </is>
      </c>
      <c r="E70" s="133" t="inlineStr">
        <is>
          <t>Có</t>
        </is>
      </c>
      <c r="F70" s="133" t="inlineStr">
        <is>
          <t>Thông thường</t>
        </is>
      </c>
      <c r="G70" s="133" t="inlineStr">
        <is>
          <t>Q08,Q09</t>
        </is>
      </c>
      <c r="H70" s="133" t="inlineStr">
        <is>
          <t>Kiểm tra server theo dữ liệu thuộc phạm vi.</t>
        </is>
      </c>
    </row>
    <row r="71" ht="36" customHeight="1" s="94">
      <c r="A71" s="129" t="inlineStr">
        <is>
          <t>DIS_LEAD</t>
        </is>
      </c>
      <c r="B71" s="130" t="inlineStr">
        <is>
          <t>Trưởng bộ phận Điều phối</t>
        </is>
      </c>
      <c r="C71" s="130" t="inlineStr">
        <is>
          <t>container.cargo.read</t>
        </is>
      </c>
      <c r="D71" s="130" t="inlineStr">
        <is>
          <t>YARD</t>
        </is>
      </c>
      <c r="E71" s="130" t="inlineStr">
        <is>
          <t>Có</t>
        </is>
      </c>
      <c r="F71" s="130" t="inlineStr">
        <is>
          <t>Thông thường</t>
        </is>
      </c>
      <c r="G71" s="130" t="inlineStr">
        <is>
          <t>Q08,Q09</t>
        </is>
      </c>
      <c r="H71" s="130" t="inlineStr">
        <is>
          <t>Kiểm tra server theo dữ liệu thuộc phạm vi.</t>
        </is>
      </c>
    </row>
    <row r="72" ht="36" customHeight="1" s="94">
      <c r="A72" s="132" t="inlineStr">
        <is>
          <t>SYS_ADMIN</t>
        </is>
      </c>
      <c r="B72" s="133" t="inlineStr">
        <is>
          <t>Quản trị hệ thống</t>
        </is>
      </c>
      <c r="C72" s="133" t="inlineStr">
        <is>
          <t>container.cargo.read</t>
        </is>
      </c>
      <c r="D72" s="133" t="inlineStr">
        <is>
          <t>ALL</t>
        </is>
      </c>
      <c r="E72" s="133" t="inlineStr">
        <is>
          <t>Có</t>
        </is>
      </c>
      <c r="F72" s="133" t="inlineStr">
        <is>
          <t>Thông thường</t>
        </is>
      </c>
      <c r="G72" s="133" t="inlineStr">
        <is>
          <t>Q08,Q09</t>
        </is>
      </c>
      <c r="H72" s="133" t="inlineStr">
        <is>
          <t>Kiểm tra server theo dữ liệu thuộc phạm vi.</t>
        </is>
      </c>
    </row>
    <row r="73" ht="36" customHeight="1" s="94">
      <c r="A73" s="129" t="inlineStr">
        <is>
          <t>DIS_STAFF</t>
        </is>
      </c>
      <c r="B73" s="130" t="inlineStr">
        <is>
          <t>Nhân viên Điều phối</t>
        </is>
      </c>
      <c r="C73" s="130" t="inlineStr">
        <is>
          <t>container.cargo.update</t>
        </is>
      </c>
      <c r="D73" s="130" t="inlineStr">
        <is>
          <t>YARD</t>
        </is>
      </c>
      <c r="E73" s="130" t="inlineStr">
        <is>
          <t>Có</t>
        </is>
      </c>
      <c r="F73" s="130" t="inlineStr">
        <is>
          <t>Thông thường</t>
        </is>
      </c>
      <c r="G73" s="130" t="inlineStr">
        <is>
          <t>Q08</t>
        </is>
      </c>
      <c r="H73" s="130" t="inlineStr">
        <is>
          <t>Kiểm tra server theo dữ liệu thuộc phạm vi.</t>
        </is>
      </c>
    </row>
    <row r="74" ht="36" customHeight="1" s="94">
      <c r="A74" s="132" t="inlineStr">
        <is>
          <t>DIS_LEAD</t>
        </is>
      </c>
      <c r="B74" s="133" t="inlineStr">
        <is>
          <t>Trưởng bộ phận Điều phối</t>
        </is>
      </c>
      <c r="C74" s="133" t="inlineStr">
        <is>
          <t>container.cargo.update</t>
        </is>
      </c>
      <c r="D74" s="133" t="inlineStr">
        <is>
          <t>YARD</t>
        </is>
      </c>
      <c r="E74" s="133" t="inlineStr">
        <is>
          <t>Có</t>
        </is>
      </c>
      <c r="F74" s="133" t="inlineStr">
        <is>
          <t>Thông thường</t>
        </is>
      </c>
      <c r="G74" s="133" t="inlineStr">
        <is>
          <t>Q08</t>
        </is>
      </c>
      <c r="H74" s="133" t="inlineStr">
        <is>
          <t>Kiểm tra server theo dữ liệu thuộc phạm vi.</t>
        </is>
      </c>
    </row>
    <row r="75" ht="36" customHeight="1" s="94">
      <c r="A75" s="129" t="inlineStr">
        <is>
          <t>SYS_ADMIN</t>
        </is>
      </c>
      <c r="B75" s="130" t="inlineStr">
        <is>
          <t>Quản trị hệ thống</t>
        </is>
      </c>
      <c r="C75" s="130" t="inlineStr">
        <is>
          <t>container.cargo.update</t>
        </is>
      </c>
      <c r="D75" s="130" t="inlineStr">
        <is>
          <t>ALL</t>
        </is>
      </c>
      <c r="E75" s="130" t="inlineStr">
        <is>
          <t>Có</t>
        </is>
      </c>
      <c r="F75" s="130" t="inlineStr">
        <is>
          <t>Thông thường</t>
        </is>
      </c>
      <c r="G75" s="130" t="inlineStr">
        <is>
          <t>Q08</t>
        </is>
      </c>
      <c r="H75" s="130" t="inlineStr">
        <is>
          <t>Kiểm tra server theo dữ liệu thuộc phạm vi.</t>
        </is>
      </c>
    </row>
    <row r="76" ht="36" customHeight="1" s="94">
      <c r="A76" s="132" t="inlineStr">
        <is>
          <t>DIS_STAFF</t>
        </is>
      </c>
      <c r="B76" s="133" t="inlineStr">
        <is>
          <t>Nhân viên Điều phối</t>
        </is>
      </c>
      <c r="C76" s="133" t="inlineStr">
        <is>
          <t>container.cargo.post_exit.request</t>
        </is>
      </c>
      <c r="D76" s="133" t="inlineStr">
        <is>
          <t>YARD</t>
        </is>
      </c>
      <c r="E76" s="133" t="inlineStr">
        <is>
          <t>Có</t>
        </is>
      </c>
      <c r="F76" s="133" t="inlineStr">
        <is>
          <t>Nhạy cảm</t>
        </is>
      </c>
      <c r="G76" s="133" t="inlineStr">
        <is>
          <t>Q09</t>
        </is>
      </c>
      <c r="H76" s="133" t="inlineStr">
        <is>
          <t>Kiểm tra server theo dữ liệu thuộc phạm vi.</t>
        </is>
      </c>
    </row>
    <row r="77" ht="36" customHeight="1" s="94">
      <c r="A77" s="129" t="inlineStr">
        <is>
          <t>DIS_LEAD</t>
        </is>
      </c>
      <c r="B77" s="130" t="inlineStr">
        <is>
          <t>Trưởng bộ phận Điều phối</t>
        </is>
      </c>
      <c r="C77" s="130" t="inlineStr">
        <is>
          <t>container.cargo.post_exit.request</t>
        </is>
      </c>
      <c r="D77" s="130" t="inlineStr">
        <is>
          <t>YARD</t>
        </is>
      </c>
      <c r="E77" s="130" t="inlineStr">
        <is>
          <t>Có</t>
        </is>
      </c>
      <c r="F77" s="130" t="inlineStr">
        <is>
          <t>Nhạy cảm</t>
        </is>
      </c>
      <c r="G77" s="130" t="inlineStr">
        <is>
          <t>Q09</t>
        </is>
      </c>
      <c r="H77" s="130" t="inlineStr">
        <is>
          <t>Kiểm tra server theo dữ liệu thuộc phạm vi.</t>
        </is>
      </c>
    </row>
    <row r="78" ht="36" customHeight="1" s="94">
      <c r="A78" s="132" t="inlineStr">
        <is>
          <t>SYS_ADMIN</t>
        </is>
      </c>
      <c r="B78" s="133" t="inlineStr">
        <is>
          <t>Quản trị hệ thống</t>
        </is>
      </c>
      <c r="C78" s="133" t="inlineStr">
        <is>
          <t>container.cargo.post_exit.request</t>
        </is>
      </c>
      <c r="D78" s="133" t="inlineStr">
        <is>
          <t>ALL</t>
        </is>
      </c>
      <c r="E78" s="133" t="inlineStr">
        <is>
          <t>Có</t>
        </is>
      </c>
      <c r="F78" s="133" t="inlineStr">
        <is>
          <t>Nhạy cảm</t>
        </is>
      </c>
      <c r="G78" s="133" t="inlineStr">
        <is>
          <t>Q09</t>
        </is>
      </c>
      <c r="H78" s="133" t="inlineStr">
        <is>
          <t>Kiểm tra server theo dữ liệu thuộc phạm vi.</t>
        </is>
      </c>
    </row>
    <row r="79" ht="36" customHeight="1" s="94">
      <c r="A79" s="129" t="inlineStr">
        <is>
          <t>DIS_LEAD</t>
        </is>
      </c>
      <c r="B79" s="130" t="inlineStr">
        <is>
          <t>Trưởng bộ phận Điều phối</t>
        </is>
      </c>
      <c r="C79" s="130" t="inlineStr">
        <is>
          <t>container.cargo.post_exit.approve</t>
        </is>
      </c>
      <c r="D79" s="130" t="inlineStr">
        <is>
          <t>DEPARTMENT</t>
        </is>
      </c>
      <c r="E79" s="130" t="inlineStr">
        <is>
          <t>Có</t>
        </is>
      </c>
      <c r="F79" s="130" t="inlineStr">
        <is>
          <t>Cao</t>
        </is>
      </c>
      <c r="G79" s="130" t="inlineStr">
        <is>
          <t>Q09</t>
        </is>
      </c>
      <c r="H79" s="130" t="inlineStr">
        <is>
          <t>Chỉ bật nếu phân hệ đang hoạt động; ràng buộc server/RLS + audit.</t>
        </is>
      </c>
    </row>
    <row r="80" ht="36" customHeight="1" s="94">
      <c r="A80" s="132" t="inlineStr">
        <is>
          <t>SYS_ADMIN</t>
        </is>
      </c>
      <c r="B80" s="133" t="inlineStr">
        <is>
          <t>Quản trị hệ thống</t>
        </is>
      </c>
      <c r="C80" s="133" t="inlineStr">
        <is>
          <t>container.cargo.post_exit.approve</t>
        </is>
      </c>
      <c r="D80" s="133" t="inlineStr">
        <is>
          <t>ALL</t>
        </is>
      </c>
      <c r="E80" s="133" t="inlineStr">
        <is>
          <t>Có</t>
        </is>
      </c>
      <c r="F80" s="133" t="inlineStr">
        <is>
          <t>Cao</t>
        </is>
      </c>
      <c r="G80" s="133" t="inlineStr">
        <is>
          <t>Q09</t>
        </is>
      </c>
      <c r="H80" s="133" t="inlineStr">
        <is>
          <t>Chỉ bật nếu phân hệ đang hoạt động; ràng buộc server/RLS + audit.</t>
        </is>
      </c>
    </row>
    <row r="81" ht="36" customHeight="1" s="94">
      <c r="A81" s="129" t="inlineStr">
        <is>
          <t>SEC_STAFF</t>
        </is>
      </c>
      <c r="B81" s="130" t="inlineStr">
        <is>
          <t>Nhân viên An ninh</t>
        </is>
      </c>
      <c r="C81" s="130" t="inlineStr">
        <is>
          <t>reefer.request.read</t>
        </is>
      </c>
      <c r="D81" s="130" t="inlineStr">
        <is>
          <t>YARD</t>
        </is>
      </c>
      <c r="E81" s="130" t="inlineStr">
        <is>
          <t>Có</t>
        </is>
      </c>
      <c r="F81" s="130" t="inlineStr">
        <is>
          <t>Thông thường</t>
        </is>
      </c>
      <c r="G81" s="130" t="inlineStr">
        <is>
          <t>Q10,Q31,Q33</t>
        </is>
      </c>
      <c r="H81" s="130" t="inlineStr">
        <is>
          <t>Kiểm tra server theo dữ liệu thuộc phạm vi.</t>
        </is>
      </c>
    </row>
    <row r="82" ht="36" customHeight="1" s="94">
      <c r="A82" s="132" t="inlineStr">
        <is>
          <t>SEC_LEAD</t>
        </is>
      </c>
      <c r="B82" s="133" t="inlineStr">
        <is>
          <t>Trưởng bộ phận An ninh</t>
        </is>
      </c>
      <c r="C82" s="133" t="inlineStr">
        <is>
          <t>reefer.request.read</t>
        </is>
      </c>
      <c r="D82" s="133" t="inlineStr">
        <is>
          <t>YARD</t>
        </is>
      </c>
      <c r="E82" s="133" t="inlineStr">
        <is>
          <t>Có</t>
        </is>
      </c>
      <c r="F82" s="133" t="inlineStr">
        <is>
          <t>Thông thường</t>
        </is>
      </c>
      <c r="G82" s="133" t="inlineStr">
        <is>
          <t>Q10,Q31,Q33</t>
        </is>
      </c>
      <c r="H82" s="133" t="inlineStr">
        <is>
          <t>Kiểm tra server theo dữ liệu thuộc phạm vi.</t>
        </is>
      </c>
    </row>
    <row r="83" ht="36" customHeight="1" s="94">
      <c r="A83" s="129" t="inlineStr">
        <is>
          <t>PORT_STAFF</t>
        </is>
      </c>
      <c r="B83" s="130" t="inlineStr">
        <is>
          <t>Nhân viên Cổng cảng kho bãi</t>
        </is>
      </c>
      <c r="C83" s="130" t="inlineStr">
        <is>
          <t>reefer.request.read</t>
        </is>
      </c>
      <c r="D83" s="130" t="inlineStr">
        <is>
          <t>YARD</t>
        </is>
      </c>
      <c r="E83" s="130" t="inlineStr">
        <is>
          <t>Có</t>
        </is>
      </c>
      <c r="F83" s="130" t="inlineStr">
        <is>
          <t>Thông thường</t>
        </is>
      </c>
      <c r="G83" s="130" t="inlineStr">
        <is>
          <t>Q10,Q31,Q33</t>
        </is>
      </c>
      <c r="H83" s="130" t="inlineStr">
        <is>
          <t>Kiểm tra server theo dữ liệu thuộc phạm vi.</t>
        </is>
      </c>
    </row>
    <row r="84" ht="36" customHeight="1" s="94">
      <c r="A84" s="132" t="inlineStr">
        <is>
          <t>PORT_LEAD</t>
        </is>
      </c>
      <c r="B84" s="133" t="inlineStr">
        <is>
          <t>Trưởng bộ phận Cổng cảng kho bãi</t>
        </is>
      </c>
      <c r="C84" s="133" t="inlineStr">
        <is>
          <t>reefer.request.read</t>
        </is>
      </c>
      <c r="D84" s="133" t="inlineStr">
        <is>
          <t>YARD</t>
        </is>
      </c>
      <c r="E84" s="133" t="inlineStr">
        <is>
          <t>Có</t>
        </is>
      </c>
      <c r="F84" s="133" t="inlineStr">
        <is>
          <t>Thông thường</t>
        </is>
      </c>
      <c r="G84" s="133" t="inlineStr">
        <is>
          <t>Q10,Q31,Q33</t>
        </is>
      </c>
      <c r="H84" s="133" t="inlineStr">
        <is>
          <t>Kiểm tra server theo dữ liệu thuộc phạm vi.</t>
        </is>
      </c>
    </row>
    <row r="85" ht="36" customHeight="1" s="94">
      <c r="A85" s="129" t="inlineStr">
        <is>
          <t>DIS_STAFF</t>
        </is>
      </c>
      <c r="B85" s="130" t="inlineStr">
        <is>
          <t>Nhân viên Điều phối</t>
        </is>
      </c>
      <c r="C85" s="130" t="inlineStr">
        <is>
          <t>reefer.request.read</t>
        </is>
      </c>
      <c r="D85" s="130" t="inlineStr">
        <is>
          <t>YARD</t>
        </is>
      </c>
      <c r="E85" s="130" t="inlineStr">
        <is>
          <t>Có</t>
        </is>
      </c>
      <c r="F85" s="130" t="inlineStr">
        <is>
          <t>Thông thường</t>
        </is>
      </c>
      <c r="G85" s="130" t="inlineStr">
        <is>
          <t>Q10,Q31,Q33</t>
        </is>
      </c>
      <c r="H85" s="130" t="inlineStr">
        <is>
          <t>Kiểm tra server theo dữ liệu thuộc phạm vi.</t>
        </is>
      </c>
    </row>
    <row r="86" ht="36" customHeight="1" s="94">
      <c r="A86" s="132" t="inlineStr">
        <is>
          <t>DIS_LEAD</t>
        </is>
      </c>
      <c r="B86" s="133" t="inlineStr">
        <is>
          <t>Trưởng bộ phận Điều phối</t>
        </is>
      </c>
      <c r="C86" s="133" t="inlineStr">
        <is>
          <t>reefer.request.read</t>
        </is>
      </c>
      <c r="D86" s="133" t="inlineStr">
        <is>
          <t>YARD</t>
        </is>
      </c>
      <c r="E86" s="133" t="inlineStr">
        <is>
          <t>Có</t>
        </is>
      </c>
      <c r="F86" s="133" t="inlineStr">
        <is>
          <t>Thông thường</t>
        </is>
      </c>
      <c r="G86" s="133" t="inlineStr">
        <is>
          <t>Q10,Q31,Q33</t>
        </is>
      </c>
      <c r="H86" s="133" t="inlineStr">
        <is>
          <t>Kiểm tra server theo dữ liệu thuộc phạm vi.</t>
        </is>
      </c>
    </row>
    <row r="87" ht="36" customHeight="1" s="94">
      <c r="A87" s="129" t="inlineStr">
        <is>
          <t>SYS_ADMIN</t>
        </is>
      </c>
      <c r="B87" s="130" t="inlineStr">
        <is>
          <t>Quản trị hệ thống</t>
        </is>
      </c>
      <c r="C87" s="130" t="inlineStr">
        <is>
          <t>reefer.request.read</t>
        </is>
      </c>
      <c r="D87" s="130" t="inlineStr">
        <is>
          <t>ALL</t>
        </is>
      </c>
      <c r="E87" s="130" t="inlineStr">
        <is>
          <t>Có</t>
        </is>
      </c>
      <c r="F87" s="130" t="inlineStr">
        <is>
          <t>Thông thường</t>
        </is>
      </c>
      <c r="G87" s="130" t="inlineStr">
        <is>
          <t>Q10,Q31,Q33</t>
        </is>
      </c>
      <c r="H87" s="130" t="inlineStr">
        <is>
          <t>Kiểm tra server theo dữ liệu thuộc phạm vi.</t>
        </is>
      </c>
    </row>
    <row r="88" ht="36" customHeight="1" s="94">
      <c r="A88" s="132" t="inlineStr">
        <is>
          <t>PORT_STAFF</t>
        </is>
      </c>
      <c r="B88" s="133" t="inlineStr">
        <is>
          <t>Nhân viên Cổng cảng kho bãi</t>
        </is>
      </c>
      <c r="C88" s="133" t="inlineStr">
        <is>
          <t>reefer.request.create</t>
        </is>
      </c>
      <c r="D88" s="133" t="inlineStr">
        <is>
          <t>YARD</t>
        </is>
      </c>
      <c r="E88" s="133" t="inlineStr">
        <is>
          <t>Có</t>
        </is>
      </c>
      <c r="F88" s="133" t="inlineStr">
        <is>
          <t>Thông thường</t>
        </is>
      </c>
      <c r="G88" s="133" t="inlineStr">
        <is>
          <t>Q10,Q31</t>
        </is>
      </c>
      <c r="H88" s="133" t="inlineStr">
        <is>
          <t>Kiểm tra server theo dữ liệu thuộc phạm vi.</t>
        </is>
      </c>
    </row>
    <row r="89" ht="36" customHeight="1" s="94">
      <c r="A89" s="129" t="inlineStr">
        <is>
          <t>PORT_LEAD</t>
        </is>
      </c>
      <c r="B89" s="130" t="inlineStr">
        <is>
          <t>Trưởng bộ phận Cổng cảng kho bãi</t>
        </is>
      </c>
      <c r="C89" s="130" t="inlineStr">
        <is>
          <t>reefer.request.create</t>
        </is>
      </c>
      <c r="D89" s="130" t="inlineStr">
        <is>
          <t>YARD</t>
        </is>
      </c>
      <c r="E89" s="130" t="inlineStr">
        <is>
          <t>Có</t>
        </is>
      </c>
      <c r="F89" s="130" t="inlineStr">
        <is>
          <t>Thông thường</t>
        </is>
      </c>
      <c r="G89" s="130" t="inlineStr">
        <is>
          <t>Q10,Q31</t>
        </is>
      </c>
      <c r="H89" s="130" t="inlineStr">
        <is>
          <t>Kiểm tra server theo dữ liệu thuộc phạm vi.</t>
        </is>
      </c>
    </row>
    <row r="90" ht="36" customHeight="1" s="94">
      <c r="A90" s="132" t="inlineStr">
        <is>
          <t>SYS_ADMIN</t>
        </is>
      </c>
      <c r="B90" s="133" t="inlineStr">
        <is>
          <t>Quản trị hệ thống</t>
        </is>
      </c>
      <c r="C90" s="133" t="inlineStr">
        <is>
          <t>reefer.request.create</t>
        </is>
      </c>
      <c r="D90" s="133" t="inlineStr">
        <is>
          <t>ALL</t>
        </is>
      </c>
      <c r="E90" s="133" t="inlineStr">
        <is>
          <t>Có</t>
        </is>
      </c>
      <c r="F90" s="133" t="inlineStr">
        <is>
          <t>Thông thường</t>
        </is>
      </c>
      <c r="G90" s="133" t="inlineStr">
        <is>
          <t>Q10,Q31</t>
        </is>
      </c>
      <c r="H90" s="133" t="inlineStr">
        <is>
          <t>Kiểm tra server theo dữ liệu thuộc phạm vi.</t>
        </is>
      </c>
    </row>
    <row r="91" ht="36" customHeight="1" s="94">
      <c r="A91" s="129" t="inlineStr">
        <is>
          <t>PORT_STAFF</t>
        </is>
      </c>
      <c r="B91" s="130" t="inlineStr">
        <is>
          <t>Nhân viên Cổng cảng kho bãi</t>
        </is>
      </c>
      <c r="C91" s="130" t="inlineStr">
        <is>
          <t>reefer.request.update</t>
        </is>
      </c>
      <c r="D91" s="130" t="inlineStr">
        <is>
          <t>YARD</t>
        </is>
      </c>
      <c r="E91" s="130" t="inlineStr">
        <is>
          <t>Có</t>
        </is>
      </c>
      <c r="F91" s="130" t="inlineStr">
        <is>
          <t>Thông thường</t>
        </is>
      </c>
      <c r="G91" s="130" t="inlineStr">
        <is>
          <t>Q32,Q36</t>
        </is>
      </c>
      <c r="H91" s="130" t="inlineStr">
        <is>
          <t>Kiểm tra server theo dữ liệu thuộc phạm vi.</t>
        </is>
      </c>
    </row>
    <row r="92" ht="36" customHeight="1" s="94">
      <c r="A92" s="132" t="inlineStr">
        <is>
          <t>PORT_LEAD</t>
        </is>
      </c>
      <c r="B92" s="133" t="inlineStr">
        <is>
          <t>Trưởng bộ phận Cổng cảng kho bãi</t>
        </is>
      </c>
      <c r="C92" s="133" t="inlineStr">
        <is>
          <t>reefer.request.update</t>
        </is>
      </c>
      <c r="D92" s="133" t="inlineStr">
        <is>
          <t>YARD</t>
        </is>
      </c>
      <c r="E92" s="133" t="inlineStr">
        <is>
          <t>Có</t>
        </is>
      </c>
      <c r="F92" s="133" t="inlineStr">
        <is>
          <t>Thông thường</t>
        </is>
      </c>
      <c r="G92" s="133" t="inlineStr">
        <is>
          <t>Q32,Q36</t>
        </is>
      </c>
      <c r="H92" s="133" t="inlineStr">
        <is>
          <t>Kiểm tra server theo dữ liệu thuộc phạm vi.</t>
        </is>
      </c>
    </row>
    <row r="93" ht="36" customHeight="1" s="94">
      <c r="A93" s="129" t="inlineStr">
        <is>
          <t>SYS_ADMIN</t>
        </is>
      </c>
      <c r="B93" s="130" t="inlineStr">
        <is>
          <t>Quản trị hệ thống</t>
        </is>
      </c>
      <c r="C93" s="130" t="inlineStr">
        <is>
          <t>reefer.request.update</t>
        </is>
      </c>
      <c r="D93" s="130" t="inlineStr">
        <is>
          <t>ALL</t>
        </is>
      </c>
      <c r="E93" s="130" t="inlineStr">
        <is>
          <t>Có</t>
        </is>
      </c>
      <c r="F93" s="130" t="inlineStr">
        <is>
          <t>Thông thường</t>
        </is>
      </c>
      <c r="G93" s="130" t="inlineStr">
        <is>
          <t>Q32,Q36</t>
        </is>
      </c>
      <c r="H93" s="130" t="inlineStr">
        <is>
          <t>Kiểm tra server theo dữ liệu thuộc phạm vi.</t>
        </is>
      </c>
    </row>
    <row r="94" ht="36" customHeight="1" s="94">
      <c r="A94" s="132" t="inlineStr">
        <is>
          <t>PORT_STAFF</t>
        </is>
      </c>
      <c r="B94" s="133" t="inlineStr">
        <is>
          <t>Nhân viên Cổng cảng kho bãi</t>
        </is>
      </c>
      <c r="C94" s="133" t="inlineStr">
        <is>
          <t>reefer.request.cancel</t>
        </is>
      </c>
      <c r="D94" s="133" t="inlineStr">
        <is>
          <t>YARD</t>
        </is>
      </c>
      <c r="E94" s="133" t="inlineStr">
        <is>
          <t>Có</t>
        </is>
      </c>
      <c r="F94" s="133" t="inlineStr">
        <is>
          <t>Nhạy cảm</t>
        </is>
      </c>
      <c r="G94" s="133" t="inlineStr">
        <is>
          <t>Q32</t>
        </is>
      </c>
      <c r="H94" s="133" t="inlineStr">
        <is>
          <t>Kiểm tra server theo dữ liệu thuộc phạm vi.</t>
        </is>
      </c>
    </row>
    <row r="95" ht="36" customHeight="1" s="94">
      <c r="A95" s="129" t="inlineStr">
        <is>
          <t>PORT_LEAD</t>
        </is>
      </c>
      <c r="B95" s="130" t="inlineStr">
        <is>
          <t>Trưởng bộ phận Cổng cảng kho bãi</t>
        </is>
      </c>
      <c r="C95" s="130" t="inlineStr">
        <is>
          <t>reefer.request.cancel</t>
        </is>
      </c>
      <c r="D95" s="130" t="inlineStr">
        <is>
          <t>YARD</t>
        </is>
      </c>
      <c r="E95" s="130" t="inlineStr">
        <is>
          <t>Có</t>
        </is>
      </c>
      <c r="F95" s="130" t="inlineStr">
        <is>
          <t>Nhạy cảm</t>
        </is>
      </c>
      <c r="G95" s="130" t="inlineStr">
        <is>
          <t>Q32</t>
        </is>
      </c>
      <c r="H95" s="130" t="inlineStr">
        <is>
          <t>Kiểm tra server theo dữ liệu thuộc phạm vi.</t>
        </is>
      </c>
    </row>
    <row r="96" ht="36" customHeight="1" s="94">
      <c r="A96" s="132" t="inlineStr">
        <is>
          <t>SYS_ADMIN</t>
        </is>
      </c>
      <c r="B96" s="133" t="inlineStr">
        <is>
          <t>Quản trị hệ thống</t>
        </is>
      </c>
      <c r="C96" s="133" t="inlineStr">
        <is>
          <t>reefer.request.cancel</t>
        </is>
      </c>
      <c r="D96" s="133" t="inlineStr">
        <is>
          <t>ALL</t>
        </is>
      </c>
      <c r="E96" s="133" t="inlineStr">
        <is>
          <t>Có</t>
        </is>
      </c>
      <c r="F96" s="133" t="inlineStr">
        <is>
          <t>Nhạy cảm</t>
        </is>
      </c>
      <c r="G96" s="133" t="inlineStr">
        <is>
          <t>Q32</t>
        </is>
      </c>
      <c r="H96" s="133" t="inlineStr">
        <is>
          <t>Kiểm tra server theo dữ liệu thuộc phạm vi.</t>
        </is>
      </c>
    </row>
    <row r="97" ht="36" customHeight="1" s="94">
      <c r="A97" s="129" t="inlineStr">
        <is>
          <t>SEC_STAFF</t>
        </is>
      </c>
      <c r="B97" s="130" t="inlineStr">
        <is>
          <t>Nhân viên An ninh</t>
        </is>
      </c>
      <c r="C97" s="130" t="inlineStr">
        <is>
          <t>reefer.request.alert.view</t>
        </is>
      </c>
      <c r="D97" s="130" t="inlineStr">
        <is>
          <t>YARD</t>
        </is>
      </c>
      <c r="E97" s="130" t="inlineStr">
        <is>
          <t>Có</t>
        </is>
      </c>
      <c r="F97" s="130" t="inlineStr">
        <is>
          <t>Thông thường</t>
        </is>
      </c>
      <c r="G97" s="130" t="inlineStr">
        <is>
          <t>Q33</t>
        </is>
      </c>
      <c r="H97" s="130" t="inlineStr">
        <is>
          <t>Kiểm tra server theo dữ liệu thuộc phạm vi.</t>
        </is>
      </c>
    </row>
    <row r="98" ht="36" customHeight="1" s="94">
      <c r="A98" s="132" t="inlineStr">
        <is>
          <t>SEC_LEAD</t>
        </is>
      </c>
      <c r="B98" s="133" t="inlineStr">
        <is>
          <t>Trưởng bộ phận An ninh</t>
        </is>
      </c>
      <c r="C98" s="133" t="inlineStr">
        <is>
          <t>reefer.request.alert.view</t>
        </is>
      </c>
      <c r="D98" s="133" t="inlineStr">
        <is>
          <t>YARD</t>
        </is>
      </c>
      <c r="E98" s="133" t="inlineStr">
        <is>
          <t>Có</t>
        </is>
      </c>
      <c r="F98" s="133" t="inlineStr">
        <is>
          <t>Thông thường</t>
        </is>
      </c>
      <c r="G98" s="133" t="inlineStr">
        <is>
          <t>Q33</t>
        </is>
      </c>
      <c r="H98" s="133" t="inlineStr">
        <is>
          <t>Kiểm tra server theo dữ liệu thuộc phạm vi.</t>
        </is>
      </c>
    </row>
    <row r="99" ht="36" customHeight="1" s="94">
      <c r="A99" s="129" t="inlineStr">
        <is>
          <t>PORT_STAFF</t>
        </is>
      </c>
      <c r="B99" s="130" t="inlineStr">
        <is>
          <t>Nhân viên Cổng cảng kho bãi</t>
        </is>
      </c>
      <c r="C99" s="130" t="inlineStr">
        <is>
          <t>reefer.request.alert.view</t>
        </is>
      </c>
      <c r="D99" s="130" t="inlineStr">
        <is>
          <t>YARD</t>
        </is>
      </c>
      <c r="E99" s="130" t="inlineStr">
        <is>
          <t>Có</t>
        </is>
      </c>
      <c r="F99" s="130" t="inlineStr">
        <is>
          <t>Thông thường</t>
        </is>
      </c>
      <c r="G99" s="130" t="inlineStr">
        <is>
          <t>Q33</t>
        </is>
      </c>
      <c r="H99" s="130" t="inlineStr">
        <is>
          <t>Kiểm tra server theo dữ liệu thuộc phạm vi.</t>
        </is>
      </c>
    </row>
    <row r="100" ht="36" customHeight="1" s="94">
      <c r="A100" s="132" t="inlineStr">
        <is>
          <t>PORT_LEAD</t>
        </is>
      </c>
      <c r="B100" s="133" t="inlineStr">
        <is>
          <t>Trưởng bộ phận Cổng cảng kho bãi</t>
        </is>
      </c>
      <c r="C100" s="133" t="inlineStr">
        <is>
          <t>reefer.request.alert.view</t>
        </is>
      </c>
      <c r="D100" s="133" t="inlineStr">
        <is>
          <t>YARD</t>
        </is>
      </c>
      <c r="E100" s="133" t="inlineStr">
        <is>
          <t>Có</t>
        </is>
      </c>
      <c r="F100" s="133" t="inlineStr">
        <is>
          <t>Thông thường</t>
        </is>
      </c>
      <c r="G100" s="133" t="inlineStr">
        <is>
          <t>Q33</t>
        </is>
      </c>
      <c r="H100" s="133" t="inlineStr">
        <is>
          <t>Kiểm tra server theo dữ liệu thuộc phạm vi.</t>
        </is>
      </c>
    </row>
    <row r="101" ht="36" customHeight="1" s="94">
      <c r="A101" s="129" t="inlineStr">
        <is>
          <t>SYS_ADMIN</t>
        </is>
      </c>
      <c r="B101" s="130" t="inlineStr">
        <is>
          <t>Quản trị hệ thống</t>
        </is>
      </c>
      <c r="C101" s="130" t="inlineStr">
        <is>
          <t>reefer.request.alert.view</t>
        </is>
      </c>
      <c r="D101" s="130" t="inlineStr">
        <is>
          <t>ALL</t>
        </is>
      </c>
      <c r="E101" s="130" t="inlineStr">
        <is>
          <t>Có</t>
        </is>
      </c>
      <c r="F101" s="130" t="inlineStr">
        <is>
          <t>Thông thường</t>
        </is>
      </c>
      <c r="G101" s="130" t="inlineStr">
        <is>
          <t>Q33</t>
        </is>
      </c>
      <c r="H101" s="130" t="inlineStr">
        <is>
          <t>Kiểm tra server theo dữ liệu thuộc phạm vi.</t>
        </is>
      </c>
    </row>
    <row r="102" ht="36" customHeight="1" s="94">
      <c r="A102" s="132" t="inlineStr">
        <is>
          <t>SEC_STAFF</t>
        </is>
      </c>
      <c r="B102" s="133" t="inlineStr">
        <is>
          <t>Nhân viên An ninh</t>
        </is>
      </c>
      <c r="C102" s="133" t="inlineStr">
        <is>
          <t>reefer.request.match_confirm</t>
        </is>
      </c>
      <c r="D102" s="133" t="inlineStr">
        <is>
          <t>YARD</t>
        </is>
      </c>
      <c r="E102" s="133" t="inlineStr">
        <is>
          <t>Có</t>
        </is>
      </c>
      <c r="F102" s="133" t="inlineStr">
        <is>
          <t>Nhạy cảm</t>
        </is>
      </c>
      <c r="G102" s="133" t="inlineStr">
        <is>
          <t>Q34</t>
        </is>
      </c>
      <c r="H102" s="133" t="inlineStr">
        <is>
          <t>Kiểm tra server theo dữ liệu thuộc phạm vi.</t>
        </is>
      </c>
    </row>
    <row r="103" ht="36" customHeight="1" s="94">
      <c r="A103" s="129" t="inlineStr">
        <is>
          <t>SEC_LEAD</t>
        </is>
      </c>
      <c r="B103" s="130" t="inlineStr">
        <is>
          <t>Trưởng bộ phận An ninh</t>
        </is>
      </c>
      <c r="C103" s="130" t="inlineStr">
        <is>
          <t>reefer.request.match_confirm</t>
        </is>
      </c>
      <c r="D103" s="130" t="inlineStr">
        <is>
          <t>YARD</t>
        </is>
      </c>
      <c r="E103" s="130" t="inlineStr">
        <is>
          <t>Có</t>
        </is>
      </c>
      <c r="F103" s="130" t="inlineStr">
        <is>
          <t>Nhạy cảm</t>
        </is>
      </c>
      <c r="G103" s="130" t="inlineStr">
        <is>
          <t>Q34</t>
        </is>
      </c>
      <c r="H103" s="130" t="inlineStr">
        <is>
          <t>Kiểm tra server theo dữ liệu thuộc phạm vi.</t>
        </is>
      </c>
    </row>
    <row r="104" ht="36" customHeight="1" s="94">
      <c r="A104" s="132" t="inlineStr">
        <is>
          <t>PORT_STAFF</t>
        </is>
      </c>
      <c r="B104" s="133" t="inlineStr">
        <is>
          <t>Nhân viên Cổng cảng kho bãi</t>
        </is>
      </c>
      <c r="C104" s="133" t="inlineStr">
        <is>
          <t>reefer.request.match_confirm</t>
        </is>
      </c>
      <c r="D104" s="133" t="inlineStr">
        <is>
          <t>YARD</t>
        </is>
      </c>
      <c r="E104" s="133" t="inlineStr">
        <is>
          <t>Có</t>
        </is>
      </c>
      <c r="F104" s="133" t="inlineStr">
        <is>
          <t>Nhạy cảm</t>
        </is>
      </c>
      <c r="G104" s="133" t="inlineStr">
        <is>
          <t>Q34</t>
        </is>
      </c>
      <c r="H104" s="133" t="inlineStr">
        <is>
          <t>Kiểm tra server theo dữ liệu thuộc phạm vi.</t>
        </is>
      </c>
    </row>
    <row r="105" ht="36" customHeight="1" s="94">
      <c r="A105" s="129" t="inlineStr">
        <is>
          <t>PORT_LEAD</t>
        </is>
      </c>
      <c r="B105" s="130" t="inlineStr">
        <is>
          <t>Trưởng bộ phận Cổng cảng kho bãi</t>
        </is>
      </c>
      <c r="C105" s="130" t="inlineStr">
        <is>
          <t>reefer.request.match_confirm</t>
        </is>
      </c>
      <c r="D105" s="130" t="inlineStr">
        <is>
          <t>YARD</t>
        </is>
      </c>
      <c r="E105" s="130" t="inlineStr">
        <is>
          <t>Có</t>
        </is>
      </c>
      <c r="F105" s="130" t="inlineStr">
        <is>
          <t>Nhạy cảm</t>
        </is>
      </c>
      <c r="G105" s="130" t="inlineStr">
        <is>
          <t>Q34</t>
        </is>
      </c>
      <c r="H105" s="130" t="inlineStr">
        <is>
          <t>Kiểm tra server theo dữ liệu thuộc phạm vi.</t>
        </is>
      </c>
    </row>
    <row r="106" ht="36" customHeight="1" s="94">
      <c r="A106" s="132" t="inlineStr">
        <is>
          <t>SYS_ADMIN</t>
        </is>
      </c>
      <c r="B106" s="133" t="inlineStr">
        <is>
          <t>Quản trị hệ thống</t>
        </is>
      </c>
      <c r="C106" s="133" t="inlineStr">
        <is>
          <t>reefer.request.match_confirm</t>
        </is>
      </c>
      <c r="D106" s="133" t="inlineStr">
        <is>
          <t>ALL</t>
        </is>
      </c>
      <c r="E106" s="133" t="inlineStr">
        <is>
          <t>Có</t>
        </is>
      </c>
      <c r="F106" s="133" t="inlineStr">
        <is>
          <t>Nhạy cảm</t>
        </is>
      </c>
      <c r="G106" s="133" t="inlineStr">
        <is>
          <t>Q34</t>
        </is>
      </c>
      <c r="H106" s="133" t="inlineStr">
        <is>
          <t>Kiểm tra server theo dữ liệu thuộc phạm vi.</t>
        </is>
      </c>
    </row>
    <row r="107" ht="36" customHeight="1" s="94">
      <c r="A107" s="129" t="inlineStr">
        <is>
          <t>SEC_STAFF</t>
        </is>
      </c>
      <c r="B107" s="130" t="inlineStr">
        <is>
          <t>Nhân viên An ninh</t>
        </is>
      </c>
      <c r="C107" s="130" t="inlineStr">
        <is>
          <t>reefer.field_work.note</t>
        </is>
      </c>
      <c r="D107" s="130" t="inlineStr">
        <is>
          <t>YARD</t>
        </is>
      </c>
      <c r="E107" s="130" t="inlineStr">
        <is>
          <t>Có</t>
        </is>
      </c>
      <c r="F107" s="130" t="inlineStr">
        <is>
          <t>Thông thường</t>
        </is>
      </c>
      <c r="G107" s="130" t="inlineStr">
        <is>
          <t>Q11</t>
        </is>
      </c>
      <c r="H107" s="130" t="inlineStr">
        <is>
          <t>Kiểm tra server theo dữ liệu thuộc phạm vi.</t>
        </is>
      </c>
    </row>
    <row r="108" ht="36" customHeight="1" s="94">
      <c r="A108" s="132" t="inlineStr">
        <is>
          <t>SEC_LEAD</t>
        </is>
      </c>
      <c r="B108" s="133" t="inlineStr">
        <is>
          <t>Trưởng bộ phận An ninh</t>
        </is>
      </c>
      <c r="C108" s="133" t="inlineStr">
        <is>
          <t>reefer.field_work.note</t>
        </is>
      </c>
      <c r="D108" s="133" t="inlineStr">
        <is>
          <t>YARD</t>
        </is>
      </c>
      <c r="E108" s="133" t="inlineStr">
        <is>
          <t>Có</t>
        </is>
      </c>
      <c r="F108" s="133" t="inlineStr">
        <is>
          <t>Thông thường</t>
        </is>
      </c>
      <c r="G108" s="133" t="inlineStr">
        <is>
          <t>Q11</t>
        </is>
      </c>
      <c r="H108" s="133" t="inlineStr">
        <is>
          <t>Kiểm tra server theo dữ liệu thuộc phạm vi.</t>
        </is>
      </c>
    </row>
    <row r="109" ht="36" customHeight="1" s="94">
      <c r="A109" s="129" t="inlineStr">
        <is>
          <t>PORT_STAFF</t>
        </is>
      </c>
      <c r="B109" s="130" t="inlineStr">
        <is>
          <t>Nhân viên Cổng cảng kho bãi</t>
        </is>
      </c>
      <c r="C109" s="130" t="inlineStr">
        <is>
          <t>reefer.field_work.note</t>
        </is>
      </c>
      <c r="D109" s="130" t="inlineStr">
        <is>
          <t>YARD</t>
        </is>
      </c>
      <c r="E109" s="130" t="inlineStr">
        <is>
          <t>Có</t>
        </is>
      </c>
      <c r="F109" s="130" t="inlineStr">
        <is>
          <t>Thông thường</t>
        </is>
      </c>
      <c r="G109" s="130" t="inlineStr">
        <is>
          <t>Q11</t>
        </is>
      </c>
      <c r="H109" s="130" t="inlineStr">
        <is>
          <t>Kiểm tra server theo dữ liệu thuộc phạm vi.</t>
        </is>
      </c>
    </row>
    <row r="110" ht="36" customHeight="1" s="94">
      <c r="A110" s="132" t="inlineStr">
        <is>
          <t>PORT_LEAD</t>
        </is>
      </c>
      <c r="B110" s="133" t="inlineStr">
        <is>
          <t>Trưởng bộ phận Cổng cảng kho bãi</t>
        </is>
      </c>
      <c r="C110" s="133" t="inlineStr">
        <is>
          <t>reefer.field_work.note</t>
        </is>
      </c>
      <c r="D110" s="133" t="inlineStr">
        <is>
          <t>YARD</t>
        </is>
      </c>
      <c r="E110" s="133" t="inlineStr">
        <is>
          <t>Có</t>
        </is>
      </c>
      <c r="F110" s="133" t="inlineStr">
        <is>
          <t>Thông thường</t>
        </is>
      </c>
      <c r="G110" s="133" t="inlineStr">
        <is>
          <t>Q11</t>
        </is>
      </c>
      <c r="H110" s="133" t="inlineStr">
        <is>
          <t>Kiểm tra server theo dữ liệu thuộc phạm vi.</t>
        </is>
      </c>
    </row>
    <row r="111" ht="36" customHeight="1" s="94">
      <c r="A111" s="129" t="inlineStr">
        <is>
          <t>SYS_ADMIN</t>
        </is>
      </c>
      <c r="B111" s="130" t="inlineStr">
        <is>
          <t>Quản trị hệ thống</t>
        </is>
      </c>
      <c r="C111" s="130" t="inlineStr">
        <is>
          <t>reefer.field_work.note</t>
        </is>
      </c>
      <c r="D111" s="130" t="inlineStr">
        <is>
          <t>ALL</t>
        </is>
      </c>
      <c r="E111" s="130" t="inlineStr">
        <is>
          <t>Có</t>
        </is>
      </c>
      <c r="F111" s="130" t="inlineStr">
        <is>
          <t>Thông thường</t>
        </is>
      </c>
      <c r="G111" s="130" t="inlineStr">
        <is>
          <t>Q11</t>
        </is>
      </c>
      <c r="H111" s="130" t="inlineStr">
        <is>
          <t>Kiểm tra server theo dữ liệu thuộc phạm vi.</t>
        </is>
      </c>
    </row>
    <row r="112" ht="36" customHeight="1" s="94">
      <c r="A112" s="132" t="inlineStr">
        <is>
          <t>SEC_STAFF</t>
        </is>
      </c>
      <c r="B112" s="133" t="inlineStr">
        <is>
          <t>Nhân viên An ninh</t>
        </is>
      </c>
      <c r="C112" s="133" t="inlineStr">
        <is>
          <t>reefer.session.read</t>
        </is>
      </c>
      <c r="D112" s="133" t="inlineStr">
        <is>
          <t>YARD</t>
        </is>
      </c>
      <c r="E112" s="133" t="inlineStr">
        <is>
          <t>Có</t>
        </is>
      </c>
      <c r="F112" s="133" t="inlineStr">
        <is>
          <t>Thông thường</t>
        </is>
      </c>
      <c r="G112" s="133" t="inlineStr">
        <is>
          <t>Q12,Q13</t>
        </is>
      </c>
      <c r="H112" s="133" t="inlineStr">
        <is>
          <t>Kiểm tra server theo dữ liệu thuộc phạm vi.</t>
        </is>
      </c>
    </row>
    <row r="113" ht="36" customHeight="1" s="94">
      <c r="A113" s="129" t="inlineStr">
        <is>
          <t>SEC_LEAD</t>
        </is>
      </c>
      <c r="B113" s="130" t="inlineStr">
        <is>
          <t>Trưởng bộ phận An ninh</t>
        </is>
      </c>
      <c r="C113" s="130" t="inlineStr">
        <is>
          <t>reefer.session.read</t>
        </is>
      </c>
      <c r="D113" s="130" t="inlineStr">
        <is>
          <t>YARD</t>
        </is>
      </c>
      <c r="E113" s="130" t="inlineStr">
        <is>
          <t>Có</t>
        </is>
      </c>
      <c r="F113" s="130" t="inlineStr">
        <is>
          <t>Thông thường</t>
        </is>
      </c>
      <c r="G113" s="130" t="inlineStr">
        <is>
          <t>Q12,Q13</t>
        </is>
      </c>
      <c r="H113" s="130" t="inlineStr">
        <is>
          <t>Kiểm tra server theo dữ liệu thuộc phạm vi.</t>
        </is>
      </c>
    </row>
    <row r="114" ht="36" customHeight="1" s="94">
      <c r="A114" s="132" t="inlineStr">
        <is>
          <t>PORT_STAFF</t>
        </is>
      </c>
      <c r="B114" s="133" t="inlineStr">
        <is>
          <t>Nhân viên Cổng cảng kho bãi</t>
        </is>
      </c>
      <c r="C114" s="133" t="inlineStr">
        <is>
          <t>reefer.session.read</t>
        </is>
      </c>
      <c r="D114" s="133" t="inlineStr">
        <is>
          <t>YARD</t>
        </is>
      </c>
      <c r="E114" s="133" t="inlineStr">
        <is>
          <t>Có</t>
        </is>
      </c>
      <c r="F114" s="133" t="inlineStr">
        <is>
          <t>Thông thường</t>
        </is>
      </c>
      <c r="G114" s="133" t="inlineStr">
        <is>
          <t>Q12,Q13</t>
        </is>
      </c>
      <c r="H114" s="133" t="inlineStr">
        <is>
          <t>Kiểm tra server theo dữ liệu thuộc phạm vi.</t>
        </is>
      </c>
    </row>
    <row r="115" ht="36" customHeight="1" s="94">
      <c r="A115" s="129" t="inlineStr">
        <is>
          <t>PORT_LEAD</t>
        </is>
      </c>
      <c r="B115" s="130" t="inlineStr">
        <is>
          <t>Trưởng bộ phận Cổng cảng kho bãi</t>
        </is>
      </c>
      <c r="C115" s="130" t="inlineStr">
        <is>
          <t>reefer.session.read</t>
        </is>
      </c>
      <c r="D115" s="130" t="inlineStr">
        <is>
          <t>YARD</t>
        </is>
      </c>
      <c r="E115" s="130" t="inlineStr">
        <is>
          <t>Có</t>
        </is>
      </c>
      <c r="F115" s="130" t="inlineStr">
        <is>
          <t>Thông thường</t>
        </is>
      </c>
      <c r="G115" s="130" t="inlineStr">
        <is>
          <t>Q12,Q13</t>
        </is>
      </c>
      <c r="H115" s="130" t="inlineStr">
        <is>
          <t>Kiểm tra server theo dữ liệu thuộc phạm vi.</t>
        </is>
      </c>
    </row>
    <row r="116" ht="36" customHeight="1" s="94">
      <c r="A116" s="132" t="inlineStr">
        <is>
          <t>DIS_STAFF</t>
        </is>
      </c>
      <c r="B116" s="133" t="inlineStr">
        <is>
          <t>Nhân viên Điều phối</t>
        </is>
      </c>
      <c r="C116" s="133" t="inlineStr">
        <is>
          <t>reefer.session.read</t>
        </is>
      </c>
      <c r="D116" s="133" t="inlineStr">
        <is>
          <t>YARD</t>
        </is>
      </c>
      <c r="E116" s="133" t="inlineStr">
        <is>
          <t>Có</t>
        </is>
      </c>
      <c r="F116" s="133" t="inlineStr">
        <is>
          <t>Thông thường</t>
        </is>
      </c>
      <c r="G116" s="133" t="inlineStr">
        <is>
          <t>Q12,Q13</t>
        </is>
      </c>
      <c r="H116" s="133" t="inlineStr">
        <is>
          <t>Kiểm tra server theo dữ liệu thuộc phạm vi.</t>
        </is>
      </c>
    </row>
    <row r="117" ht="36" customHeight="1" s="94">
      <c r="A117" s="129" t="inlineStr">
        <is>
          <t>DIS_LEAD</t>
        </is>
      </c>
      <c r="B117" s="130" t="inlineStr">
        <is>
          <t>Trưởng bộ phận Điều phối</t>
        </is>
      </c>
      <c r="C117" s="130" t="inlineStr">
        <is>
          <t>reefer.session.read</t>
        </is>
      </c>
      <c r="D117" s="130" t="inlineStr">
        <is>
          <t>YARD</t>
        </is>
      </c>
      <c r="E117" s="130" t="inlineStr">
        <is>
          <t>Có</t>
        </is>
      </c>
      <c r="F117" s="130" t="inlineStr">
        <is>
          <t>Thông thường</t>
        </is>
      </c>
      <c r="G117" s="130" t="inlineStr">
        <is>
          <t>Q12,Q13</t>
        </is>
      </c>
      <c r="H117" s="130" t="inlineStr">
        <is>
          <t>Kiểm tra server theo dữ liệu thuộc phạm vi.</t>
        </is>
      </c>
    </row>
    <row r="118" ht="36" customHeight="1" s="94">
      <c r="A118" s="132" t="inlineStr">
        <is>
          <t>SYS_ADMIN</t>
        </is>
      </c>
      <c r="B118" s="133" t="inlineStr">
        <is>
          <t>Quản trị hệ thống</t>
        </is>
      </c>
      <c r="C118" s="133" t="inlineStr">
        <is>
          <t>reefer.session.read</t>
        </is>
      </c>
      <c r="D118" s="133" t="inlineStr">
        <is>
          <t>ALL</t>
        </is>
      </c>
      <c r="E118" s="133" t="inlineStr">
        <is>
          <t>Có</t>
        </is>
      </c>
      <c r="F118" s="133" t="inlineStr">
        <is>
          <t>Thông thường</t>
        </is>
      </c>
      <c r="G118" s="133" t="inlineStr">
        <is>
          <t>Q12,Q13</t>
        </is>
      </c>
      <c r="H118" s="133" t="inlineStr">
        <is>
          <t>Kiểm tra server theo dữ liệu thuộc phạm vi.</t>
        </is>
      </c>
    </row>
    <row r="119" ht="36" customHeight="1" s="94">
      <c r="A119" s="129" t="inlineStr">
        <is>
          <t>PORT_STAFF</t>
        </is>
      </c>
      <c r="B119" s="130" t="inlineStr">
        <is>
          <t>Nhân viên Cổng cảng kho bãi</t>
        </is>
      </c>
      <c r="C119" s="130" t="inlineStr">
        <is>
          <t>reefer.session.actual_start.record</t>
        </is>
      </c>
      <c r="D119" s="130" t="inlineStr">
        <is>
          <t>YARD</t>
        </is>
      </c>
      <c r="E119" s="130" t="inlineStr">
        <is>
          <t>Có</t>
        </is>
      </c>
      <c r="F119" s="130" t="inlineStr">
        <is>
          <t>Thông thường</t>
        </is>
      </c>
      <c r="G119" s="130" t="inlineStr">
        <is>
          <t>Q12</t>
        </is>
      </c>
      <c r="H119" s="130" t="inlineStr">
        <is>
          <t>Kiểm tra server theo dữ liệu thuộc phạm vi.</t>
        </is>
      </c>
    </row>
    <row r="120" ht="36" customHeight="1" s="94">
      <c r="A120" s="132" t="inlineStr">
        <is>
          <t>PORT_LEAD</t>
        </is>
      </c>
      <c r="B120" s="133" t="inlineStr">
        <is>
          <t>Trưởng bộ phận Cổng cảng kho bãi</t>
        </is>
      </c>
      <c r="C120" s="133" t="inlineStr">
        <is>
          <t>reefer.session.actual_start.record</t>
        </is>
      </c>
      <c r="D120" s="133" t="inlineStr">
        <is>
          <t>YARD</t>
        </is>
      </c>
      <c r="E120" s="133" t="inlineStr">
        <is>
          <t>Có</t>
        </is>
      </c>
      <c r="F120" s="133" t="inlineStr">
        <is>
          <t>Thông thường</t>
        </is>
      </c>
      <c r="G120" s="133" t="inlineStr">
        <is>
          <t>Q12</t>
        </is>
      </c>
      <c r="H120" s="133" t="inlineStr">
        <is>
          <t>Kiểm tra server theo dữ liệu thuộc phạm vi.</t>
        </is>
      </c>
    </row>
    <row r="121" ht="36" customHeight="1" s="94">
      <c r="A121" s="129" t="inlineStr">
        <is>
          <t>SYS_ADMIN</t>
        </is>
      </c>
      <c r="B121" s="130" t="inlineStr">
        <is>
          <t>Quản trị hệ thống</t>
        </is>
      </c>
      <c r="C121" s="130" t="inlineStr">
        <is>
          <t>reefer.session.actual_start.record</t>
        </is>
      </c>
      <c r="D121" s="130" t="inlineStr">
        <is>
          <t>ALL</t>
        </is>
      </c>
      <c r="E121" s="130" t="inlineStr">
        <is>
          <t>Có</t>
        </is>
      </c>
      <c r="F121" s="130" t="inlineStr">
        <is>
          <t>Thông thường</t>
        </is>
      </c>
      <c r="G121" s="130" t="inlineStr">
        <is>
          <t>Q12</t>
        </is>
      </c>
      <c r="H121" s="130" t="inlineStr">
        <is>
          <t>Kiểm tra server theo dữ liệu thuộc phạm vi.</t>
        </is>
      </c>
    </row>
    <row r="122" ht="36" customHeight="1" s="94">
      <c r="A122" s="132" t="inlineStr">
        <is>
          <t>PORT_STAFF</t>
        </is>
      </c>
      <c r="B122" s="133" t="inlineStr">
        <is>
          <t>Nhân viên Cổng cảng kho bãi</t>
        </is>
      </c>
      <c r="C122" s="133" t="inlineStr">
        <is>
          <t>reefer.session.actual_end.record</t>
        </is>
      </c>
      <c r="D122" s="133" t="inlineStr">
        <is>
          <t>YARD</t>
        </is>
      </c>
      <c r="E122" s="133" t="inlineStr">
        <is>
          <t>Có</t>
        </is>
      </c>
      <c r="F122" s="133" t="inlineStr">
        <is>
          <t>Thông thường</t>
        </is>
      </c>
      <c r="G122" s="133" t="inlineStr">
        <is>
          <t>Q13</t>
        </is>
      </c>
      <c r="H122" s="133" t="inlineStr">
        <is>
          <t>Kiểm tra server theo dữ liệu thuộc phạm vi.</t>
        </is>
      </c>
    </row>
    <row r="123" ht="36" customHeight="1" s="94">
      <c r="A123" s="129" t="inlineStr">
        <is>
          <t>PORT_LEAD</t>
        </is>
      </c>
      <c r="B123" s="130" t="inlineStr">
        <is>
          <t>Trưởng bộ phận Cổng cảng kho bãi</t>
        </is>
      </c>
      <c r="C123" s="130" t="inlineStr">
        <is>
          <t>reefer.session.actual_end.record</t>
        </is>
      </c>
      <c r="D123" s="130" t="inlineStr">
        <is>
          <t>YARD</t>
        </is>
      </c>
      <c r="E123" s="130" t="inlineStr">
        <is>
          <t>Có</t>
        </is>
      </c>
      <c r="F123" s="130" t="inlineStr">
        <is>
          <t>Thông thường</t>
        </is>
      </c>
      <c r="G123" s="130" t="inlineStr">
        <is>
          <t>Q13</t>
        </is>
      </c>
      <c r="H123" s="130" t="inlineStr">
        <is>
          <t>Kiểm tra server theo dữ liệu thuộc phạm vi.</t>
        </is>
      </c>
    </row>
    <row r="124" ht="36" customHeight="1" s="94">
      <c r="A124" s="132" t="inlineStr">
        <is>
          <t>SYS_ADMIN</t>
        </is>
      </c>
      <c r="B124" s="133" t="inlineStr">
        <is>
          <t>Quản trị hệ thống</t>
        </is>
      </c>
      <c r="C124" s="133" t="inlineStr">
        <is>
          <t>reefer.session.actual_end.record</t>
        </is>
      </c>
      <c r="D124" s="133" t="inlineStr">
        <is>
          <t>ALL</t>
        </is>
      </c>
      <c r="E124" s="133" t="inlineStr">
        <is>
          <t>Có</t>
        </is>
      </c>
      <c r="F124" s="133" t="inlineStr">
        <is>
          <t>Thông thường</t>
        </is>
      </c>
      <c r="G124" s="133" t="inlineStr">
        <is>
          <t>Q13</t>
        </is>
      </c>
      <c r="H124" s="133" t="inlineStr">
        <is>
          <t>Kiểm tra server theo dữ liệu thuộc phạm vi.</t>
        </is>
      </c>
    </row>
    <row r="125" ht="36" customHeight="1" s="94">
      <c r="A125" s="129" t="inlineStr">
        <is>
          <t>PORT_STAFF</t>
        </is>
      </c>
      <c r="B125" s="130" t="inlineStr">
        <is>
          <t>Nhân viên Cổng cảng kho bãi</t>
        </is>
      </c>
      <c r="C125" s="130" t="inlineStr">
        <is>
          <t>reefer.session.time.edit_unpaid</t>
        </is>
      </c>
      <c r="D125" s="130" t="inlineStr">
        <is>
          <t>YARD</t>
        </is>
      </c>
      <c r="E125" s="130" t="inlineStr">
        <is>
          <t>Có</t>
        </is>
      </c>
      <c r="F125" s="130" t="inlineStr">
        <is>
          <t>Nhạy cảm</t>
        </is>
      </c>
      <c r="G125" s="130" t="inlineStr">
        <is>
          <t>Q14</t>
        </is>
      </c>
      <c r="H125" s="130" t="inlineStr">
        <is>
          <t>Kiểm tra server theo dữ liệu thuộc phạm vi.</t>
        </is>
      </c>
    </row>
    <row r="126" ht="36" customHeight="1" s="94">
      <c r="A126" s="132" t="inlineStr">
        <is>
          <t>PORT_LEAD</t>
        </is>
      </c>
      <c r="B126" s="133" t="inlineStr">
        <is>
          <t>Trưởng bộ phận Cổng cảng kho bãi</t>
        </is>
      </c>
      <c r="C126" s="133" t="inlineStr">
        <is>
          <t>reefer.session.time.edit_unpaid</t>
        </is>
      </c>
      <c r="D126" s="133" t="inlineStr">
        <is>
          <t>YARD</t>
        </is>
      </c>
      <c r="E126" s="133" t="inlineStr">
        <is>
          <t>Có</t>
        </is>
      </c>
      <c r="F126" s="133" t="inlineStr">
        <is>
          <t>Nhạy cảm</t>
        </is>
      </c>
      <c r="G126" s="133" t="inlineStr">
        <is>
          <t>Q14</t>
        </is>
      </c>
      <c r="H126" s="133" t="inlineStr">
        <is>
          <t>Kiểm tra server theo dữ liệu thuộc phạm vi.</t>
        </is>
      </c>
    </row>
    <row r="127" ht="36" customHeight="1" s="94">
      <c r="A127" s="129" t="inlineStr">
        <is>
          <t>SYS_ADMIN</t>
        </is>
      </c>
      <c r="B127" s="130" t="inlineStr">
        <is>
          <t>Quản trị hệ thống</t>
        </is>
      </c>
      <c r="C127" s="130" t="inlineStr">
        <is>
          <t>reefer.session.time.edit_unpaid</t>
        </is>
      </c>
      <c r="D127" s="130" t="inlineStr">
        <is>
          <t>ALL</t>
        </is>
      </c>
      <c r="E127" s="130" t="inlineStr">
        <is>
          <t>Có</t>
        </is>
      </c>
      <c r="F127" s="130" t="inlineStr">
        <is>
          <t>Nhạy cảm</t>
        </is>
      </c>
      <c r="G127" s="130" t="inlineStr">
        <is>
          <t>Q14</t>
        </is>
      </c>
      <c r="H127" s="130" t="inlineStr">
        <is>
          <t>Kiểm tra server theo dữ liệu thuộc phạm vi.</t>
        </is>
      </c>
    </row>
    <row r="128" ht="36" customHeight="1" s="94">
      <c r="A128" s="132" t="inlineStr">
        <is>
          <t>PORT_STAFF</t>
        </is>
      </c>
      <c r="B128" s="133" t="inlineStr">
        <is>
          <t>Nhân viên Cổng cảng kho bãi</t>
        </is>
      </c>
      <c r="C128" s="133" t="inlineStr">
        <is>
          <t>reefer.session.billable.override_unpaid</t>
        </is>
      </c>
      <c r="D128" s="133" t="inlineStr">
        <is>
          <t>YARD</t>
        </is>
      </c>
      <c r="E128" s="133" t="inlineStr">
        <is>
          <t>Có</t>
        </is>
      </c>
      <c r="F128" s="133" t="inlineStr">
        <is>
          <t>Tài chính</t>
        </is>
      </c>
      <c r="G128" s="133" t="inlineStr">
        <is>
          <t>Q14</t>
        </is>
      </c>
      <c r="H128" s="133" t="inlineStr">
        <is>
          <t>Chỉ bật nếu phân hệ đang hoạt động; ràng buộc server/RLS + audit.</t>
        </is>
      </c>
    </row>
    <row r="129" ht="36" customHeight="1" s="94">
      <c r="A129" s="129" t="inlineStr">
        <is>
          <t>PORT_LEAD</t>
        </is>
      </c>
      <c r="B129" s="130" t="inlineStr">
        <is>
          <t>Trưởng bộ phận Cổng cảng kho bãi</t>
        </is>
      </c>
      <c r="C129" s="130" t="inlineStr">
        <is>
          <t>reefer.session.billable.override_unpaid</t>
        </is>
      </c>
      <c r="D129" s="130" t="inlineStr">
        <is>
          <t>YARD</t>
        </is>
      </c>
      <c r="E129" s="130" t="inlineStr">
        <is>
          <t>Có</t>
        </is>
      </c>
      <c r="F129" s="130" t="inlineStr">
        <is>
          <t>Tài chính</t>
        </is>
      </c>
      <c r="G129" s="130" t="inlineStr">
        <is>
          <t>Q14</t>
        </is>
      </c>
      <c r="H129" s="130" t="inlineStr">
        <is>
          <t>Chỉ bật nếu phân hệ đang hoạt động; ràng buộc server/RLS + audit.</t>
        </is>
      </c>
    </row>
    <row r="130" ht="36" customHeight="1" s="94">
      <c r="A130" s="132" t="inlineStr">
        <is>
          <t>SYS_ADMIN</t>
        </is>
      </c>
      <c r="B130" s="133" t="inlineStr">
        <is>
          <t>Quản trị hệ thống</t>
        </is>
      </c>
      <c r="C130" s="133" t="inlineStr">
        <is>
          <t>reefer.session.billable.override_unpaid</t>
        </is>
      </c>
      <c r="D130" s="133" t="inlineStr">
        <is>
          <t>ALL</t>
        </is>
      </c>
      <c r="E130" s="133" t="inlineStr">
        <is>
          <t>Có</t>
        </is>
      </c>
      <c r="F130" s="133" t="inlineStr">
        <is>
          <t>Tài chính</t>
        </is>
      </c>
      <c r="G130" s="133" t="inlineStr">
        <is>
          <t>Q14</t>
        </is>
      </c>
      <c r="H130" s="133" t="inlineStr">
        <is>
          <t>Chỉ bật nếu phân hệ đang hoạt động; ràng buộc server/RLS + audit.</t>
        </is>
      </c>
    </row>
    <row r="131" ht="36" customHeight="1" s="94">
      <c r="A131" s="129" t="inlineStr">
        <is>
          <t>PORT_STAFF</t>
        </is>
      </c>
      <c r="B131" s="130" t="inlineStr">
        <is>
          <t>Nhân viên Cổng cảng kho bãi</t>
        </is>
      </c>
      <c r="C131" s="130" t="inlineStr">
        <is>
          <t>reefer.session.amendment.request</t>
        </is>
      </c>
      <c r="D131" s="130" t="inlineStr">
        <is>
          <t>YARD</t>
        </is>
      </c>
      <c r="E131" s="130" t="inlineStr">
        <is>
          <t>Có</t>
        </is>
      </c>
      <c r="F131" s="130" t="inlineStr">
        <is>
          <t>Tài chính</t>
        </is>
      </c>
      <c r="G131" s="130" t="inlineStr">
        <is>
          <t>Q15</t>
        </is>
      </c>
      <c r="H131" s="130" t="inlineStr">
        <is>
          <t>Chỉ bật nếu phân hệ đang hoạt động; ràng buộc server/RLS + audit.</t>
        </is>
      </c>
    </row>
    <row r="132" ht="36" customHeight="1" s="94">
      <c r="A132" s="132" t="inlineStr">
        <is>
          <t>PORT_LEAD</t>
        </is>
      </c>
      <c r="B132" s="133" t="inlineStr">
        <is>
          <t>Trưởng bộ phận Cổng cảng kho bãi</t>
        </is>
      </c>
      <c r="C132" s="133" t="inlineStr">
        <is>
          <t>reefer.session.amendment.request</t>
        </is>
      </c>
      <c r="D132" s="133" t="inlineStr">
        <is>
          <t>YARD</t>
        </is>
      </c>
      <c r="E132" s="133" t="inlineStr">
        <is>
          <t>Có</t>
        </is>
      </c>
      <c r="F132" s="133" t="inlineStr">
        <is>
          <t>Tài chính</t>
        </is>
      </c>
      <c r="G132" s="133" t="inlineStr">
        <is>
          <t>Q15</t>
        </is>
      </c>
      <c r="H132" s="133" t="inlineStr">
        <is>
          <t>Chỉ bật nếu phân hệ đang hoạt động; ràng buộc server/RLS + audit.</t>
        </is>
      </c>
    </row>
    <row r="133" ht="36" customHeight="1" s="94">
      <c r="A133" s="129" t="inlineStr">
        <is>
          <t>SYS_ADMIN</t>
        </is>
      </c>
      <c r="B133" s="130" t="inlineStr">
        <is>
          <t>Quản trị hệ thống</t>
        </is>
      </c>
      <c r="C133" s="130" t="inlineStr">
        <is>
          <t>reefer.session.amendment.request</t>
        </is>
      </c>
      <c r="D133" s="130" t="inlineStr">
        <is>
          <t>ALL</t>
        </is>
      </c>
      <c r="E133" s="130" t="inlineStr">
        <is>
          <t>Có</t>
        </is>
      </c>
      <c r="F133" s="130" t="inlineStr">
        <is>
          <t>Tài chính</t>
        </is>
      </c>
      <c r="G133" s="130" t="inlineStr">
        <is>
          <t>Q15</t>
        </is>
      </c>
      <c r="H133" s="130" t="inlineStr">
        <is>
          <t>Chỉ bật nếu phân hệ đang hoạt động; ràng buộc server/RLS + audit.</t>
        </is>
      </c>
    </row>
    <row r="134" ht="36" customHeight="1" s="94">
      <c r="A134" s="132" t="inlineStr">
        <is>
          <t>PORT_LEAD</t>
        </is>
      </c>
      <c r="B134" s="133" t="inlineStr">
        <is>
          <t>Trưởng bộ phận Cổng cảng kho bãi</t>
        </is>
      </c>
      <c r="C134" s="133" t="inlineStr">
        <is>
          <t>reefer.session.amendment.approve</t>
        </is>
      </c>
      <c r="D134" s="133" t="inlineStr">
        <is>
          <t>DEPARTMENT</t>
        </is>
      </c>
      <c r="E134" s="133" t="inlineStr">
        <is>
          <t>Có</t>
        </is>
      </c>
      <c r="F134" s="133" t="inlineStr">
        <is>
          <t>Cao</t>
        </is>
      </c>
      <c r="G134" s="133" t="inlineStr">
        <is>
          <t>Q16</t>
        </is>
      </c>
      <c r="H134" s="133" t="inlineStr">
        <is>
          <t>Chỉ bật nếu phân hệ đang hoạt động; ràng buộc server/RLS + audit.</t>
        </is>
      </c>
    </row>
    <row r="135" ht="36" customHeight="1" s="94">
      <c r="A135" s="129" t="inlineStr">
        <is>
          <t>SYS_ADMIN</t>
        </is>
      </c>
      <c r="B135" s="130" t="inlineStr">
        <is>
          <t>Quản trị hệ thống</t>
        </is>
      </c>
      <c r="C135" s="130" t="inlineStr">
        <is>
          <t>reefer.session.amendment.approve</t>
        </is>
      </c>
      <c r="D135" s="130" t="inlineStr">
        <is>
          <t>ALL</t>
        </is>
      </c>
      <c r="E135" s="130" t="inlineStr">
        <is>
          <t>Có</t>
        </is>
      </c>
      <c r="F135" s="130" t="inlineStr">
        <is>
          <t>Cao</t>
        </is>
      </c>
      <c r="G135" s="130" t="inlineStr">
        <is>
          <t>Q16</t>
        </is>
      </c>
      <c r="H135" s="130" t="inlineStr">
        <is>
          <t>Chỉ bật nếu phân hệ đang hoạt động; ràng buộc server/RLS + audit.</t>
        </is>
      </c>
    </row>
    <row r="136" ht="36" customHeight="1" s="94">
      <c r="A136" s="132" t="inlineStr">
        <is>
          <t>PORT_STAFF</t>
        </is>
      </c>
      <c r="B136" s="133" t="inlineStr">
        <is>
          <t>Nhân viên Cổng cảng kho bãi</t>
        </is>
      </c>
      <c r="C136" s="133" t="inlineStr">
        <is>
          <t>reefer.payment.collect</t>
        </is>
      </c>
      <c r="D136" s="133" t="inlineStr">
        <is>
          <t>YARD</t>
        </is>
      </c>
      <c r="E136" s="133" t="inlineStr">
        <is>
          <t>Có</t>
        </is>
      </c>
      <c r="F136" s="133" t="inlineStr">
        <is>
          <t>Tài chính</t>
        </is>
      </c>
      <c r="G136" s="133" t="inlineStr">
        <is>
          <t>Q19</t>
        </is>
      </c>
      <c r="H136" s="133" t="inlineStr">
        <is>
          <t>Chỉ bật nếu phân hệ đang hoạt động; ràng buộc server/RLS + audit.</t>
        </is>
      </c>
    </row>
    <row r="137" ht="36" customHeight="1" s="94">
      <c r="A137" s="129" t="inlineStr">
        <is>
          <t>PORT_LEAD</t>
        </is>
      </c>
      <c r="B137" s="130" t="inlineStr">
        <is>
          <t>Trưởng bộ phận Cổng cảng kho bãi</t>
        </is>
      </c>
      <c r="C137" s="130" t="inlineStr">
        <is>
          <t>reefer.payment.collect</t>
        </is>
      </c>
      <c r="D137" s="130" t="inlineStr">
        <is>
          <t>YARD</t>
        </is>
      </c>
      <c r="E137" s="130" t="inlineStr">
        <is>
          <t>Có</t>
        </is>
      </c>
      <c r="F137" s="130" t="inlineStr">
        <is>
          <t>Tài chính</t>
        </is>
      </c>
      <c r="G137" s="130" t="inlineStr">
        <is>
          <t>Q19</t>
        </is>
      </c>
      <c r="H137" s="130" t="inlineStr">
        <is>
          <t>Chỉ bật nếu phân hệ đang hoạt động; ràng buộc server/RLS + audit.</t>
        </is>
      </c>
    </row>
    <row r="138" ht="36" customHeight="1" s="94">
      <c r="A138" s="132" t="inlineStr">
        <is>
          <t>SYS_ADMIN</t>
        </is>
      </c>
      <c r="B138" s="133" t="inlineStr">
        <is>
          <t>Quản trị hệ thống</t>
        </is>
      </c>
      <c r="C138" s="133" t="inlineStr">
        <is>
          <t>reefer.payment.collect</t>
        </is>
      </c>
      <c r="D138" s="133" t="inlineStr">
        <is>
          <t>ALL</t>
        </is>
      </c>
      <c r="E138" s="133" t="inlineStr">
        <is>
          <t>Có</t>
        </is>
      </c>
      <c r="F138" s="133" t="inlineStr">
        <is>
          <t>Tài chính</t>
        </is>
      </c>
      <c r="G138" s="133" t="inlineStr">
        <is>
          <t>Q19</t>
        </is>
      </c>
      <c r="H138" s="133" t="inlineStr">
        <is>
          <t>Chỉ bật nếu phân hệ đang hoạt động; ràng buộc server/RLS + audit.</t>
        </is>
      </c>
    </row>
    <row r="139" ht="36" customHeight="1" s="94">
      <c r="A139" s="129" t="inlineStr">
        <is>
          <t>PORT_STAFF</t>
        </is>
      </c>
      <c r="B139" s="130" t="inlineStr">
        <is>
          <t>Nhân viên Cổng cảng kho bãi</t>
        </is>
      </c>
      <c r="C139" s="130" t="inlineStr">
        <is>
          <t>reefer.payment.partial_collect</t>
        </is>
      </c>
      <c r="D139" s="130" t="inlineStr">
        <is>
          <t>YARD</t>
        </is>
      </c>
      <c r="E139" s="130" t="inlineStr">
        <is>
          <t>Có</t>
        </is>
      </c>
      <c r="F139" s="130" t="inlineStr">
        <is>
          <t>Tài chính</t>
        </is>
      </c>
      <c r="G139" s="130" t="inlineStr">
        <is>
          <t>Q19</t>
        </is>
      </c>
      <c r="H139" s="130" t="inlineStr">
        <is>
          <t>Chỉ bật nếu phân hệ đang hoạt động; ràng buộc server/RLS + audit.</t>
        </is>
      </c>
    </row>
    <row r="140" ht="36" customHeight="1" s="94">
      <c r="A140" s="132" t="inlineStr">
        <is>
          <t>PORT_LEAD</t>
        </is>
      </c>
      <c r="B140" s="133" t="inlineStr">
        <is>
          <t>Trưởng bộ phận Cổng cảng kho bãi</t>
        </is>
      </c>
      <c r="C140" s="133" t="inlineStr">
        <is>
          <t>reefer.payment.partial_collect</t>
        </is>
      </c>
      <c r="D140" s="133" t="inlineStr">
        <is>
          <t>YARD</t>
        </is>
      </c>
      <c r="E140" s="133" t="inlineStr">
        <is>
          <t>Có</t>
        </is>
      </c>
      <c r="F140" s="133" t="inlineStr">
        <is>
          <t>Tài chính</t>
        </is>
      </c>
      <c r="G140" s="133" t="inlineStr">
        <is>
          <t>Q19</t>
        </is>
      </c>
      <c r="H140" s="133" t="inlineStr">
        <is>
          <t>Chỉ bật nếu phân hệ đang hoạt động; ràng buộc server/RLS + audit.</t>
        </is>
      </c>
    </row>
    <row r="141" ht="36" customHeight="1" s="94">
      <c r="A141" s="129" t="inlineStr">
        <is>
          <t>SYS_ADMIN</t>
        </is>
      </c>
      <c r="B141" s="130" t="inlineStr">
        <is>
          <t>Quản trị hệ thống</t>
        </is>
      </c>
      <c r="C141" s="130" t="inlineStr">
        <is>
          <t>reefer.payment.partial_collect</t>
        </is>
      </c>
      <c r="D141" s="130" t="inlineStr">
        <is>
          <t>ALL</t>
        </is>
      </c>
      <c r="E141" s="130" t="inlineStr">
        <is>
          <t>Có</t>
        </is>
      </c>
      <c r="F141" s="130" t="inlineStr">
        <is>
          <t>Tài chính</t>
        </is>
      </c>
      <c r="G141" s="130" t="inlineStr">
        <is>
          <t>Q19</t>
        </is>
      </c>
      <c r="H141" s="130" t="inlineStr">
        <is>
          <t>Chỉ bật nếu phân hệ đang hoạt động; ràng buộc server/RLS + audit.</t>
        </is>
      </c>
    </row>
    <row r="142" ht="36" customHeight="1" s="94">
      <c r="A142" s="132" t="inlineStr">
        <is>
          <t>SEC_STAFF</t>
        </is>
      </c>
      <c r="B142" s="133" t="inlineStr">
        <is>
          <t>Nhân viên An ninh</t>
        </is>
      </c>
      <c r="C142" s="133" t="inlineStr">
        <is>
          <t>storage.payment.collect</t>
        </is>
      </c>
      <c r="D142" s="133" t="inlineStr">
        <is>
          <t>YARD</t>
        </is>
      </c>
      <c r="E142" s="133" t="inlineStr">
        <is>
          <t>Có</t>
        </is>
      </c>
      <c r="F142" s="133" t="inlineStr">
        <is>
          <t>Tài chính</t>
        </is>
      </c>
      <c r="G142" s="133" t="inlineStr">
        <is>
          <t>Q18</t>
        </is>
      </c>
      <c r="H142" s="133" t="inlineStr">
        <is>
          <t>Chỉ bật nếu phân hệ đang hoạt động; ràng buộc server/RLS + audit.</t>
        </is>
      </c>
    </row>
    <row r="143" ht="36" customHeight="1" s="94">
      <c r="A143" s="129" t="inlineStr">
        <is>
          <t>SEC_LEAD</t>
        </is>
      </c>
      <c r="B143" s="130" t="inlineStr">
        <is>
          <t>Trưởng bộ phận An ninh</t>
        </is>
      </c>
      <c r="C143" s="130" t="inlineStr">
        <is>
          <t>storage.payment.collect</t>
        </is>
      </c>
      <c r="D143" s="130" t="inlineStr">
        <is>
          <t>YARD</t>
        </is>
      </c>
      <c r="E143" s="130" t="inlineStr">
        <is>
          <t>Có</t>
        </is>
      </c>
      <c r="F143" s="130" t="inlineStr">
        <is>
          <t>Tài chính</t>
        </is>
      </c>
      <c r="G143" s="130" t="inlineStr">
        <is>
          <t>Q18</t>
        </is>
      </c>
      <c r="H143" s="130" t="inlineStr">
        <is>
          <t>Chỉ bật nếu phân hệ đang hoạt động; ràng buộc server/RLS + audit.</t>
        </is>
      </c>
    </row>
    <row r="144" ht="36" customHeight="1" s="94">
      <c r="A144" s="132" t="inlineStr">
        <is>
          <t>SYS_ADMIN</t>
        </is>
      </c>
      <c r="B144" s="133" t="inlineStr">
        <is>
          <t>Quản trị hệ thống</t>
        </is>
      </c>
      <c r="C144" s="133" t="inlineStr">
        <is>
          <t>storage.payment.collect</t>
        </is>
      </c>
      <c r="D144" s="133" t="inlineStr">
        <is>
          <t>ALL</t>
        </is>
      </c>
      <c r="E144" s="133" t="inlineStr">
        <is>
          <t>Có</t>
        </is>
      </c>
      <c r="F144" s="133" t="inlineStr">
        <is>
          <t>Tài chính</t>
        </is>
      </c>
      <c r="G144" s="133" t="inlineStr">
        <is>
          <t>Q18</t>
        </is>
      </c>
      <c r="H144" s="133" t="inlineStr">
        <is>
          <t>Chỉ bật nếu phân hệ đang hoạt động; ràng buộc server/RLS + audit.</t>
        </is>
      </c>
    </row>
    <row r="145" ht="36" customHeight="1" s="94">
      <c r="A145" s="129" t="inlineStr">
        <is>
          <t>SEC_STAFF</t>
        </is>
      </c>
      <c r="B145" s="130" t="inlineStr">
        <is>
          <t>Nhân viên An ninh</t>
        </is>
      </c>
      <c r="C145" s="130" t="inlineStr">
        <is>
          <t>payment.bank_evidence.attach</t>
        </is>
      </c>
      <c r="D145" s="130" t="inlineStr">
        <is>
          <t>YARD</t>
        </is>
      </c>
      <c r="E145" s="130" t="inlineStr">
        <is>
          <t>Có</t>
        </is>
      </c>
      <c r="F145" s="130" t="inlineStr">
        <is>
          <t>Thông thường</t>
        </is>
      </c>
      <c r="G145" s="130" t="inlineStr">
        <is>
          <t>Q02,Q19,Q21</t>
        </is>
      </c>
      <c r="H145" s="130" t="inlineStr">
        <is>
          <t>Kiểm tra server theo dữ liệu thuộc phạm vi.</t>
        </is>
      </c>
    </row>
    <row r="146" ht="36" customHeight="1" s="94">
      <c r="A146" s="132" t="inlineStr">
        <is>
          <t>SEC_LEAD</t>
        </is>
      </c>
      <c r="B146" s="133" t="inlineStr">
        <is>
          <t>Trưởng bộ phận An ninh</t>
        </is>
      </c>
      <c r="C146" s="133" t="inlineStr">
        <is>
          <t>payment.bank_evidence.attach</t>
        </is>
      </c>
      <c r="D146" s="133" t="inlineStr">
        <is>
          <t>YARD</t>
        </is>
      </c>
      <c r="E146" s="133" t="inlineStr">
        <is>
          <t>Có</t>
        </is>
      </c>
      <c r="F146" s="133" t="inlineStr">
        <is>
          <t>Thông thường</t>
        </is>
      </c>
      <c r="G146" s="133" t="inlineStr">
        <is>
          <t>Q02,Q19,Q21</t>
        </is>
      </c>
      <c r="H146" s="133" t="inlineStr">
        <is>
          <t>Kiểm tra server theo dữ liệu thuộc phạm vi.</t>
        </is>
      </c>
    </row>
    <row r="147" ht="36" customHeight="1" s="94">
      <c r="A147" s="129" t="inlineStr">
        <is>
          <t>PORT_STAFF</t>
        </is>
      </c>
      <c r="B147" s="130" t="inlineStr">
        <is>
          <t>Nhân viên Cổng cảng kho bãi</t>
        </is>
      </c>
      <c r="C147" s="130" t="inlineStr">
        <is>
          <t>payment.bank_evidence.attach</t>
        </is>
      </c>
      <c r="D147" s="130" t="inlineStr">
        <is>
          <t>YARD</t>
        </is>
      </c>
      <c r="E147" s="130" t="inlineStr">
        <is>
          <t>Có</t>
        </is>
      </c>
      <c r="F147" s="130" t="inlineStr">
        <is>
          <t>Thông thường</t>
        </is>
      </c>
      <c r="G147" s="130" t="inlineStr">
        <is>
          <t>Q02,Q19,Q21</t>
        </is>
      </c>
      <c r="H147" s="130" t="inlineStr">
        <is>
          <t>Kiểm tra server theo dữ liệu thuộc phạm vi.</t>
        </is>
      </c>
    </row>
    <row r="148" ht="36" customHeight="1" s="94">
      <c r="A148" s="132" t="inlineStr">
        <is>
          <t>PORT_LEAD</t>
        </is>
      </c>
      <c r="B148" s="133" t="inlineStr">
        <is>
          <t>Trưởng bộ phận Cổng cảng kho bãi</t>
        </is>
      </c>
      <c r="C148" s="133" t="inlineStr">
        <is>
          <t>payment.bank_evidence.attach</t>
        </is>
      </c>
      <c r="D148" s="133" t="inlineStr">
        <is>
          <t>YARD</t>
        </is>
      </c>
      <c r="E148" s="133" t="inlineStr">
        <is>
          <t>Có</t>
        </is>
      </c>
      <c r="F148" s="133" t="inlineStr">
        <is>
          <t>Thông thường</t>
        </is>
      </c>
      <c r="G148" s="133" t="inlineStr">
        <is>
          <t>Q02,Q19,Q21</t>
        </is>
      </c>
      <c r="H148" s="133" t="inlineStr">
        <is>
          <t>Kiểm tra server theo dữ liệu thuộc phạm vi.</t>
        </is>
      </c>
    </row>
    <row r="149" ht="36" customHeight="1" s="94">
      <c r="A149" s="129" t="inlineStr">
        <is>
          <t>SYS_ADMIN</t>
        </is>
      </c>
      <c r="B149" s="130" t="inlineStr">
        <is>
          <t>Quản trị hệ thống</t>
        </is>
      </c>
      <c r="C149" s="130" t="inlineStr">
        <is>
          <t>payment.bank_evidence.attach</t>
        </is>
      </c>
      <c r="D149" s="130" t="inlineStr">
        <is>
          <t>ALL</t>
        </is>
      </c>
      <c r="E149" s="130" t="inlineStr">
        <is>
          <t>Có</t>
        </is>
      </c>
      <c r="F149" s="130" t="inlineStr">
        <is>
          <t>Thông thường</t>
        </is>
      </c>
      <c r="G149" s="130" t="inlineStr">
        <is>
          <t>Q02,Q19,Q21</t>
        </is>
      </c>
      <c r="H149" s="130" t="inlineStr">
        <is>
          <t>Kiểm tra server theo dữ liệu thuộc phạm vi.</t>
        </is>
      </c>
    </row>
    <row r="150" ht="36" customHeight="1" s="94">
      <c r="A150" s="132" t="inlineStr">
        <is>
          <t>SEC_LEAD</t>
        </is>
      </c>
      <c r="B150" s="133" t="inlineStr">
        <is>
          <t>Trưởng bộ phận An ninh</t>
        </is>
      </c>
      <c r="C150" s="133" t="inlineStr">
        <is>
          <t>payment.bank.reconcile</t>
        </is>
      </c>
      <c r="D150" s="133" t="inlineStr">
        <is>
          <t>DEPARTMENT</t>
        </is>
      </c>
      <c r="E150" s="133" t="inlineStr">
        <is>
          <t>Có</t>
        </is>
      </c>
      <c r="F150" s="133" t="inlineStr">
        <is>
          <t>Tài chính</t>
        </is>
      </c>
      <c r="G150" s="133" t="inlineStr">
        <is>
          <t>Q21</t>
        </is>
      </c>
      <c r="H150" s="133" t="inlineStr">
        <is>
          <t>Chỉ bật nếu phân hệ đang hoạt động; ràng buộc server/RLS + audit.</t>
        </is>
      </c>
    </row>
    <row r="151" ht="36" customHeight="1" s="94">
      <c r="A151" s="129" t="inlineStr">
        <is>
          <t>PORT_LEAD</t>
        </is>
      </c>
      <c r="B151" s="130" t="inlineStr">
        <is>
          <t>Trưởng bộ phận Cổng cảng kho bãi</t>
        </is>
      </c>
      <c r="C151" s="130" t="inlineStr">
        <is>
          <t>payment.bank.reconcile</t>
        </is>
      </c>
      <c r="D151" s="130" t="inlineStr">
        <is>
          <t>DEPARTMENT</t>
        </is>
      </c>
      <c r="E151" s="130" t="inlineStr">
        <is>
          <t>Có</t>
        </is>
      </c>
      <c r="F151" s="130" t="inlineStr">
        <is>
          <t>Tài chính</t>
        </is>
      </c>
      <c r="G151" s="130" t="inlineStr">
        <is>
          <t>Q21</t>
        </is>
      </c>
      <c r="H151" s="130" t="inlineStr">
        <is>
          <t>Chỉ bật nếu phân hệ đang hoạt động; ràng buộc server/RLS + audit.</t>
        </is>
      </c>
    </row>
    <row r="152" ht="36" customHeight="1" s="94">
      <c r="A152" s="132" t="inlineStr">
        <is>
          <t>SYS_ADMIN</t>
        </is>
      </c>
      <c r="B152" s="133" t="inlineStr">
        <is>
          <t>Quản trị hệ thống</t>
        </is>
      </c>
      <c r="C152" s="133" t="inlineStr">
        <is>
          <t>payment.bank.reconcile</t>
        </is>
      </c>
      <c r="D152" s="133" t="inlineStr">
        <is>
          <t>ALL</t>
        </is>
      </c>
      <c r="E152" s="133" t="inlineStr">
        <is>
          <t>Có</t>
        </is>
      </c>
      <c r="F152" s="133" t="inlineStr">
        <is>
          <t>Tài chính</t>
        </is>
      </c>
      <c r="G152" s="133" t="inlineStr">
        <is>
          <t>Q21</t>
        </is>
      </c>
      <c r="H152" s="133" t="inlineStr">
        <is>
          <t>Chỉ bật nếu phân hệ đang hoạt động; ràng buộc server/RLS + audit.</t>
        </is>
      </c>
    </row>
    <row r="153" ht="36" customHeight="1" s="94">
      <c r="A153" s="129" t="inlineStr">
        <is>
          <t>PORT_STAFF</t>
        </is>
      </c>
      <c r="B153" s="130" t="inlineStr">
        <is>
          <t>Nhân viên Cổng cảng kho bãi</t>
        </is>
      </c>
      <c r="C153" s="130" t="inlineStr">
        <is>
          <t>payment.post_correction.request</t>
        </is>
      </c>
      <c r="D153" s="130" t="inlineStr">
        <is>
          <t>YARD</t>
        </is>
      </c>
      <c r="E153" s="130" t="inlineStr">
        <is>
          <t>Có</t>
        </is>
      </c>
      <c r="F153" s="130" t="inlineStr">
        <is>
          <t>Tài chính</t>
        </is>
      </c>
      <c r="G153" s="130" t="inlineStr">
        <is>
          <t>Q38</t>
        </is>
      </c>
      <c r="H153" s="130" t="inlineStr">
        <is>
          <t>Chỉ bật nếu phân hệ đang hoạt động; ràng buộc server/RLS + audit.</t>
        </is>
      </c>
    </row>
    <row r="154" ht="36" customHeight="1" s="94">
      <c r="A154" s="132" t="inlineStr">
        <is>
          <t>PORT_LEAD</t>
        </is>
      </c>
      <c r="B154" s="133" t="inlineStr">
        <is>
          <t>Trưởng bộ phận Cổng cảng kho bãi</t>
        </is>
      </c>
      <c r="C154" s="133" t="inlineStr">
        <is>
          <t>payment.post_correction.request</t>
        </is>
      </c>
      <c r="D154" s="133" t="inlineStr">
        <is>
          <t>YARD</t>
        </is>
      </c>
      <c r="E154" s="133" t="inlineStr">
        <is>
          <t>Có</t>
        </is>
      </c>
      <c r="F154" s="133" t="inlineStr">
        <is>
          <t>Tài chính</t>
        </is>
      </c>
      <c r="G154" s="133" t="inlineStr">
        <is>
          <t>Q38</t>
        </is>
      </c>
      <c r="H154" s="133" t="inlineStr">
        <is>
          <t>Chỉ bật nếu phân hệ đang hoạt động; ràng buộc server/RLS + audit.</t>
        </is>
      </c>
    </row>
    <row r="155" ht="36" customHeight="1" s="94">
      <c r="A155" s="129" t="inlineStr">
        <is>
          <t>SEC_LEAD</t>
        </is>
      </c>
      <c r="B155" s="130" t="inlineStr">
        <is>
          <t>Trưởng bộ phận An ninh</t>
        </is>
      </c>
      <c r="C155" s="130" t="inlineStr">
        <is>
          <t>payment.post_correction.request</t>
        </is>
      </c>
      <c r="D155" s="130" t="inlineStr">
        <is>
          <t>YARD</t>
        </is>
      </c>
      <c r="E155" s="130" t="inlineStr">
        <is>
          <t>Có</t>
        </is>
      </c>
      <c r="F155" s="130" t="inlineStr">
        <is>
          <t>Tài chính</t>
        </is>
      </c>
      <c r="G155" s="130" t="inlineStr">
        <is>
          <t>Q38</t>
        </is>
      </c>
      <c r="H155" s="130" t="inlineStr">
        <is>
          <t>Chỉ bật nếu phân hệ đang hoạt động; ràng buộc server/RLS + audit.</t>
        </is>
      </c>
    </row>
    <row r="156" ht="36" customHeight="1" s="94">
      <c r="A156" s="132" t="inlineStr">
        <is>
          <t>SYS_ADMIN</t>
        </is>
      </c>
      <c r="B156" s="133" t="inlineStr">
        <is>
          <t>Quản trị hệ thống</t>
        </is>
      </c>
      <c r="C156" s="133" t="inlineStr">
        <is>
          <t>payment.post_correction.request</t>
        </is>
      </c>
      <c r="D156" s="133" t="inlineStr">
        <is>
          <t>ALL</t>
        </is>
      </c>
      <c r="E156" s="133" t="inlineStr">
        <is>
          <t>Có</t>
        </is>
      </c>
      <c r="F156" s="133" t="inlineStr">
        <is>
          <t>Tài chính</t>
        </is>
      </c>
      <c r="G156" s="133" t="inlineStr">
        <is>
          <t>Q38</t>
        </is>
      </c>
      <c r="H156" s="133" t="inlineStr">
        <is>
          <t>Chỉ bật nếu phân hệ đang hoạt động; ràng buộc server/RLS + audit.</t>
        </is>
      </c>
    </row>
    <row r="157" ht="36" customHeight="1" s="94">
      <c r="A157" s="129" t="inlineStr">
        <is>
          <t>PORT_LEAD</t>
        </is>
      </c>
      <c r="B157" s="130" t="inlineStr">
        <is>
          <t>Trưởng bộ phận Cổng cảng kho bãi</t>
        </is>
      </c>
      <c r="C157" s="130" t="inlineStr">
        <is>
          <t>payment.post_correction.approve</t>
        </is>
      </c>
      <c r="D157" s="130" t="inlineStr">
        <is>
          <t>DEPARTMENT</t>
        </is>
      </c>
      <c r="E157" s="130" t="inlineStr">
        <is>
          <t>Có</t>
        </is>
      </c>
      <c r="F157" s="130" t="inlineStr">
        <is>
          <t>Cao</t>
        </is>
      </c>
      <c r="G157" s="130" t="inlineStr">
        <is>
          <t>Q38</t>
        </is>
      </c>
      <c r="H157" s="130" t="inlineStr">
        <is>
          <t>Chỉ bật nếu phân hệ đang hoạt động; ràng buộc server/RLS + audit.</t>
        </is>
      </c>
    </row>
    <row r="158" ht="36" customHeight="1" s="94">
      <c r="A158" s="132" t="inlineStr">
        <is>
          <t>SYS_ADMIN</t>
        </is>
      </c>
      <c r="B158" s="133" t="inlineStr">
        <is>
          <t>Quản trị hệ thống</t>
        </is>
      </c>
      <c r="C158" s="133" t="inlineStr">
        <is>
          <t>payment.post_correction.approve</t>
        </is>
      </c>
      <c r="D158" s="133" t="inlineStr">
        <is>
          <t>ALL</t>
        </is>
      </c>
      <c r="E158" s="133" t="inlineStr">
        <is>
          <t>Có</t>
        </is>
      </c>
      <c r="F158" s="133" t="inlineStr">
        <is>
          <t>Cao</t>
        </is>
      </c>
      <c r="G158" s="133" t="inlineStr">
        <is>
          <t>Q38</t>
        </is>
      </c>
      <c r="H158" s="133" t="inlineStr">
        <is>
          <t>Chỉ bật nếu phân hệ đang hoạt động; ràng buộc server/RLS + audit.</t>
        </is>
      </c>
    </row>
    <row r="159" ht="36" customHeight="1" s="94">
      <c r="A159" s="129" t="inlineStr">
        <is>
          <t>SEC_STAFF</t>
        </is>
      </c>
      <c r="B159" s="130" t="inlineStr">
        <is>
          <t>Nhân viên An ninh</t>
        </is>
      </c>
      <c r="C159" s="130" t="inlineStr">
        <is>
          <t>exit.clearance.read</t>
        </is>
      </c>
      <c r="D159" s="130" t="inlineStr">
        <is>
          <t>YARD</t>
        </is>
      </c>
      <c r="E159" s="130" t="inlineStr">
        <is>
          <t>Có</t>
        </is>
      </c>
      <c r="F159" s="130" t="inlineStr">
        <is>
          <t>Thông thường</t>
        </is>
      </c>
      <c r="G159" s="130" t="inlineStr">
        <is>
          <t>Q24,Q25</t>
        </is>
      </c>
      <c r="H159" s="130" t="inlineStr">
        <is>
          <t>Kiểm tra server theo dữ liệu thuộc phạm vi.</t>
        </is>
      </c>
    </row>
    <row r="160" ht="36" customHeight="1" s="94">
      <c r="A160" s="132" t="inlineStr">
        <is>
          <t>SEC_LEAD</t>
        </is>
      </c>
      <c r="B160" s="133" t="inlineStr">
        <is>
          <t>Trưởng bộ phận An ninh</t>
        </is>
      </c>
      <c r="C160" s="133" t="inlineStr">
        <is>
          <t>exit.clearance.read</t>
        </is>
      </c>
      <c r="D160" s="133" t="inlineStr">
        <is>
          <t>YARD</t>
        </is>
      </c>
      <c r="E160" s="133" t="inlineStr">
        <is>
          <t>Có</t>
        </is>
      </c>
      <c r="F160" s="133" t="inlineStr">
        <is>
          <t>Thông thường</t>
        </is>
      </c>
      <c r="G160" s="133" t="inlineStr">
        <is>
          <t>Q24,Q25</t>
        </is>
      </c>
      <c r="H160" s="133" t="inlineStr">
        <is>
          <t>Kiểm tra server theo dữ liệu thuộc phạm vi.</t>
        </is>
      </c>
    </row>
    <row r="161" ht="36" customHeight="1" s="94">
      <c r="A161" s="129" t="inlineStr">
        <is>
          <t>PORT_STAFF</t>
        </is>
      </c>
      <c r="B161" s="130" t="inlineStr">
        <is>
          <t>Nhân viên Cổng cảng kho bãi</t>
        </is>
      </c>
      <c r="C161" s="130" t="inlineStr">
        <is>
          <t>exit.clearance.read</t>
        </is>
      </c>
      <c r="D161" s="130" t="inlineStr">
        <is>
          <t>YARD</t>
        </is>
      </c>
      <c r="E161" s="130" t="inlineStr">
        <is>
          <t>Có</t>
        </is>
      </c>
      <c r="F161" s="130" t="inlineStr">
        <is>
          <t>Thông thường</t>
        </is>
      </c>
      <c r="G161" s="130" t="inlineStr">
        <is>
          <t>Q24,Q25</t>
        </is>
      </c>
      <c r="H161" s="130" t="inlineStr">
        <is>
          <t>Kiểm tra server theo dữ liệu thuộc phạm vi.</t>
        </is>
      </c>
    </row>
    <row r="162" ht="36" customHeight="1" s="94">
      <c r="A162" s="132" t="inlineStr">
        <is>
          <t>PORT_LEAD</t>
        </is>
      </c>
      <c r="B162" s="133" t="inlineStr">
        <is>
          <t>Trưởng bộ phận Cổng cảng kho bãi</t>
        </is>
      </c>
      <c r="C162" s="133" t="inlineStr">
        <is>
          <t>exit.clearance.read</t>
        </is>
      </c>
      <c r="D162" s="133" t="inlineStr">
        <is>
          <t>YARD</t>
        </is>
      </c>
      <c r="E162" s="133" t="inlineStr">
        <is>
          <t>Có</t>
        </is>
      </c>
      <c r="F162" s="133" t="inlineStr">
        <is>
          <t>Thông thường</t>
        </is>
      </c>
      <c r="G162" s="133" t="inlineStr">
        <is>
          <t>Q24,Q25</t>
        </is>
      </c>
      <c r="H162" s="133" t="inlineStr">
        <is>
          <t>Kiểm tra server theo dữ liệu thuộc phạm vi.</t>
        </is>
      </c>
    </row>
    <row r="163" ht="36" customHeight="1" s="94">
      <c r="A163" s="129" t="inlineStr">
        <is>
          <t>DIS_STAFF</t>
        </is>
      </c>
      <c r="B163" s="130" t="inlineStr">
        <is>
          <t>Nhân viên Điều phối</t>
        </is>
      </c>
      <c r="C163" s="130" t="inlineStr">
        <is>
          <t>exit.clearance.read</t>
        </is>
      </c>
      <c r="D163" s="130" t="inlineStr">
        <is>
          <t>YARD</t>
        </is>
      </c>
      <c r="E163" s="130" t="inlineStr">
        <is>
          <t>Có</t>
        </is>
      </c>
      <c r="F163" s="130" t="inlineStr">
        <is>
          <t>Thông thường</t>
        </is>
      </c>
      <c r="G163" s="130" t="inlineStr">
        <is>
          <t>Q24,Q25</t>
        </is>
      </c>
      <c r="H163" s="130" t="inlineStr">
        <is>
          <t>Kiểm tra server theo dữ liệu thuộc phạm vi.</t>
        </is>
      </c>
    </row>
    <row r="164" ht="36" customHeight="1" s="94">
      <c r="A164" s="132" t="inlineStr">
        <is>
          <t>DIS_LEAD</t>
        </is>
      </c>
      <c r="B164" s="133" t="inlineStr">
        <is>
          <t>Trưởng bộ phận Điều phối</t>
        </is>
      </c>
      <c r="C164" s="133" t="inlineStr">
        <is>
          <t>exit.clearance.read</t>
        </is>
      </c>
      <c r="D164" s="133" t="inlineStr">
        <is>
          <t>YARD</t>
        </is>
      </c>
      <c r="E164" s="133" t="inlineStr">
        <is>
          <t>Có</t>
        </is>
      </c>
      <c r="F164" s="133" t="inlineStr">
        <is>
          <t>Thông thường</t>
        </is>
      </c>
      <c r="G164" s="133" t="inlineStr">
        <is>
          <t>Q24,Q25</t>
        </is>
      </c>
      <c r="H164" s="133" t="inlineStr">
        <is>
          <t>Kiểm tra server theo dữ liệu thuộc phạm vi.</t>
        </is>
      </c>
    </row>
    <row r="165" ht="36" customHeight="1" s="94">
      <c r="A165" s="129" t="inlineStr">
        <is>
          <t>SYS_ADMIN</t>
        </is>
      </c>
      <c r="B165" s="130" t="inlineStr">
        <is>
          <t>Quản trị hệ thống</t>
        </is>
      </c>
      <c r="C165" s="130" t="inlineStr">
        <is>
          <t>exit.clearance.read</t>
        </is>
      </c>
      <c r="D165" s="130" t="inlineStr">
        <is>
          <t>ALL</t>
        </is>
      </c>
      <c r="E165" s="130" t="inlineStr">
        <is>
          <t>Có</t>
        </is>
      </c>
      <c r="F165" s="130" t="inlineStr">
        <is>
          <t>Thông thường</t>
        </is>
      </c>
      <c r="G165" s="130" t="inlineStr">
        <is>
          <t>Q24,Q25</t>
        </is>
      </c>
      <c r="H165" s="130" t="inlineStr">
        <is>
          <t>Kiểm tra server theo dữ liệu thuộc phạm vi.</t>
        </is>
      </c>
    </row>
    <row r="166" ht="36" customHeight="1" s="94">
      <c r="A166" s="132" t="inlineStr">
        <is>
          <t>PORT_STAFF</t>
        </is>
      </c>
      <c r="B166" s="133" t="inlineStr">
        <is>
          <t>Nhân viên Cổng cảng kho bãi</t>
        </is>
      </c>
      <c r="C166" s="133" t="inlineStr">
        <is>
          <t>exit.clearance.issue</t>
        </is>
      </c>
      <c r="D166" s="133" t="inlineStr">
        <is>
          <t>YARD</t>
        </is>
      </c>
      <c r="E166" s="133" t="inlineStr">
        <is>
          <t>Có</t>
        </is>
      </c>
      <c r="F166" s="133" t="inlineStr">
        <is>
          <t>Cao</t>
        </is>
      </c>
      <c r="G166" s="133" t="inlineStr">
        <is>
          <t>Q24</t>
        </is>
      </c>
      <c r="H166" s="133" t="inlineStr">
        <is>
          <t>Chỉ bật nếu phân hệ đang hoạt động; ràng buộc server/RLS + audit.</t>
        </is>
      </c>
    </row>
    <row r="167" ht="36" customHeight="1" s="94">
      <c r="A167" s="129" t="inlineStr">
        <is>
          <t>PORT_LEAD</t>
        </is>
      </c>
      <c r="B167" s="130" t="inlineStr">
        <is>
          <t>Trưởng bộ phận Cổng cảng kho bãi</t>
        </is>
      </c>
      <c r="C167" s="130" t="inlineStr">
        <is>
          <t>exit.clearance.issue</t>
        </is>
      </c>
      <c r="D167" s="130" t="inlineStr">
        <is>
          <t>YARD</t>
        </is>
      </c>
      <c r="E167" s="130" t="inlineStr">
        <is>
          <t>Có</t>
        </is>
      </c>
      <c r="F167" s="130" t="inlineStr">
        <is>
          <t>Cao</t>
        </is>
      </c>
      <c r="G167" s="130" t="inlineStr">
        <is>
          <t>Q24</t>
        </is>
      </c>
      <c r="H167" s="130" t="inlineStr">
        <is>
          <t>Chỉ bật nếu phân hệ đang hoạt động; ràng buộc server/RLS + audit.</t>
        </is>
      </c>
    </row>
    <row r="168" ht="36" customHeight="1" s="94">
      <c r="A168" s="132" t="inlineStr">
        <is>
          <t>SYS_ADMIN</t>
        </is>
      </c>
      <c r="B168" s="133" t="inlineStr">
        <is>
          <t>Quản trị hệ thống</t>
        </is>
      </c>
      <c r="C168" s="133" t="inlineStr">
        <is>
          <t>exit.clearance.issue</t>
        </is>
      </c>
      <c r="D168" s="133" t="inlineStr">
        <is>
          <t>ALL</t>
        </is>
      </c>
      <c r="E168" s="133" t="inlineStr">
        <is>
          <t>Có</t>
        </is>
      </c>
      <c r="F168" s="133" t="inlineStr">
        <is>
          <t>Cao</t>
        </is>
      </c>
      <c r="G168" s="133" t="inlineStr">
        <is>
          <t>Q24</t>
        </is>
      </c>
      <c r="H168" s="133" t="inlineStr">
        <is>
          <t>Chỉ bật nếu phân hệ đang hoạt động; ràng buộc server/RLS + audit.</t>
        </is>
      </c>
    </row>
    <row r="169" ht="36" customHeight="1" s="94">
      <c r="A169" s="129" t="inlineStr">
        <is>
          <t>PORT_STAFF</t>
        </is>
      </c>
      <c r="B169" s="130" t="inlineStr">
        <is>
          <t>Nhân viên Cổng cảng kho bãi</t>
        </is>
      </c>
      <c r="C169" s="130" t="inlineStr">
        <is>
          <t>exit.clearance.debt_exception</t>
        </is>
      </c>
      <c r="D169" s="130" t="inlineStr">
        <is>
          <t>YARD</t>
        </is>
      </c>
      <c r="E169" s="130" t="inlineStr">
        <is>
          <t>Có</t>
        </is>
      </c>
      <c r="F169" s="130" t="inlineStr">
        <is>
          <t>Cao</t>
        </is>
      </c>
      <c r="G169" s="130" t="inlineStr">
        <is>
          <t>Q24</t>
        </is>
      </c>
      <c r="H169" s="130" t="inlineStr">
        <is>
          <t>Chỉ bật nếu phân hệ đang hoạt động; ràng buộc server/RLS + audit.</t>
        </is>
      </c>
    </row>
    <row r="170" ht="36" customHeight="1" s="94">
      <c r="A170" s="132" t="inlineStr">
        <is>
          <t>PORT_LEAD</t>
        </is>
      </c>
      <c r="B170" s="133" t="inlineStr">
        <is>
          <t>Trưởng bộ phận Cổng cảng kho bãi</t>
        </is>
      </c>
      <c r="C170" s="133" t="inlineStr">
        <is>
          <t>exit.clearance.debt_exception</t>
        </is>
      </c>
      <c r="D170" s="133" t="inlineStr">
        <is>
          <t>YARD</t>
        </is>
      </c>
      <c r="E170" s="133" t="inlineStr">
        <is>
          <t>Có</t>
        </is>
      </c>
      <c r="F170" s="133" t="inlineStr">
        <is>
          <t>Cao</t>
        </is>
      </c>
      <c r="G170" s="133" t="inlineStr">
        <is>
          <t>Q24</t>
        </is>
      </c>
      <c r="H170" s="133" t="inlineStr">
        <is>
          <t>Chỉ bật nếu phân hệ đang hoạt động; ràng buộc server/RLS + audit.</t>
        </is>
      </c>
    </row>
    <row r="171" ht="36" customHeight="1" s="94">
      <c r="A171" s="129" t="inlineStr">
        <is>
          <t>SYS_ADMIN</t>
        </is>
      </c>
      <c r="B171" s="130" t="inlineStr">
        <is>
          <t>Quản trị hệ thống</t>
        </is>
      </c>
      <c r="C171" s="130" t="inlineStr">
        <is>
          <t>exit.clearance.debt_exception</t>
        </is>
      </c>
      <c r="D171" s="130" t="inlineStr">
        <is>
          <t>ALL</t>
        </is>
      </c>
      <c r="E171" s="130" t="inlineStr">
        <is>
          <t>Có</t>
        </is>
      </c>
      <c r="F171" s="130" t="inlineStr">
        <is>
          <t>Cao</t>
        </is>
      </c>
      <c r="G171" s="130" t="inlineStr">
        <is>
          <t>Q24</t>
        </is>
      </c>
      <c r="H171" s="130" t="inlineStr">
        <is>
          <t>Chỉ bật nếu phân hệ đang hoạt động; ràng buộc server/RLS + audit.</t>
        </is>
      </c>
    </row>
    <row r="172" ht="36" customHeight="1" s="94">
      <c r="A172" s="132" t="inlineStr">
        <is>
          <t>PORT_STAFF</t>
        </is>
      </c>
      <c r="B172" s="133" t="inlineStr">
        <is>
          <t>Nhân viên Cổng cảng kho bãi</t>
        </is>
      </c>
      <c r="C172" s="133" t="inlineStr">
        <is>
          <t>exit.clearance.revoke.request</t>
        </is>
      </c>
      <c r="D172" s="133" t="inlineStr">
        <is>
          <t>YARD</t>
        </is>
      </c>
      <c r="E172" s="133" t="inlineStr">
        <is>
          <t>Có</t>
        </is>
      </c>
      <c r="F172" s="133" t="inlineStr">
        <is>
          <t>Nhạy cảm</t>
        </is>
      </c>
      <c r="G172" s="133" t="inlineStr">
        <is>
          <t>Q26</t>
        </is>
      </c>
      <c r="H172" s="133" t="inlineStr">
        <is>
          <t>Kiểm tra server theo dữ liệu thuộc phạm vi.</t>
        </is>
      </c>
    </row>
    <row r="173" ht="36" customHeight="1" s="94">
      <c r="A173" s="129" t="inlineStr">
        <is>
          <t>PORT_LEAD</t>
        </is>
      </c>
      <c r="B173" s="130" t="inlineStr">
        <is>
          <t>Trưởng bộ phận Cổng cảng kho bãi</t>
        </is>
      </c>
      <c r="C173" s="130" t="inlineStr">
        <is>
          <t>exit.clearance.revoke.request</t>
        </is>
      </c>
      <c r="D173" s="130" t="inlineStr">
        <is>
          <t>YARD</t>
        </is>
      </c>
      <c r="E173" s="130" t="inlineStr">
        <is>
          <t>Có</t>
        </is>
      </c>
      <c r="F173" s="130" t="inlineStr">
        <is>
          <t>Nhạy cảm</t>
        </is>
      </c>
      <c r="G173" s="130" t="inlineStr">
        <is>
          <t>Q26</t>
        </is>
      </c>
      <c r="H173" s="130" t="inlineStr">
        <is>
          <t>Kiểm tra server theo dữ liệu thuộc phạm vi.</t>
        </is>
      </c>
    </row>
    <row r="174" ht="36" customHeight="1" s="94">
      <c r="A174" s="132" t="inlineStr">
        <is>
          <t>SYS_ADMIN</t>
        </is>
      </c>
      <c r="B174" s="133" t="inlineStr">
        <is>
          <t>Quản trị hệ thống</t>
        </is>
      </c>
      <c r="C174" s="133" t="inlineStr">
        <is>
          <t>exit.clearance.revoke.request</t>
        </is>
      </c>
      <c r="D174" s="133" t="inlineStr">
        <is>
          <t>ALL</t>
        </is>
      </c>
      <c r="E174" s="133" t="inlineStr">
        <is>
          <t>Có</t>
        </is>
      </c>
      <c r="F174" s="133" t="inlineStr">
        <is>
          <t>Nhạy cảm</t>
        </is>
      </c>
      <c r="G174" s="133" t="inlineStr">
        <is>
          <t>Q26</t>
        </is>
      </c>
      <c r="H174" s="133" t="inlineStr">
        <is>
          <t>Kiểm tra server theo dữ liệu thuộc phạm vi.</t>
        </is>
      </c>
    </row>
    <row r="175" ht="36" customHeight="1" s="94">
      <c r="A175" s="129" t="inlineStr">
        <is>
          <t>PORT_LEAD</t>
        </is>
      </c>
      <c r="B175" s="130" t="inlineStr">
        <is>
          <t>Trưởng bộ phận Cổng cảng kho bãi</t>
        </is>
      </c>
      <c r="C175" s="130" t="inlineStr">
        <is>
          <t>exit.clearance.revoke.approve</t>
        </is>
      </c>
      <c r="D175" s="130" t="inlineStr">
        <is>
          <t>DEPARTMENT</t>
        </is>
      </c>
      <c r="E175" s="130" t="inlineStr">
        <is>
          <t>Có</t>
        </is>
      </c>
      <c r="F175" s="130" t="inlineStr">
        <is>
          <t>Cao</t>
        </is>
      </c>
      <c r="G175" s="130" t="inlineStr">
        <is>
          <t>Q26</t>
        </is>
      </c>
      <c r="H175" s="130" t="inlineStr">
        <is>
          <t>Chỉ bật nếu phân hệ đang hoạt động; ràng buộc server/RLS + audit.</t>
        </is>
      </c>
    </row>
    <row r="176" ht="36" customHeight="1" s="94">
      <c r="A176" s="132" t="inlineStr">
        <is>
          <t>SYS_ADMIN</t>
        </is>
      </c>
      <c r="B176" s="133" t="inlineStr">
        <is>
          <t>Quản trị hệ thống</t>
        </is>
      </c>
      <c r="C176" s="133" t="inlineStr">
        <is>
          <t>exit.clearance.revoke.approve</t>
        </is>
      </c>
      <c r="D176" s="133" t="inlineStr">
        <is>
          <t>ALL</t>
        </is>
      </c>
      <c r="E176" s="133" t="inlineStr">
        <is>
          <t>Có</t>
        </is>
      </c>
      <c r="F176" s="133" t="inlineStr">
        <is>
          <t>Cao</t>
        </is>
      </c>
      <c r="G176" s="133" t="inlineStr">
        <is>
          <t>Q26</t>
        </is>
      </c>
      <c r="H176" s="133" t="inlineStr">
        <is>
          <t>Chỉ bật nếu phân hệ đang hoạt động; ràng buộc server/RLS + audit.</t>
        </is>
      </c>
    </row>
    <row r="177" ht="36" customHeight="1" s="94">
      <c r="A177" s="129" t="inlineStr">
        <is>
          <t>SEC_STAFF</t>
        </is>
      </c>
      <c r="B177" s="130" t="inlineStr">
        <is>
          <t>Nhân viên An ninh</t>
        </is>
      </c>
      <c r="C177" s="130" t="inlineStr">
        <is>
          <t>exit.actual.confirm</t>
        </is>
      </c>
      <c r="D177" s="130" t="inlineStr">
        <is>
          <t>YARD</t>
        </is>
      </c>
      <c r="E177" s="130" t="inlineStr">
        <is>
          <t>Có</t>
        </is>
      </c>
      <c r="F177" s="130" t="inlineStr">
        <is>
          <t>Cao</t>
        </is>
      </c>
      <c r="G177" s="130" t="inlineStr">
        <is>
          <t>Q25</t>
        </is>
      </c>
      <c r="H177" s="130" t="inlineStr">
        <is>
          <t>Chỉ bật nếu phân hệ đang hoạt động; ràng buộc server/RLS + audit.</t>
        </is>
      </c>
    </row>
    <row r="178" ht="36" customHeight="1" s="94">
      <c r="A178" s="132" t="inlineStr">
        <is>
          <t>SEC_LEAD</t>
        </is>
      </c>
      <c r="B178" s="133" t="inlineStr">
        <is>
          <t>Trưởng bộ phận An ninh</t>
        </is>
      </c>
      <c r="C178" s="133" t="inlineStr">
        <is>
          <t>exit.actual.confirm</t>
        </is>
      </c>
      <c r="D178" s="133" t="inlineStr">
        <is>
          <t>YARD</t>
        </is>
      </c>
      <c r="E178" s="133" t="inlineStr">
        <is>
          <t>Có</t>
        </is>
      </c>
      <c r="F178" s="133" t="inlineStr">
        <is>
          <t>Cao</t>
        </is>
      </c>
      <c r="G178" s="133" t="inlineStr">
        <is>
          <t>Q25</t>
        </is>
      </c>
      <c r="H178" s="133" t="inlineStr">
        <is>
          <t>Chỉ bật nếu phân hệ đang hoạt động; ràng buộc server/RLS + audit.</t>
        </is>
      </c>
    </row>
    <row r="179" ht="36" customHeight="1" s="94">
      <c r="A179" s="129" t="inlineStr">
        <is>
          <t>SYS_ADMIN</t>
        </is>
      </c>
      <c r="B179" s="130" t="inlineStr">
        <is>
          <t>Quản trị hệ thống</t>
        </is>
      </c>
      <c r="C179" s="130" t="inlineStr">
        <is>
          <t>exit.actual.confirm</t>
        </is>
      </c>
      <c r="D179" s="130" t="inlineStr">
        <is>
          <t>ALL</t>
        </is>
      </c>
      <c r="E179" s="130" t="inlineStr">
        <is>
          <t>Có</t>
        </is>
      </c>
      <c r="F179" s="130" t="inlineStr">
        <is>
          <t>Cao</t>
        </is>
      </c>
      <c r="G179" s="130" t="inlineStr">
        <is>
          <t>Q25</t>
        </is>
      </c>
      <c r="H179" s="130" t="inlineStr">
        <is>
          <t>Chỉ bật nếu phân hệ đang hoạt động; ràng buộc server/RLS + audit.</t>
        </is>
      </c>
    </row>
    <row r="180" ht="36" customHeight="1" s="94">
      <c r="A180" s="132" t="inlineStr">
        <is>
          <t>PORT_STAFF</t>
        </is>
      </c>
      <c r="B180" s="133" t="inlineStr">
        <is>
          <t>Nhân viên Cổng cảng kho bãi</t>
        </is>
      </c>
      <c r="C180" s="133" t="inlineStr">
        <is>
          <t>exit.reefer_state.exception</t>
        </is>
      </c>
      <c r="D180" s="133" t="inlineStr">
        <is>
          <t>YARD</t>
        </is>
      </c>
      <c r="E180" s="133" t="inlineStr">
        <is>
          <t>Có</t>
        </is>
      </c>
      <c r="F180" s="133" t="inlineStr">
        <is>
          <t>Cao</t>
        </is>
      </c>
      <c r="G180" s="133" t="inlineStr">
        <is>
          <t>Q24</t>
        </is>
      </c>
      <c r="H180" s="133" t="inlineStr">
        <is>
          <t>Chỉ bật nếu phân hệ đang hoạt động; ràng buộc server/RLS + audit.</t>
        </is>
      </c>
    </row>
    <row r="181" ht="36" customHeight="1" s="94">
      <c r="A181" s="129" t="inlineStr">
        <is>
          <t>PORT_LEAD</t>
        </is>
      </c>
      <c r="B181" s="130" t="inlineStr">
        <is>
          <t>Trưởng bộ phận Cổng cảng kho bãi</t>
        </is>
      </c>
      <c r="C181" s="130" t="inlineStr">
        <is>
          <t>exit.reefer_state.exception</t>
        </is>
      </c>
      <c r="D181" s="130" t="inlineStr">
        <is>
          <t>YARD</t>
        </is>
      </c>
      <c r="E181" s="130" t="inlineStr">
        <is>
          <t>Có</t>
        </is>
      </c>
      <c r="F181" s="130" t="inlineStr">
        <is>
          <t>Cao</t>
        </is>
      </c>
      <c r="G181" s="130" t="inlineStr">
        <is>
          <t>Q24</t>
        </is>
      </c>
      <c r="H181" s="130" t="inlineStr">
        <is>
          <t>Chỉ bật nếu phân hệ đang hoạt động; ràng buộc server/RLS + audit.</t>
        </is>
      </c>
    </row>
    <row r="182" ht="36" customHeight="1" s="94">
      <c r="A182" s="132" t="inlineStr">
        <is>
          <t>SYS_ADMIN</t>
        </is>
      </c>
      <c r="B182" s="133" t="inlineStr">
        <is>
          <t>Quản trị hệ thống</t>
        </is>
      </c>
      <c r="C182" s="133" t="inlineStr">
        <is>
          <t>exit.reefer_state.exception</t>
        </is>
      </c>
      <c r="D182" s="133" t="inlineStr">
        <is>
          <t>ALL</t>
        </is>
      </c>
      <c r="E182" s="133" t="inlineStr">
        <is>
          <t>Có</t>
        </is>
      </c>
      <c r="F182" s="133" t="inlineStr">
        <is>
          <t>Cao</t>
        </is>
      </c>
      <c r="G182" s="133" t="inlineStr">
        <is>
          <t>Q24</t>
        </is>
      </c>
      <c r="H182" s="133" t="inlineStr">
        <is>
          <t>Chỉ bật nếu phân hệ đang hoạt động; ràng buộc server/RLS + audit.</t>
        </is>
      </c>
    </row>
    <row r="183" ht="36" customHeight="1" s="94">
      <c r="A183" s="129" t="inlineStr">
        <is>
          <t>SEC_STAFF</t>
        </is>
      </c>
      <c r="B183" s="130" t="inlineStr">
        <is>
          <t>Nhân viên An ninh</t>
        </is>
      </c>
      <c r="C183" s="130" t="inlineStr">
        <is>
          <t>report.revenue.read</t>
        </is>
      </c>
      <c r="D183" s="130" t="inlineStr">
        <is>
          <t>SELF</t>
        </is>
      </c>
      <c r="E183" s="130" t="inlineStr">
        <is>
          <t>Có</t>
        </is>
      </c>
      <c r="F183" s="130" t="inlineStr">
        <is>
          <t>Tài chính</t>
        </is>
      </c>
      <c r="G183" s="130" t="inlineStr">
        <is>
          <t>Q29</t>
        </is>
      </c>
      <c r="H183" s="130" t="inlineStr">
        <is>
          <t>Chỉ bật nếu phân hệ đang hoạt động; ràng buộc server/RLS + audit.</t>
        </is>
      </c>
    </row>
    <row r="184" ht="36" customHeight="1" s="94">
      <c r="A184" s="132" t="inlineStr">
        <is>
          <t>SEC_LEAD</t>
        </is>
      </c>
      <c r="B184" s="133" t="inlineStr">
        <is>
          <t>Trưởng bộ phận An ninh</t>
        </is>
      </c>
      <c r="C184" s="133" t="inlineStr">
        <is>
          <t>report.revenue.read</t>
        </is>
      </c>
      <c r="D184" s="133" t="inlineStr">
        <is>
          <t>DEPARTMENT</t>
        </is>
      </c>
      <c r="E184" s="133" t="inlineStr">
        <is>
          <t>Có</t>
        </is>
      </c>
      <c r="F184" s="133" t="inlineStr">
        <is>
          <t>Tài chính</t>
        </is>
      </c>
      <c r="G184" s="133" t="inlineStr">
        <is>
          <t>Q29</t>
        </is>
      </c>
      <c r="H184" s="133" t="inlineStr">
        <is>
          <t>Chỉ bật nếu phân hệ đang hoạt động; ràng buộc server/RLS + audit.</t>
        </is>
      </c>
    </row>
    <row r="185" ht="36" customHeight="1" s="94">
      <c r="A185" s="129" t="inlineStr">
        <is>
          <t>PORT_STAFF</t>
        </is>
      </c>
      <c r="B185" s="130" t="inlineStr">
        <is>
          <t>Nhân viên Cổng cảng kho bãi</t>
        </is>
      </c>
      <c r="C185" s="130" t="inlineStr">
        <is>
          <t>report.revenue.read</t>
        </is>
      </c>
      <c r="D185" s="130" t="inlineStr">
        <is>
          <t>SELF</t>
        </is>
      </c>
      <c r="E185" s="130" t="inlineStr">
        <is>
          <t>Có</t>
        </is>
      </c>
      <c r="F185" s="130" t="inlineStr">
        <is>
          <t>Tài chính</t>
        </is>
      </c>
      <c r="G185" s="130" t="inlineStr">
        <is>
          <t>Q29</t>
        </is>
      </c>
      <c r="H185" s="130" t="inlineStr">
        <is>
          <t>Chỉ bật nếu phân hệ đang hoạt động; ràng buộc server/RLS + audit.</t>
        </is>
      </c>
    </row>
    <row r="186" ht="36" customHeight="1" s="94">
      <c r="A186" s="132" t="inlineStr">
        <is>
          <t>PORT_LEAD</t>
        </is>
      </c>
      <c r="B186" s="133" t="inlineStr">
        <is>
          <t>Trưởng bộ phận Cổng cảng kho bãi</t>
        </is>
      </c>
      <c r="C186" s="133" t="inlineStr">
        <is>
          <t>report.revenue.read</t>
        </is>
      </c>
      <c r="D186" s="133" t="inlineStr">
        <is>
          <t>DEPARTMENT</t>
        </is>
      </c>
      <c r="E186" s="133" t="inlineStr">
        <is>
          <t>Có</t>
        </is>
      </c>
      <c r="F186" s="133" t="inlineStr">
        <is>
          <t>Tài chính</t>
        </is>
      </c>
      <c r="G186" s="133" t="inlineStr">
        <is>
          <t>Q29</t>
        </is>
      </c>
      <c r="H186" s="133" t="inlineStr">
        <is>
          <t>Chỉ bật nếu phân hệ đang hoạt động; ràng buộc server/RLS + audit.</t>
        </is>
      </c>
    </row>
    <row r="187" ht="36" customHeight="1" s="94">
      <c r="A187" s="129" t="inlineStr">
        <is>
          <t>SYS_ADMIN</t>
        </is>
      </c>
      <c r="B187" s="130" t="inlineStr">
        <is>
          <t>Quản trị hệ thống</t>
        </is>
      </c>
      <c r="C187" s="130" t="inlineStr">
        <is>
          <t>report.revenue.read</t>
        </is>
      </c>
      <c r="D187" s="130" t="inlineStr">
        <is>
          <t>ALL</t>
        </is>
      </c>
      <c r="E187" s="130" t="inlineStr">
        <is>
          <t>Có</t>
        </is>
      </c>
      <c r="F187" s="130" t="inlineStr">
        <is>
          <t>Tài chính</t>
        </is>
      </c>
      <c r="G187" s="130" t="inlineStr">
        <is>
          <t>Q29</t>
        </is>
      </c>
      <c r="H187" s="130" t="inlineStr">
        <is>
          <t>Chỉ bật nếu phân hệ đang hoạt động; ràng buộc server/RLS + audit.</t>
        </is>
      </c>
    </row>
    <row r="188" ht="36" customHeight="1" s="94">
      <c r="A188" s="132" t="inlineStr">
        <is>
          <t>SEC_LEAD</t>
        </is>
      </c>
      <c r="B188" s="133" t="inlineStr">
        <is>
          <t>Trưởng bộ phận An ninh</t>
        </is>
      </c>
      <c r="C188" s="133" t="inlineStr">
        <is>
          <t>report.revenue.export</t>
        </is>
      </c>
      <c r="D188" s="133" t="inlineStr">
        <is>
          <t>DEPARTMENT</t>
        </is>
      </c>
      <c r="E188" s="133" t="inlineStr">
        <is>
          <t>Có</t>
        </is>
      </c>
      <c r="F188" s="133" t="inlineStr">
        <is>
          <t>Tài chính</t>
        </is>
      </c>
      <c r="G188" s="133" t="inlineStr">
        <is>
          <t>Q30</t>
        </is>
      </c>
      <c r="H188" s="133" t="inlineStr">
        <is>
          <t>Chỉ bật nếu phân hệ đang hoạt động; ràng buộc server/RLS + audit.</t>
        </is>
      </c>
    </row>
    <row r="189" ht="36" customHeight="1" s="94">
      <c r="A189" s="129" t="inlineStr">
        <is>
          <t>PORT_LEAD</t>
        </is>
      </c>
      <c r="B189" s="130" t="inlineStr">
        <is>
          <t>Trưởng bộ phận Cổng cảng kho bãi</t>
        </is>
      </c>
      <c r="C189" s="130" t="inlineStr">
        <is>
          <t>report.revenue.export</t>
        </is>
      </c>
      <c r="D189" s="130" t="inlineStr">
        <is>
          <t>DEPARTMENT</t>
        </is>
      </c>
      <c r="E189" s="130" t="inlineStr">
        <is>
          <t>Có</t>
        </is>
      </c>
      <c r="F189" s="130" t="inlineStr">
        <is>
          <t>Tài chính</t>
        </is>
      </c>
      <c r="G189" s="130" t="inlineStr">
        <is>
          <t>Q30</t>
        </is>
      </c>
      <c r="H189" s="130" t="inlineStr">
        <is>
          <t>Chỉ bật nếu phân hệ đang hoạt động; ràng buộc server/RLS + audit.</t>
        </is>
      </c>
    </row>
    <row r="190" ht="36" customHeight="1" s="94">
      <c r="A190" s="132" t="inlineStr">
        <is>
          <t>SYS_ADMIN</t>
        </is>
      </c>
      <c r="B190" s="133" t="inlineStr">
        <is>
          <t>Quản trị hệ thống</t>
        </is>
      </c>
      <c r="C190" s="133" t="inlineStr">
        <is>
          <t>report.revenue.export</t>
        </is>
      </c>
      <c r="D190" s="133" t="inlineStr">
        <is>
          <t>ALL</t>
        </is>
      </c>
      <c r="E190" s="133" t="inlineStr">
        <is>
          <t>Có</t>
        </is>
      </c>
      <c r="F190" s="133" t="inlineStr">
        <is>
          <t>Tài chính</t>
        </is>
      </c>
      <c r="G190" s="133" t="inlineStr">
        <is>
          <t>Q30</t>
        </is>
      </c>
      <c r="H190" s="133" t="inlineStr">
        <is>
          <t>Chỉ bật nếu phân hệ đang hoạt động; ràng buộc server/RLS + audit.</t>
        </is>
      </c>
    </row>
    <row r="191" ht="36" customHeight="1" s="94">
      <c r="A191" s="129" t="inlineStr">
        <is>
          <t>SEC_LEAD</t>
        </is>
      </c>
      <c r="B191" s="130" t="inlineStr">
        <is>
          <t>Trưởng bộ phận An ninh</t>
        </is>
      </c>
      <c r="C191" s="130" t="inlineStr">
        <is>
          <t>audit.read</t>
        </is>
      </c>
      <c r="D191" s="130" t="inlineStr">
        <is>
          <t>DEPARTMENT</t>
        </is>
      </c>
      <c r="E191" s="130" t="inlineStr">
        <is>
          <t>Có</t>
        </is>
      </c>
      <c r="F191" s="130" t="inlineStr">
        <is>
          <t>Thông thường</t>
        </is>
      </c>
      <c r="G191" s="130" t="inlineStr">
        <is>
          <t>Q28</t>
        </is>
      </c>
      <c r="H191" s="130" t="inlineStr">
        <is>
          <t>Kiểm tra server theo dữ liệu thuộc phạm vi.</t>
        </is>
      </c>
    </row>
    <row r="192" ht="36" customHeight="1" s="94">
      <c r="A192" s="132" t="inlineStr">
        <is>
          <t>PORT_LEAD</t>
        </is>
      </c>
      <c r="B192" s="133" t="inlineStr">
        <is>
          <t>Trưởng bộ phận Cổng cảng kho bãi</t>
        </is>
      </c>
      <c r="C192" s="133" t="inlineStr">
        <is>
          <t>audit.read</t>
        </is>
      </c>
      <c r="D192" s="133" t="inlineStr">
        <is>
          <t>DEPARTMENT</t>
        </is>
      </c>
      <c r="E192" s="133" t="inlineStr">
        <is>
          <t>Có</t>
        </is>
      </c>
      <c r="F192" s="133" t="inlineStr">
        <is>
          <t>Thông thường</t>
        </is>
      </c>
      <c r="G192" s="133" t="inlineStr">
        <is>
          <t>Q28</t>
        </is>
      </c>
      <c r="H192" s="133" t="inlineStr">
        <is>
          <t>Kiểm tra server theo dữ liệu thuộc phạm vi.</t>
        </is>
      </c>
    </row>
    <row r="193" ht="36" customHeight="1" s="94">
      <c r="A193" s="129" t="inlineStr">
        <is>
          <t>DIS_LEAD</t>
        </is>
      </c>
      <c r="B193" s="130" t="inlineStr">
        <is>
          <t>Trưởng bộ phận Điều phối</t>
        </is>
      </c>
      <c r="C193" s="130" t="inlineStr">
        <is>
          <t>audit.read</t>
        </is>
      </c>
      <c r="D193" s="130" t="inlineStr">
        <is>
          <t>DEPARTMENT</t>
        </is>
      </c>
      <c r="E193" s="130" t="inlineStr">
        <is>
          <t>Có</t>
        </is>
      </c>
      <c r="F193" s="130" t="inlineStr">
        <is>
          <t>Thông thường</t>
        </is>
      </c>
      <c r="G193" s="130" t="inlineStr">
        <is>
          <t>Q28</t>
        </is>
      </c>
      <c r="H193" s="130" t="inlineStr">
        <is>
          <t>Kiểm tra server theo dữ liệu thuộc phạm vi.</t>
        </is>
      </c>
    </row>
    <row r="194" ht="36" customHeight="1" s="94">
      <c r="A194" s="132" t="inlineStr">
        <is>
          <t>SYS_ADMIN</t>
        </is>
      </c>
      <c r="B194" s="133" t="inlineStr">
        <is>
          <t>Quản trị hệ thống</t>
        </is>
      </c>
      <c r="C194" s="133" t="inlineStr">
        <is>
          <t>audit.read</t>
        </is>
      </c>
      <c r="D194" s="133" t="inlineStr">
        <is>
          <t>ALL</t>
        </is>
      </c>
      <c r="E194" s="133" t="inlineStr">
        <is>
          <t>Có</t>
        </is>
      </c>
      <c r="F194" s="133" t="inlineStr">
        <is>
          <t>Thông thường</t>
        </is>
      </c>
      <c r="G194" s="133" t="inlineStr">
        <is>
          <t>Q28</t>
        </is>
      </c>
      <c r="H194" s="133" t="inlineStr">
        <is>
          <t>Kiểm tra server theo dữ liệu thuộc phạm vi.</t>
        </is>
      </c>
    </row>
    <row r="195" ht="36" customHeight="1" s="94">
      <c r="A195" s="129" t="inlineStr">
        <is>
          <t>SYS_ADMIN</t>
        </is>
      </c>
      <c r="B195" s="130" t="inlineStr">
        <is>
          <t>Quản trị hệ thống</t>
        </is>
      </c>
      <c r="C195" s="130" t="inlineStr">
        <is>
          <t>audit.export_all</t>
        </is>
      </c>
      <c r="D195" s="130" t="inlineStr">
        <is>
          <t>ALL</t>
        </is>
      </c>
      <c r="E195" s="130" t="inlineStr">
        <is>
          <t>Có</t>
        </is>
      </c>
      <c r="F195" s="130" t="inlineStr">
        <is>
          <t>Cao</t>
        </is>
      </c>
      <c r="G195" s="130" t="inlineStr">
        <is>
          <t>Q30</t>
        </is>
      </c>
      <c r="H195" s="130" t="inlineStr">
        <is>
          <t>Chỉ bật nếu phân hệ đang hoạt động; ràng buộc server/RLS + audit.</t>
        </is>
      </c>
    </row>
    <row r="196" ht="36" customHeight="1" s="94">
      <c r="A196" s="132" t="inlineStr">
        <is>
          <t>SEC_STAFF</t>
        </is>
      </c>
      <c r="B196" s="133" t="inlineStr">
        <is>
          <t>Nhân viên An ninh</t>
        </is>
      </c>
      <c r="C196" s="133" t="inlineStr">
        <is>
          <t>tariff.read</t>
        </is>
      </c>
      <c r="D196" s="133" t="inlineStr">
        <is>
          <t>YARD</t>
        </is>
      </c>
      <c r="E196" s="133" t="inlineStr">
        <is>
          <t>Có</t>
        </is>
      </c>
      <c r="F196" s="133" t="inlineStr">
        <is>
          <t>Thông thường</t>
        </is>
      </c>
      <c r="G196" s="133" t="inlineStr">
        <is>
          <t>Q17</t>
        </is>
      </c>
      <c r="H196" s="133" t="inlineStr">
        <is>
          <t>Kiểm tra server theo dữ liệu thuộc phạm vi.</t>
        </is>
      </c>
    </row>
    <row r="197" ht="36" customHeight="1" s="94">
      <c r="A197" s="129" t="inlineStr">
        <is>
          <t>SEC_LEAD</t>
        </is>
      </c>
      <c r="B197" s="130" t="inlineStr">
        <is>
          <t>Trưởng bộ phận An ninh</t>
        </is>
      </c>
      <c r="C197" s="130" t="inlineStr">
        <is>
          <t>tariff.read</t>
        </is>
      </c>
      <c r="D197" s="130" t="inlineStr">
        <is>
          <t>YARD</t>
        </is>
      </c>
      <c r="E197" s="130" t="inlineStr">
        <is>
          <t>Có</t>
        </is>
      </c>
      <c r="F197" s="130" t="inlineStr">
        <is>
          <t>Thông thường</t>
        </is>
      </c>
      <c r="G197" s="130" t="inlineStr">
        <is>
          <t>Q17</t>
        </is>
      </c>
      <c r="H197" s="130" t="inlineStr">
        <is>
          <t>Kiểm tra server theo dữ liệu thuộc phạm vi.</t>
        </is>
      </c>
    </row>
    <row r="198" ht="36" customHeight="1" s="94">
      <c r="A198" s="132" t="inlineStr">
        <is>
          <t>PORT_STAFF</t>
        </is>
      </c>
      <c r="B198" s="133" t="inlineStr">
        <is>
          <t>Nhân viên Cổng cảng kho bãi</t>
        </is>
      </c>
      <c r="C198" s="133" t="inlineStr">
        <is>
          <t>tariff.read</t>
        </is>
      </c>
      <c r="D198" s="133" t="inlineStr">
        <is>
          <t>YARD</t>
        </is>
      </c>
      <c r="E198" s="133" t="inlineStr">
        <is>
          <t>Có</t>
        </is>
      </c>
      <c r="F198" s="133" t="inlineStr">
        <is>
          <t>Thông thường</t>
        </is>
      </c>
      <c r="G198" s="133" t="inlineStr">
        <is>
          <t>Q17</t>
        </is>
      </c>
      <c r="H198" s="133" t="inlineStr">
        <is>
          <t>Kiểm tra server theo dữ liệu thuộc phạm vi.</t>
        </is>
      </c>
    </row>
    <row r="199" ht="36" customHeight="1" s="94">
      <c r="A199" s="129" t="inlineStr">
        <is>
          <t>PORT_LEAD</t>
        </is>
      </c>
      <c r="B199" s="130" t="inlineStr">
        <is>
          <t>Trưởng bộ phận Cổng cảng kho bãi</t>
        </is>
      </c>
      <c r="C199" s="130" t="inlineStr">
        <is>
          <t>tariff.read</t>
        </is>
      </c>
      <c r="D199" s="130" t="inlineStr">
        <is>
          <t>YARD</t>
        </is>
      </c>
      <c r="E199" s="130" t="inlineStr">
        <is>
          <t>Có</t>
        </is>
      </c>
      <c r="F199" s="130" t="inlineStr">
        <is>
          <t>Thông thường</t>
        </is>
      </c>
      <c r="G199" s="130" t="inlineStr">
        <is>
          <t>Q17</t>
        </is>
      </c>
      <c r="H199" s="130" t="inlineStr">
        <is>
          <t>Kiểm tra server theo dữ liệu thuộc phạm vi.</t>
        </is>
      </c>
    </row>
    <row r="200" ht="36" customHeight="1" s="94">
      <c r="A200" s="132" t="inlineStr">
        <is>
          <t>DIS_STAFF</t>
        </is>
      </c>
      <c r="B200" s="133" t="inlineStr">
        <is>
          <t>Nhân viên Điều phối</t>
        </is>
      </c>
      <c r="C200" s="133" t="inlineStr">
        <is>
          <t>tariff.read</t>
        </is>
      </c>
      <c r="D200" s="133" t="inlineStr">
        <is>
          <t>YARD</t>
        </is>
      </c>
      <c r="E200" s="133" t="inlineStr">
        <is>
          <t>Có</t>
        </is>
      </c>
      <c r="F200" s="133" t="inlineStr">
        <is>
          <t>Thông thường</t>
        </is>
      </c>
      <c r="G200" s="133" t="inlineStr">
        <is>
          <t>Q17</t>
        </is>
      </c>
      <c r="H200" s="133" t="inlineStr">
        <is>
          <t>Kiểm tra server theo dữ liệu thuộc phạm vi.</t>
        </is>
      </c>
    </row>
    <row r="201" ht="36" customHeight="1" s="94">
      <c r="A201" s="129" t="inlineStr">
        <is>
          <t>DIS_LEAD</t>
        </is>
      </c>
      <c r="B201" s="130" t="inlineStr">
        <is>
          <t>Trưởng bộ phận Điều phối</t>
        </is>
      </c>
      <c r="C201" s="130" t="inlineStr">
        <is>
          <t>tariff.read</t>
        </is>
      </c>
      <c r="D201" s="130" t="inlineStr">
        <is>
          <t>YARD</t>
        </is>
      </c>
      <c r="E201" s="130" t="inlineStr">
        <is>
          <t>Có</t>
        </is>
      </c>
      <c r="F201" s="130" t="inlineStr">
        <is>
          <t>Thông thường</t>
        </is>
      </c>
      <c r="G201" s="130" t="inlineStr">
        <is>
          <t>Q17</t>
        </is>
      </c>
      <c r="H201" s="130" t="inlineStr">
        <is>
          <t>Kiểm tra server theo dữ liệu thuộc phạm vi.</t>
        </is>
      </c>
    </row>
    <row r="202" ht="36" customHeight="1" s="94">
      <c r="A202" s="132" t="inlineStr">
        <is>
          <t>SYS_ADMIN</t>
        </is>
      </c>
      <c r="B202" s="133" t="inlineStr">
        <is>
          <t>Quản trị hệ thống</t>
        </is>
      </c>
      <c r="C202" s="133" t="inlineStr">
        <is>
          <t>tariff.read</t>
        </is>
      </c>
      <c r="D202" s="133" t="inlineStr">
        <is>
          <t>ALL</t>
        </is>
      </c>
      <c r="E202" s="133" t="inlineStr">
        <is>
          <t>Có</t>
        </is>
      </c>
      <c r="F202" s="133" t="inlineStr">
        <is>
          <t>Thông thường</t>
        </is>
      </c>
      <c r="G202" s="133" t="inlineStr">
        <is>
          <t>Q17</t>
        </is>
      </c>
      <c r="H202" s="133" t="inlineStr">
        <is>
          <t>Kiểm tra server theo dữ liệu thuộc phạm vi.</t>
        </is>
      </c>
    </row>
    <row r="203" ht="36" customHeight="1" s="94">
      <c r="A203" s="129" t="inlineStr">
        <is>
          <t>PORT_LEAD</t>
        </is>
      </c>
      <c r="B203" s="130" t="inlineStr">
        <is>
          <t>Trưởng bộ phận Cổng cảng kho bãi</t>
        </is>
      </c>
      <c r="C203" s="130" t="inlineStr">
        <is>
          <t>tariff.change.request</t>
        </is>
      </c>
      <c r="D203" s="130" t="inlineStr">
        <is>
          <t>DEPARTMENT</t>
        </is>
      </c>
      <c r="E203" s="130" t="inlineStr">
        <is>
          <t>Có</t>
        </is>
      </c>
      <c r="F203" s="130" t="inlineStr">
        <is>
          <t>Tài chính</t>
        </is>
      </c>
      <c r="G203" s="130" t="inlineStr">
        <is>
          <t>Q17</t>
        </is>
      </c>
      <c r="H203" s="130" t="inlineStr">
        <is>
          <t>Chỉ bật nếu phân hệ đang hoạt động; ràng buộc server/RLS + audit.</t>
        </is>
      </c>
    </row>
    <row r="204" ht="36" customHeight="1" s="94">
      <c r="A204" s="132" t="inlineStr">
        <is>
          <t>SYS_ADMIN</t>
        </is>
      </c>
      <c r="B204" s="133" t="inlineStr">
        <is>
          <t>Quản trị hệ thống</t>
        </is>
      </c>
      <c r="C204" s="133" t="inlineStr">
        <is>
          <t>tariff.change.request</t>
        </is>
      </c>
      <c r="D204" s="133" t="inlineStr">
        <is>
          <t>ALL</t>
        </is>
      </c>
      <c r="E204" s="133" t="inlineStr">
        <is>
          <t>Có</t>
        </is>
      </c>
      <c r="F204" s="133" t="inlineStr">
        <is>
          <t>Tài chính</t>
        </is>
      </c>
      <c r="G204" s="133" t="inlineStr">
        <is>
          <t>Q17</t>
        </is>
      </c>
      <c r="H204" s="133" t="inlineStr">
        <is>
          <t>Chỉ bật nếu phân hệ đang hoạt động; ràng buộc server/RLS + audit.</t>
        </is>
      </c>
    </row>
    <row r="205" ht="36" customHeight="1" s="94">
      <c r="A205" s="129" t="inlineStr">
        <is>
          <t>SYS_ADMIN</t>
        </is>
      </c>
      <c r="B205" s="130" t="inlineStr">
        <is>
          <t>Quản trị hệ thống</t>
        </is>
      </c>
      <c r="C205" s="130" t="inlineStr">
        <is>
          <t>tariff.change.publish</t>
        </is>
      </c>
      <c r="D205" s="130" t="inlineStr">
        <is>
          <t>ALL</t>
        </is>
      </c>
      <c r="E205" s="130" t="inlineStr">
        <is>
          <t>Có</t>
        </is>
      </c>
      <c r="F205" s="130" t="inlineStr">
        <is>
          <t>Cao</t>
        </is>
      </c>
      <c r="G205" s="130" t="inlineStr">
        <is>
          <t>Q17</t>
        </is>
      </c>
      <c r="H205" s="130" t="inlineStr">
        <is>
          <t>Chỉ bật nếu phân hệ đang hoạt động; ràng buộc server/RLS + audit.</t>
        </is>
      </c>
    </row>
    <row r="206" ht="36" customHeight="1" s="94">
      <c r="A206" s="132" t="inlineStr">
        <is>
          <t>SYS_ADMIN</t>
        </is>
      </c>
      <c r="B206" s="133" t="inlineStr">
        <is>
          <t>Quản trị hệ thống</t>
        </is>
      </c>
      <c r="C206" s="133" t="inlineStr">
        <is>
          <t>admin.users.manage</t>
        </is>
      </c>
      <c r="D206" s="133" t="inlineStr">
        <is>
          <t>ALL</t>
        </is>
      </c>
      <c r="E206" s="133" t="inlineStr">
        <is>
          <t>Có</t>
        </is>
      </c>
      <c r="F206" s="133" t="inlineStr">
        <is>
          <t>Cao</t>
        </is>
      </c>
      <c r="G206" s="133" t="inlineStr">
        <is>
          <t>Q27</t>
        </is>
      </c>
      <c r="H206" s="133" t="inlineStr">
        <is>
          <t>Chỉ bật nếu phân hệ đang hoạt động; ràng buộc server/RLS + audit.</t>
        </is>
      </c>
    </row>
    <row r="207" ht="36" customHeight="1" s="94">
      <c r="A207" s="129" t="inlineStr">
        <is>
          <t>SYS_ADMIN</t>
        </is>
      </c>
      <c r="B207" s="130" t="inlineStr">
        <is>
          <t>Quản trị hệ thống</t>
        </is>
      </c>
      <c r="C207" s="130" t="inlineStr">
        <is>
          <t>admin.roles.manage</t>
        </is>
      </c>
      <c r="D207" s="130" t="inlineStr">
        <is>
          <t>ALL</t>
        </is>
      </c>
      <c r="E207" s="130" t="inlineStr">
        <is>
          <t>Có</t>
        </is>
      </c>
      <c r="F207" s="130" t="inlineStr">
        <is>
          <t>Cao</t>
        </is>
      </c>
      <c r="G207" s="130" t="inlineStr">
        <is>
          <t>Q27</t>
        </is>
      </c>
      <c r="H207" s="130" t="inlineStr">
        <is>
          <t>Chỉ bật nếu phân hệ đang hoạt động; ràng buộc server/RLS + audit.</t>
        </is>
      </c>
    </row>
    <row r="208" ht="36" customHeight="1" s="94">
      <c r="A208" s="132" t="inlineStr">
        <is>
          <t>SYS_ADMIN</t>
        </is>
      </c>
      <c r="B208" s="133" t="inlineStr">
        <is>
          <t>Quản trị hệ thống</t>
        </is>
      </c>
      <c r="C208" s="133" t="inlineStr">
        <is>
          <t>admin.role_permissions.manage</t>
        </is>
      </c>
      <c r="D208" s="133" t="inlineStr">
        <is>
          <t>ALL</t>
        </is>
      </c>
      <c r="E208" s="133" t="inlineStr">
        <is>
          <t>Có</t>
        </is>
      </c>
      <c r="F208" s="133" t="inlineStr">
        <is>
          <t>Cao</t>
        </is>
      </c>
      <c r="G208" s="133" t="inlineStr">
        <is>
          <t>Q27</t>
        </is>
      </c>
      <c r="H208" s="133" t="inlineStr">
        <is>
          <t>Chỉ bật nếu phân hệ đang hoạt động; ràng buộc server/RLS + audit.</t>
        </is>
      </c>
    </row>
    <row r="209" ht="36" customHeight="1" s="94">
      <c r="A209" s="129" t="inlineStr">
        <is>
          <t>SYS_ADMIN</t>
        </is>
      </c>
      <c r="B209" s="130" t="inlineStr">
        <is>
          <t>Quản trị hệ thống</t>
        </is>
      </c>
      <c r="C209" s="130" t="inlineStr">
        <is>
          <t>admin.billing_settings.manage</t>
        </is>
      </c>
      <c r="D209" s="130" t="inlineStr">
        <is>
          <t>ALL</t>
        </is>
      </c>
      <c r="E209" s="130" t="inlineStr">
        <is>
          <t>Có</t>
        </is>
      </c>
      <c r="F209" s="130" t="inlineStr">
        <is>
          <t>Cao</t>
        </is>
      </c>
      <c r="G209" s="130" t="inlineStr">
        <is>
          <t>Q17</t>
        </is>
      </c>
      <c r="H209" s="130" t="inlineStr">
        <is>
          <t>Chỉ bật nếu phân hệ đang hoạt động; ràng buộc server/RLS + audit.</t>
        </is>
      </c>
    </row>
    <row r="210" ht="36" customHeight="1" s="94">
      <c r="A210" s="132" t="inlineStr">
        <is>
          <t>SYS_ADMIN</t>
        </is>
      </c>
      <c r="B210" s="133" t="inlineStr">
        <is>
          <t>Quản trị hệ thống</t>
        </is>
      </c>
      <c r="C210" s="133" t="inlineStr">
        <is>
          <t>admin.legacy_correct</t>
        </is>
      </c>
      <c r="D210" s="133" t="inlineStr">
        <is>
          <t>ALL</t>
        </is>
      </c>
      <c r="E210" s="133" t="inlineStr">
        <is>
          <t>Có</t>
        </is>
      </c>
      <c r="F210" s="133" t="inlineStr">
        <is>
          <t>Cao</t>
        </is>
      </c>
      <c r="G210" s="133" t="inlineStr">
        <is>
          <t>Q03,Q06</t>
        </is>
      </c>
      <c r="H210" s="133" t="inlineStr">
        <is>
          <t>Chỉ bật nếu phân hệ đang hoạt động; ràng buộc server/RLS + audit.</t>
        </is>
      </c>
    </row>
  </sheetData>
  <autoFilter ref="A4:H210"/>
  <mergeCells count="2">
    <mergeCell ref="A2:H2"/>
    <mergeCell ref="A1:H1"/>
  </mergeCells>
  <printOptions horizontalCentered="1"/>
  <pageMargins left="0.75" right="0.75" top="1" bottom="1" header="0.5" footer="0.5"/>
  <pageSetup fitToWidth="1"/>
</worksheet>
</file>

<file path=xl/worksheets/sheet23.xml><?xml version="1.0" encoding="utf-8"?>
<worksheet xmlns="http://schemas.openxmlformats.org/spreadsheetml/2006/main">
  <sheetPr>
    <tabColor rgb="000A9444"/>
    <outlinePr summaryBelow="1" summaryRight="1"/>
    <pageSetUpPr fitToPage="1"/>
  </sheetPr>
  <dimension ref="A1:K7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2" customWidth="1" style="94" min="1" max="1"/>
    <col width="57" customWidth="1" style="94" min="2" max="2"/>
    <col width="17" customWidth="1" style="94" min="3" max="3"/>
    <col width="22" customWidth="1" style="94" min="4" max="4"/>
    <col width="22" customWidth="1" style="94" min="5" max="5"/>
    <col width="22" customWidth="1" style="94" min="6" max="6"/>
    <col width="22" customWidth="1" style="94" min="7" max="7"/>
    <col width="22" customWidth="1" style="94" min="8" max="8"/>
    <col width="22" customWidth="1" style="94" min="9" max="9"/>
    <col width="22" customWidth="1" style="94" min="10" max="10"/>
    <col width="22" customWidth="1" style="94" min="11" max="11"/>
  </cols>
  <sheetData>
    <row r="1" ht="34" customHeight="1" s="94">
      <c r="A1" s="126" t="inlineStr">
        <is>
          <t>V5 — MA TRẬN QUYỀN ĐÃ CHUẨN HÓA</t>
        </is>
      </c>
    </row>
    <row r="2" ht="38" customHeight="1" s="94">
      <c r="A2" s="127" t="inlineStr">
        <is>
          <t>Thể hiện quyền theo mã thao tác và phạm vi; không còn nhầm quyền “Thực hiện tại hiện trường” với nhập dữ liệu trên PWA.</t>
        </is>
      </c>
    </row>
    <row r="4" ht="46" customHeight="1" s="94">
      <c r="A4" s="128" t="inlineStr">
        <is>
          <t>PERMISSION_CODE</t>
        </is>
      </c>
      <c r="B4" s="128" t="inlineStr">
        <is>
          <t>Chức năng</t>
        </is>
      </c>
      <c r="C4" s="128" t="inlineStr">
        <is>
          <t>Giai đoạn</t>
        </is>
      </c>
      <c r="D4" s="138" t="inlineStr">
        <is>
          <t>SEC_STAFF</t>
        </is>
      </c>
      <c r="E4" s="138" t="inlineStr">
        <is>
          <t>SEC_LEAD</t>
        </is>
      </c>
      <c r="F4" s="138" t="inlineStr">
        <is>
          <t>PORT_STAFF</t>
        </is>
      </c>
      <c r="G4" s="138" t="inlineStr">
        <is>
          <t>PORT_LEAD</t>
        </is>
      </c>
      <c r="H4" s="138" t="inlineStr">
        <is>
          <t>DIS_STAFF</t>
        </is>
      </c>
      <c r="I4" s="138" t="inlineStr">
        <is>
          <t>DIS_LEAD</t>
        </is>
      </c>
      <c r="J4" s="138" t="inlineStr">
        <is>
          <t>SYS_ADMIN</t>
        </is>
      </c>
      <c r="K4" s="138" t="inlineStr">
        <is>
          <t>ACCOUNTING_FUTURE</t>
        </is>
      </c>
    </row>
    <row r="5" ht="36" customHeight="1" s="94">
      <c r="A5" s="129" t="inlineStr">
        <is>
          <t>vehicle.visit.read</t>
        </is>
      </c>
      <c r="B5" s="130" t="inlineStr">
        <is>
          <t>Xem lượt xe trong bãi</t>
        </is>
      </c>
      <c r="C5" s="130" t="inlineStr">
        <is>
          <t>V1</t>
        </is>
      </c>
      <c r="D5" s="139" t="inlineStr">
        <is>
          <t>YARD</t>
        </is>
      </c>
      <c r="E5" s="139" t="inlineStr">
        <is>
          <t>YARD</t>
        </is>
      </c>
      <c r="F5" s="139" t="inlineStr">
        <is>
          <t>YARD</t>
        </is>
      </c>
      <c r="G5" s="139" t="inlineStr">
        <is>
          <t>YARD</t>
        </is>
      </c>
      <c r="H5" s="139" t="inlineStr">
        <is>
          <t>YARD</t>
        </is>
      </c>
      <c r="I5" s="139" t="inlineStr">
        <is>
          <t>YARD</t>
        </is>
      </c>
      <c r="J5" s="139" t="inlineStr">
        <is>
          <t>ALL</t>
        </is>
      </c>
      <c r="K5" s="140" t="inlineStr">
        <is>
          <t>—</t>
        </is>
      </c>
    </row>
    <row r="6" ht="36" customHeight="1" s="94">
      <c r="A6" s="132" t="inlineStr">
        <is>
          <t>vehicle.visit.create</t>
        </is>
      </c>
      <c r="B6" s="133" t="inlineStr">
        <is>
          <t>Tạo lượt xe/giờ vào</t>
        </is>
      </c>
      <c r="C6" s="133" t="inlineStr">
        <is>
          <t>V1</t>
        </is>
      </c>
      <c r="D6" s="139" t="inlineStr">
        <is>
          <t>YARD</t>
        </is>
      </c>
      <c r="E6" s="139" t="inlineStr">
        <is>
          <t>YARD</t>
        </is>
      </c>
      <c r="F6" s="141" t="inlineStr">
        <is>
          <t>—</t>
        </is>
      </c>
      <c r="G6" s="141" t="inlineStr">
        <is>
          <t>—</t>
        </is>
      </c>
      <c r="H6" s="141" t="inlineStr">
        <is>
          <t>—</t>
        </is>
      </c>
      <c r="I6" s="141" t="inlineStr">
        <is>
          <t>—</t>
        </is>
      </c>
      <c r="J6" s="139" t="inlineStr">
        <is>
          <t>ALL</t>
        </is>
      </c>
      <c r="K6" s="141" t="inlineStr">
        <is>
          <t>—</t>
        </is>
      </c>
    </row>
    <row r="7" ht="36" customHeight="1" s="94">
      <c r="A7" s="129" t="inlineStr">
        <is>
          <t>vehicle.visit.update_basic</t>
        </is>
      </c>
      <c r="B7" s="130" t="inlineStr">
        <is>
          <t>Sửa thông tin cơ bản của lượt xe</t>
        </is>
      </c>
      <c r="C7" s="130" t="inlineStr">
        <is>
          <t>V1</t>
        </is>
      </c>
      <c r="D7" s="139" t="inlineStr">
        <is>
          <t>YARD</t>
        </is>
      </c>
      <c r="E7" s="139" t="inlineStr">
        <is>
          <t>YARD</t>
        </is>
      </c>
      <c r="F7" s="140" t="inlineStr">
        <is>
          <t>—</t>
        </is>
      </c>
      <c r="G7" s="140" t="inlineStr">
        <is>
          <t>—</t>
        </is>
      </c>
      <c r="H7" s="140" t="inlineStr">
        <is>
          <t>—</t>
        </is>
      </c>
      <c r="I7" s="140" t="inlineStr">
        <is>
          <t>—</t>
        </is>
      </c>
      <c r="J7" s="139" t="inlineStr">
        <is>
          <t>ALL</t>
        </is>
      </c>
      <c r="K7" s="140" t="inlineStr">
        <is>
          <t>—</t>
        </is>
      </c>
    </row>
    <row r="8" ht="36" customHeight="1" s="94">
      <c r="A8" s="132" t="inlineStr">
        <is>
          <t>vehicle.visit.time_correction.request</t>
        </is>
      </c>
      <c r="B8" s="133" t="inlineStr">
        <is>
          <t>Yêu cầu sửa giờ vào sau khi phát sinh tiền</t>
        </is>
      </c>
      <c r="C8" s="133" t="inlineStr">
        <is>
          <t>V1</t>
        </is>
      </c>
      <c r="D8" s="139" t="inlineStr">
        <is>
          <t>YARD</t>
        </is>
      </c>
      <c r="E8" s="139" t="inlineStr">
        <is>
          <t>YARD</t>
        </is>
      </c>
      <c r="F8" s="141" t="inlineStr">
        <is>
          <t>—</t>
        </is>
      </c>
      <c r="G8" s="141" t="inlineStr">
        <is>
          <t>—</t>
        </is>
      </c>
      <c r="H8" s="141" t="inlineStr">
        <is>
          <t>—</t>
        </is>
      </c>
      <c r="I8" s="141" t="inlineStr">
        <is>
          <t>—</t>
        </is>
      </c>
      <c r="J8" s="139" t="inlineStr">
        <is>
          <t>ALL</t>
        </is>
      </c>
      <c r="K8" s="141" t="inlineStr">
        <is>
          <t>—</t>
        </is>
      </c>
    </row>
    <row r="9" ht="36" customHeight="1" s="94">
      <c r="A9" s="129" t="inlineStr">
        <is>
          <t>vehicle.visit.time_correction.approve</t>
        </is>
      </c>
      <c r="B9" s="130" t="inlineStr">
        <is>
          <t>Duyệt sửa giờ vào sau khi phát sinh tiền</t>
        </is>
      </c>
      <c r="C9" s="130" t="inlineStr">
        <is>
          <t>V1</t>
        </is>
      </c>
      <c r="D9" s="140" t="inlineStr">
        <is>
          <t>—</t>
        </is>
      </c>
      <c r="E9" s="139" t="inlineStr">
        <is>
          <t>DEPARTMENT</t>
        </is>
      </c>
      <c r="F9" s="140" t="inlineStr">
        <is>
          <t>—</t>
        </is>
      </c>
      <c r="G9" s="140" t="inlineStr">
        <is>
          <t>—</t>
        </is>
      </c>
      <c r="H9" s="140" t="inlineStr">
        <is>
          <t>—</t>
        </is>
      </c>
      <c r="I9" s="140" t="inlineStr">
        <is>
          <t>—</t>
        </is>
      </c>
      <c r="J9" s="139" t="inlineStr">
        <is>
          <t>ALL</t>
        </is>
      </c>
      <c r="K9" s="140" t="inlineStr">
        <is>
          <t>—</t>
        </is>
      </c>
    </row>
    <row r="10" ht="36" customHeight="1" s="94">
      <c r="A10" s="132" t="inlineStr">
        <is>
          <t>ticket.payment.collect</t>
        </is>
      </c>
      <c r="B10" s="133" t="inlineStr">
        <is>
          <t>Ghi nhận thu tiền vé xe vào</t>
        </is>
      </c>
      <c r="C10" s="133" t="inlineStr">
        <is>
          <t>V1</t>
        </is>
      </c>
      <c r="D10" s="139" t="inlineStr">
        <is>
          <t>YARD</t>
        </is>
      </c>
      <c r="E10" s="139" t="inlineStr">
        <is>
          <t>YARD</t>
        </is>
      </c>
      <c r="F10" s="141" t="inlineStr">
        <is>
          <t>—</t>
        </is>
      </c>
      <c r="G10" s="141" t="inlineStr">
        <is>
          <t>—</t>
        </is>
      </c>
      <c r="H10" s="141" t="inlineStr">
        <is>
          <t>—</t>
        </is>
      </c>
      <c r="I10" s="141" t="inlineStr">
        <is>
          <t>—</t>
        </is>
      </c>
      <c r="J10" s="139" t="inlineStr">
        <is>
          <t>ALL</t>
        </is>
      </c>
      <c r="K10" s="141" t="inlineStr">
        <is>
          <t>—</t>
        </is>
      </c>
    </row>
    <row r="11" ht="36" customHeight="1" s="94">
      <c r="A11" s="129" t="inlineStr">
        <is>
          <t>ticket.lost_fee.collect</t>
        </is>
      </c>
      <c r="B11" s="130" t="inlineStr">
        <is>
          <t>Ghi nhận và thu phạt mất vé</t>
        </is>
      </c>
      <c r="C11" s="130" t="inlineStr">
        <is>
          <t>V1</t>
        </is>
      </c>
      <c r="D11" s="139" t="inlineStr">
        <is>
          <t>YARD</t>
        </is>
      </c>
      <c r="E11" s="139" t="inlineStr">
        <is>
          <t>YARD</t>
        </is>
      </c>
      <c r="F11" s="140" t="inlineStr">
        <is>
          <t>—</t>
        </is>
      </c>
      <c r="G11" s="140" t="inlineStr">
        <is>
          <t>—</t>
        </is>
      </c>
      <c r="H11" s="140" t="inlineStr">
        <is>
          <t>—</t>
        </is>
      </c>
      <c r="I11" s="140" t="inlineStr">
        <is>
          <t>—</t>
        </is>
      </c>
      <c r="J11" s="139" t="inlineStr">
        <is>
          <t>ALL</t>
        </is>
      </c>
      <c r="K11" s="140" t="inlineStr">
        <is>
          <t>—</t>
        </is>
      </c>
    </row>
    <row r="12" ht="36" customHeight="1" s="94">
      <c r="A12" s="132" t="inlineStr">
        <is>
          <t>ticket.paper_number.adjust</t>
        </is>
      </c>
      <c r="B12" s="133" t="inlineStr">
        <is>
          <t>Chỉnh số seri vé giấy / in vé</t>
        </is>
      </c>
      <c r="C12" s="133" t="inlineStr">
        <is>
          <t>GĐ sau</t>
        </is>
      </c>
      <c r="D12" s="141" t="inlineStr">
        <is>
          <t>—</t>
        </is>
      </c>
      <c r="E12" s="141" t="inlineStr">
        <is>
          <t>—</t>
        </is>
      </c>
      <c r="F12" s="141" t="inlineStr">
        <is>
          <t>—</t>
        </is>
      </c>
      <c r="G12" s="141" t="inlineStr">
        <is>
          <t>—</t>
        </is>
      </c>
      <c r="H12" s="141" t="inlineStr">
        <is>
          <t>—</t>
        </is>
      </c>
      <c r="I12" s="141" t="inlineStr">
        <is>
          <t>—</t>
        </is>
      </c>
      <c r="J12" s="141" t="inlineStr">
        <is>
          <t>—</t>
        </is>
      </c>
      <c r="K12" s="141" t="inlineStr">
        <is>
          <t>—</t>
        </is>
      </c>
    </row>
    <row r="13" ht="36" customHeight="1" s="94">
      <c r="A13" s="129" t="inlineStr">
        <is>
          <t>vehicle.visit.exit_confirm</t>
        </is>
      </c>
      <c r="B13" s="130" t="inlineStr">
        <is>
          <t>Xác nhận lượt xe thực tế ra</t>
        </is>
      </c>
      <c r="C13" s="130" t="inlineStr">
        <is>
          <t>V1</t>
        </is>
      </c>
      <c r="D13" s="139" t="inlineStr">
        <is>
          <t>YARD</t>
        </is>
      </c>
      <c r="E13" s="139" t="inlineStr">
        <is>
          <t>YARD</t>
        </is>
      </c>
      <c r="F13" s="140" t="inlineStr">
        <is>
          <t>—</t>
        </is>
      </c>
      <c r="G13" s="140" t="inlineStr">
        <is>
          <t>—</t>
        </is>
      </c>
      <c r="H13" s="140" t="inlineStr">
        <is>
          <t>—</t>
        </is>
      </c>
      <c r="I13" s="140" t="inlineStr">
        <is>
          <t>—</t>
        </is>
      </c>
      <c r="J13" s="139" t="inlineStr">
        <is>
          <t>ALL</t>
        </is>
      </c>
      <c r="K13" s="140" t="inlineStr">
        <is>
          <t>—</t>
        </is>
      </c>
    </row>
    <row r="14" ht="36" customHeight="1" s="94">
      <c r="A14" s="132" t="inlineStr">
        <is>
          <t>container.visit.read</t>
        </is>
      </c>
      <c r="B14" s="133" t="inlineStr">
        <is>
          <t>Xem lượt container trong bãi</t>
        </is>
      </c>
      <c r="C14" s="133" t="inlineStr">
        <is>
          <t>V1</t>
        </is>
      </c>
      <c r="D14" s="139" t="inlineStr">
        <is>
          <t>YARD</t>
        </is>
      </c>
      <c r="E14" s="139" t="inlineStr">
        <is>
          <t>YARD</t>
        </is>
      </c>
      <c r="F14" s="139" t="inlineStr">
        <is>
          <t>YARD</t>
        </is>
      </c>
      <c r="G14" s="139" t="inlineStr">
        <is>
          <t>YARD</t>
        </is>
      </c>
      <c r="H14" s="139" t="inlineStr">
        <is>
          <t>YARD</t>
        </is>
      </c>
      <c r="I14" s="139" t="inlineStr">
        <is>
          <t>YARD</t>
        </is>
      </c>
      <c r="J14" s="139" t="inlineStr">
        <is>
          <t>ALL</t>
        </is>
      </c>
      <c r="K14" s="141" t="inlineStr">
        <is>
          <t>—</t>
        </is>
      </c>
    </row>
    <row r="15" ht="36" customHeight="1" s="94">
      <c r="A15" s="129" t="inlineStr">
        <is>
          <t>container.visit.create</t>
        </is>
      </c>
      <c r="B15" s="130" t="inlineStr">
        <is>
          <t>Tạo lượt container vào và giờ vào</t>
        </is>
      </c>
      <c r="C15" s="130" t="inlineStr">
        <is>
          <t>V1</t>
        </is>
      </c>
      <c r="D15" s="139" t="inlineStr">
        <is>
          <t>YARD</t>
        </is>
      </c>
      <c r="E15" s="139" t="inlineStr">
        <is>
          <t>YARD</t>
        </is>
      </c>
      <c r="F15" s="140" t="inlineStr">
        <is>
          <t>—</t>
        </is>
      </c>
      <c r="G15" s="140" t="inlineStr">
        <is>
          <t>—</t>
        </is>
      </c>
      <c r="H15" s="140" t="inlineStr">
        <is>
          <t>—</t>
        </is>
      </c>
      <c r="I15" s="140" t="inlineStr">
        <is>
          <t>—</t>
        </is>
      </c>
      <c r="J15" s="139" t="inlineStr">
        <is>
          <t>ALL</t>
        </is>
      </c>
      <c r="K15" s="140" t="inlineStr">
        <is>
          <t>—</t>
        </is>
      </c>
    </row>
    <row r="16" ht="36" customHeight="1" s="94">
      <c r="A16" s="132" t="inlineStr">
        <is>
          <t>container.number.correct</t>
        </is>
      </c>
      <c r="B16" s="133" t="inlineStr">
        <is>
          <t>Sửa số container trên cùng ID lượt</t>
        </is>
      </c>
      <c r="C16" s="133" t="inlineStr">
        <is>
          <t>V1</t>
        </is>
      </c>
      <c r="D16" s="139" t="inlineStr">
        <is>
          <t>YARD</t>
        </is>
      </c>
      <c r="E16" s="139" t="inlineStr">
        <is>
          <t>YARD</t>
        </is>
      </c>
      <c r="F16" s="141" t="inlineStr">
        <is>
          <t>—</t>
        </is>
      </c>
      <c r="G16" s="141" t="inlineStr">
        <is>
          <t>—</t>
        </is>
      </c>
      <c r="H16" s="141" t="inlineStr">
        <is>
          <t>—</t>
        </is>
      </c>
      <c r="I16" s="141" t="inlineStr">
        <is>
          <t>—</t>
        </is>
      </c>
      <c r="J16" s="139" t="inlineStr">
        <is>
          <t>ALL</t>
        </is>
      </c>
      <c r="K16" s="141" t="inlineStr">
        <is>
          <t>—</t>
        </is>
      </c>
    </row>
    <row r="17" ht="36" customHeight="1" s="94">
      <c r="A17" s="129" t="inlineStr">
        <is>
          <t>container.number.discrepancy.view</t>
        </is>
      </c>
      <c r="B17" s="130" t="inlineStr">
        <is>
          <t>Xem cảnh báo sai số container</t>
        </is>
      </c>
      <c r="C17" s="130" t="inlineStr">
        <is>
          <t>V1</t>
        </is>
      </c>
      <c r="D17" s="139" t="inlineStr">
        <is>
          <t>YARD</t>
        </is>
      </c>
      <c r="E17" s="139" t="inlineStr">
        <is>
          <t>YARD</t>
        </is>
      </c>
      <c r="F17" s="139" t="inlineStr">
        <is>
          <t>YARD</t>
        </is>
      </c>
      <c r="G17" s="139" t="inlineStr">
        <is>
          <t>YARD</t>
        </is>
      </c>
      <c r="H17" s="140" t="inlineStr">
        <is>
          <t>—</t>
        </is>
      </c>
      <c r="I17" s="140" t="inlineStr">
        <is>
          <t>—</t>
        </is>
      </c>
      <c r="J17" s="139" t="inlineStr">
        <is>
          <t>ALL</t>
        </is>
      </c>
      <c r="K17" s="140" t="inlineStr">
        <is>
          <t>—</t>
        </is>
      </c>
    </row>
    <row r="18" ht="36" customHeight="1" s="94">
      <c r="A18" s="132" t="inlineStr">
        <is>
          <t>container.number.discrepancy.sec_ack</t>
        </is>
      </c>
      <c r="B18" s="133" t="inlineStr">
        <is>
          <t>An ninh xác nhận đã báo CCKB</t>
        </is>
      </c>
      <c r="C18" s="133" t="inlineStr">
        <is>
          <t>V1</t>
        </is>
      </c>
      <c r="D18" s="139" t="inlineStr">
        <is>
          <t>YARD</t>
        </is>
      </c>
      <c r="E18" s="139" t="inlineStr">
        <is>
          <t>YARD</t>
        </is>
      </c>
      <c r="F18" s="141" t="inlineStr">
        <is>
          <t>—</t>
        </is>
      </c>
      <c r="G18" s="141" t="inlineStr">
        <is>
          <t>—</t>
        </is>
      </c>
      <c r="H18" s="141" t="inlineStr">
        <is>
          <t>—</t>
        </is>
      </c>
      <c r="I18" s="141" t="inlineStr">
        <is>
          <t>—</t>
        </is>
      </c>
      <c r="J18" s="139" t="inlineStr">
        <is>
          <t>ALL</t>
        </is>
      </c>
      <c r="K18" s="141" t="inlineStr">
        <is>
          <t>—</t>
        </is>
      </c>
    </row>
    <row r="19" ht="36" customHeight="1" s="94">
      <c r="A19" s="129" t="inlineStr">
        <is>
          <t>container.number.discrepancy.port_reconcile</t>
        </is>
      </c>
      <c r="B19" s="130" t="inlineStr">
        <is>
          <t>CCKB đối chiếu sai số và đóng cảnh báo</t>
        </is>
      </c>
      <c r="C19" s="130" t="inlineStr">
        <is>
          <t>V1</t>
        </is>
      </c>
      <c r="D19" s="140" t="inlineStr">
        <is>
          <t>—</t>
        </is>
      </c>
      <c r="E19" s="140" t="inlineStr">
        <is>
          <t>—</t>
        </is>
      </c>
      <c r="F19" s="139" t="inlineStr">
        <is>
          <t>YARD</t>
        </is>
      </c>
      <c r="G19" s="139" t="inlineStr">
        <is>
          <t>YARD</t>
        </is>
      </c>
      <c r="H19" s="140" t="inlineStr">
        <is>
          <t>—</t>
        </is>
      </c>
      <c r="I19" s="140" t="inlineStr">
        <is>
          <t>—</t>
        </is>
      </c>
      <c r="J19" s="139" t="inlineStr">
        <is>
          <t>ALL</t>
        </is>
      </c>
      <c r="K19" s="140" t="inlineStr">
        <is>
          <t>—</t>
        </is>
      </c>
    </row>
    <row r="20" ht="36" customHeight="1" s="94">
      <c r="A20" s="132" t="inlineStr">
        <is>
          <t>container.number.evidence.attach</t>
        </is>
      </c>
      <c r="B20" s="133" t="inlineStr">
        <is>
          <t>Đính kèm ảnh/video xác minh số cont</t>
        </is>
      </c>
      <c r="C20" s="133" t="inlineStr">
        <is>
          <t>V1</t>
        </is>
      </c>
      <c r="D20" s="139" t="inlineStr">
        <is>
          <t>YARD</t>
        </is>
      </c>
      <c r="E20" s="139" t="inlineStr">
        <is>
          <t>YARD</t>
        </is>
      </c>
      <c r="F20" s="139" t="inlineStr">
        <is>
          <t>YARD</t>
        </is>
      </c>
      <c r="G20" s="139" t="inlineStr">
        <is>
          <t>YARD</t>
        </is>
      </c>
      <c r="H20" s="141" t="inlineStr">
        <is>
          <t>—</t>
        </is>
      </c>
      <c r="I20" s="141" t="inlineStr">
        <is>
          <t>—</t>
        </is>
      </c>
      <c r="J20" s="139" t="inlineStr">
        <is>
          <t>ALL</t>
        </is>
      </c>
      <c r="K20" s="141" t="inlineStr">
        <is>
          <t>—</t>
        </is>
      </c>
    </row>
    <row r="21" ht="36" customHeight="1" s="94">
      <c r="A21" s="129" t="inlineStr">
        <is>
          <t>container.visit.link_request</t>
        </is>
      </c>
      <c r="B21" s="130" t="inlineStr">
        <is>
          <t>Ghép yêu cầu dự kiến vào lượt cont vào</t>
        </is>
      </c>
      <c r="C21" s="130" t="inlineStr">
        <is>
          <t>V1</t>
        </is>
      </c>
      <c r="D21" s="139" t="inlineStr">
        <is>
          <t>YARD</t>
        </is>
      </c>
      <c r="E21" s="139" t="inlineStr">
        <is>
          <t>YARD</t>
        </is>
      </c>
      <c r="F21" s="139" t="inlineStr">
        <is>
          <t>YARD</t>
        </is>
      </c>
      <c r="G21" s="139" t="inlineStr">
        <is>
          <t>YARD</t>
        </is>
      </c>
      <c r="H21" s="140" t="inlineStr">
        <is>
          <t>—</t>
        </is>
      </c>
      <c r="I21" s="140" t="inlineStr">
        <is>
          <t>—</t>
        </is>
      </c>
      <c r="J21" s="139" t="inlineStr">
        <is>
          <t>ALL</t>
        </is>
      </c>
      <c r="K21" s="140" t="inlineStr">
        <is>
          <t>—</t>
        </is>
      </c>
    </row>
    <row r="22" ht="36" customHeight="1" s="94">
      <c r="A22" s="132" t="inlineStr">
        <is>
          <t>container.cargo.read</t>
        </is>
      </c>
      <c r="B22" s="133" t="inlineStr">
        <is>
          <t>Xem HÀNG/RỖNG</t>
        </is>
      </c>
      <c r="C22" s="133" t="inlineStr">
        <is>
          <t>V1</t>
        </is>
      </c>
      <c r="D22" s="139" t="inlineStr">
        <is>
          <t>YARD</t>
        </is>
      </c>
      <c r="E22" s="139" t="inlineStr">
        <is>
          <t>YARD</t>
        </is>
      </c>
      <c r="F22" s="139" t="inlineStr">
        <is>
          <t>YARD</t>
        </is>
      </c>
      <c r="G22" s="139" t="inlineStr">
        <is>
          <t>YARD</t>
        </is>
      </c>
      <c r="H22" s="139" t="inlineStr">
        <is>
          <t>YARD</t>
        </is>
      </c>
      <c r="I22" s="139" t="inlineStr">
        <is>
          <t>YARD</t>
        </is>
      </c>
      <c r="J22" s="139" t="inlineStr">
        <is>
          <t>ALL</t>
        </is>
      </c>
      <c r="K22" s="141" t="inlineStr">
        <is>
          <t>—</t>
        </is>
      </c>
    </row>
    <row r="23" ht="36" customHeight="1" s="94">
      <c r="A23" s="129" t="inlineStr">
        <is>
          <t>container.cargo.update</t>
        </is>
      </c>
      <c r="B23" s="130" t="inlineStr">
        <is>
          <t>Cập nhật HÀNG/RỖNG khi còn trong bãi</t>
        </is>
      </c>
      <c r="C23" s="130" t="inlineStr">
        <is>
          <t>V1</t>
        </is>
      </c>
      <c r="D23" s="140" t="inlineStr">
        <is>
          <t>—</t>
        </is>
      </c>
      <c r="E23" s="140" t="inlineStr">
        <is>
          <t>—</t>
        </is>
      </c>
      <c r="F23" s="140" t="inlineStr">
        <is>
          <t>—</t>
        </is>
      </c>
      <c r="G23" s="140" t="inlineStr">
        <is>
          <t>—</t>
        </is>
      </c>
      <c r="H23" s="139" t="inlineStr">
        <is>
          <t>YARD</t>
        </is>
      </c>
      <c r="I23" s="139" t="inlineStr">
        <is>
          <t>YARD</t>
        </is>
      </c>
      <c r="J23" s="139" t="inlineStr">
        <is>
          <t>ALL</t>
        </is>
      </c>
      <c r="K23" s="140" t="inlineStr">
        <is>
          <t>—</t>
        </is>
      </c>
    </row>
    <row r="24" ht="36" customHeight="1" s="94">
      <c r="A24" s="132" t="inlineStr">
        <is>
          <t>container.cargo.post_exit.request</t>
        </is>
      </c>
      <c r="B24" s="133" t="inlineStr">
        <is>
          <t>Đề nghị sửa HÀNG/RỖNG sau ra</t>
        </is>
      </c>
      <c r="C24" s="133" t="inlineStr">
        <is>
          <t>V1</t>
        </is>
      </c>
      <c r="D24" s="141" t="inlineStr">
        <is>
          <t>—</t>
        </is>
      </c>
      <c r="E24" s="141" t="inlineStr">
        <is>
          <t>—</t>
        </is>
      </c>
      <c r="F24" s="141" t="inlineStr">
        <is>
          <t>—</t>
        </is>
      </c>
      <c r="G24" s="141" t="inlineStr">
        <is>
          <t>—</t>
        </is>
      </c>
      <c r="H24" s="139" t="inlineStr">
        <is>
          <t>YARD</t>
        </is>
      </c>
      <c r="I24" s="139" t="inlineStr">
        <is>
          <t>YARD</t>
        </is>
      </c>
      <c r="J24" s="139" t="inlineStr">
        <is>
          <t>ALL</t>
        </is>
      </c>
      <c r="K24" s="141" t="inlineStr">
        <is>
          <t>—</t>
        </is>
      </c>
    </row>
    <row r="25" ht="36" customHeight="1" s="94">
      <c r="A25" s="129" t="inlineStr">
        <is>
          <t>container.cargo.post_exit.approve</t>
        </is>
      </c>
      <c r="B25" s="130" t="inlineStr">
        <is>
          <t>Duyệt sửa HÀNG/RỖNG sau ra</t>
        </is>
      </c>
      <c r="C25" s="130" t="inlineStr">
        <is>
          <t>V1</t>
        </is>
      </c>
      <c r="D25" s="140" t="inlineStr">
        <is>
          <t>—</t>
        </is>
      </c>
      <c r="E25" s="140" t="inlineStr">
        <is>
          <t>—</t>
        </is>
      </c>
      <c r="F25" s="140" t="inlineStr">
        <is>
          <t>—</t>
        </is>
      </c>
      <c r="G25" s="140" t="inlineStr">
        <is>
          <t>—</t>
        </is>
      </c>
      <c r="H25" s="140" t="inlineStr">
        <is>
          <t>—</t>
        </is>
      </c>
      <c r="I25" s="139" t="inlineStr">
        <is>
          <t>DEPARTMENT</t>
        </is>
      </c>
      <c r="J25" s="139" t="inlineStr">
        <is>
          <t>ALL</t>
        </is>
      </c>
      <c r="K25" s="140" t="inlineStr">
        <is>
          <t>—</t>
        </is>
      </c>
    </row>
    <row r="26" ht="36" customHeight="1" s="94">
      <c r="A26" s="132" t="inlineStr">
        <is>
          <t>container.handling.record</t>
        </is>
      </c>
      <c r="B26" s="133" t="inlineStr">
        <is>
          <t>Ghi nhận hạ/xếp, vị trí khu/dãy/ô</t>
        </is>
      </c>
      <c r="C26" s="133" t="inlineStr">
        <is>
          <t>GĐ sau</t>
        </is>
      </c>
      <c r="D26" s="141" t="inlineStr">
        <is>
          <t>—</t>
        </is>
      </c>
      <c r="E26" s="141" t="inlineStr">
        <is>
          <t>—</t>
        </is>
      </c>
      <c r="F26" s="141" t="inlineStr">
        <is>
          <t>—</t>
        </is>
      </c>
      <c r="G26" s="141" t="inlineStr">
        <is>
          <t>—</t>
        </is>
      </c>
      <c r="H26" s="141" t="inlineStr">
        <is>
          <t>—</t>
        </is>
      </c>
      <c r="I26" s="141" t="inlineStr">
        <is>
          <t>—</t>
        </is>
      </c>
      <c r="J26" s="141" t="inlineStr">
        <is>
          <t>—</t>
        </is>
      </c>
      <c r="K26" s="141" t="inlineStr">
        <is>
          <t>—</t>
        </is>
      </c>
    </row>
    <row r="27" ht="36" customHeight="1" s="94">
      <c r="A27" s="129" t="inlineStr">
        <is>
          <t>reefer.request.read</t>
        </is>
      </c>
      <c r="B27" s="130" t="inlineStr">
        <is>
          <t>Xem yêu cầu điện dự kiến / đang xử lý</t>
        </is>
      </c>
      <c r="C27" s="130" t="inlineStr">
        <is>
          <t>V1</t>
        </is>
      </c>
      <c r="D27" s="139" t="inlineStr">
        <is>
          <t>YARD</t>
        </is>
      </c>
      <c r="E27" s="139" t="inlineStr">
        <is>
          <t>YARD</t>
        </is>
      </c>
      <c r="F27" s="139" t="inlineStr">
        <is>
          <t>YARD</t>
        </is>
      </c>
      <c r="G27" s="139" t="inlineStr">
        <is>
          <t>YARD</t>
        </is>
      </c>
      <c r="H27" s="139" t="inlineStr">
        <is>
          <t>YARD</t>
        </is>
      </c>
      <c r="I27" s="139" t="inlineStr">
        <is>
          <t>YARD</t>
        </is>
      </c>
      <c r="J27" s="139" t="inlineStr">
        <is>
          <t>ALL</t>
        </is>
      </c>
      <c r="K27" s="140" t="inlineStr">
        <is>
          <t>—</t>
        </is>
      </c>
    </row>
    <row r="28" ht="36" customHeight="1" s="94">
      <c r="A28" s="132" t="inlineStr">
        <is>
          <t>reefer.request.create</t>
        </is>
      </c>
      <c r="B28" s="133" t="inlineStr">
        <is>
          <t>Tạo phiếu yêu cầu cắm/rút (kể cả cont chưa vào)</t>
        </is>
      </c>
      <c r="C28" s="133" t="inlineStr">
        <is>
          <t>V1</t>
        </is>
      </c>
      <c r="D28" s="141" t="inlineStr">
        <is>
          <t>—</t>
        </is>
      </c>
      <c r="E28" s="141" t="inlineStr">
        <is>
          <t>—</t>
        </is>
      </c>
      <c r="F28" s="139" t="inlineStr">
        <is>
          <t>YARD</t>
        </is>
      </c>
      <c r="G28" s="139" t="inlineStr">
        <is>
          <t>YARD</t>
        </is>
      </c>
      <c r="H28" s="141" t="inlineStr">
        <is>
          <t>—</t>
        </is>
      </c>
      <c r="I28" s="141" t="inlineStr">
        <is>
          <t>—</t>
        </is>
      </c>
      <c r="J28" s="139" t="inlineStr">
        <is>
          <t>ALL</t>
        </is>
      </c>
      <c r="K28" s="141" t="inlineStr">
        <is>
          <t>—</t>
        </is>
      </c>
    </row>
    <row r="29" ht="36" customHeight="1" s="94">
      <c r="A29" s="129" t="inlineStr">
        <is>
          <t>reefer.request.update</t>
        </is>
      </c>
      <c r="B29" s="130" t="inlineStr">
        <is>
          <t>Sửa thông tin yêu cầu dự kiến</t>
        </is>
      </c>
      <c r="C29" s="130" t="inlineStr">
        <is>
          <t>V1</t>
        </is>
      </c>
      <c r="D29" s="140" t="inlineStr">
        <is>
          <t>—</t>
        </is>
      </c>
      <c r="E29" s="140" t="inlineStr">
        <is>
          <t>—</t>
        </is>
      </c>
      <c r="F29" s="139" t="inlineStr">
        <is>
          <t>YARD</t>
        </is>
      </c>
      <c r="G29" s="139" t="inlineStr">
        <is>
          <t>YARD</t>
        </is>
      </c>
      <c r="H29" s="140" t="inlineStr">
        <is>
          <t>—</t>
        </is>
      </c>
      <c r="I29" s="140" t="inlineStr">
        <is>
          <t>—</t>
        </is>
      </c>
      <c r="J29" s="139" t="inlineStr">
        <is>
          <t>ALL</t>
        </is>
      </c>
      <c r="K29" s="140" t="inlineStr">
        <is>
          <t>—</t>
        </is>
      </c>
    </row>
    <row r="30" ht="36" customHeight="1" s="94">
      <c r="A30" s="132" t="inlineStr">
        <is>
          <t>reefer.request.cancel</t>
        </is>
      </c>
      <c r="B30" s="133" t="inlineStr">
        <is>
          <t>Hủy phiếu điện chưa thực hiện</t>
        </is>
      </c>
      <c r="C30" s="133" t="inlineStr">
        <is>
          <t>V1</t>
        </is>
      </c>
      <c r="D30" s="141" t="inlineStr">
        <is>
          <t>—</t>
        </is>
      </c>
      <c r="E30" s="141" t="inlineStr">
        <is>
          <t>—</t>
        </is>
      </c>
      <c r="F30" s="139" t="inlineStr">
        <is>
          <t>YARD</t>
        </is>
      </c>
      <c r="G30" s="139" t="inlineStr">
        <is>
          <t>YARD</t>
        </is>
      </c>
      <c r="H30" s="141" t="inlineStr">
        <is>
          <t>—</t>
        </is>
      </c>
      <c r="I30" s="141" t="inlineStr">
        <is>
          <t>—</t>
        </is>
      </c>
      <c r="J30" s="139" t="inlineStr">
        <is>
          <t>ALL</t>
        </is>
      </c>
      <c r="K30" s="141" t="inlineStr">
        <is>
          <t>—</t>
        </is>
      </c>
    </row>
    <row r="31" ht="36" customHeight="1" s="94">
      <c r="A31" s="129" t="inlineStr">
        <is>
          <t>reefer.request.alert.view</t>
        </is>
      </c>
      <c r="B31" s="130" t="inlineStr">
        <is>
          <t>Xem cảnh báo yêu cầu điện khi xe vào</t>
        </is>
      </c>
      <c r="C31" s="130" t="inlineStr">
        <is>
          <t>V1</t>
        </is>
      </c>
      <c r="D31" s="139" t="inlineStr">
        <is>
          <t>YARD</t>
        </is>
      </c>
      <c r="E31" s="139" t="inlineStr">
        <is>
          <t>YARD</t>
        </is>
      </c>
      <c r="F31" s="139" t="inlineStr">
        <is>
          <t>YARD</t>
        </is>
      </c>
      <c r="G31" s="139" t="inlineStr">
        <is>
          <t>YARD</t>
        </is>
      </c>
      <c r="H31" s="140" t="inlineStr">
        <is>
          <t>—</t>
        </is>
      </c>
      <c r="I31" s="140" t="inlineStr">
        <is>
          <t>—</t>
        </is>
      </c>
      <c r="J31" s="139" t="inlineStr">
        <is>
          <t>ALL</t>
        </is>
      </c>
      <c r="K31" s="140" t="inlineStr">
        <is>
          <t>—</t>
        </is>
      </c>
    </row>
    <row r="32" ht="36" customHeight="1" s="94">
      <c r="A32" s="132" t="inlineStr">
        <is>
          <t>reefer.request.match_confirm</t>
        </is>
      </c>
      <c r="B32" s="133" t="inlineStr">
        <is>
          <t>Xác nhận ghép phiếu dự kiến với cont thực</t>
        </is>
      </c>
      <c r="C32" s="133" t="inlineStr">
        <is>
          <t>V1</t>
        </is>
      </c>
      <c r="D32" s="139" t="inlineStr">
        <is>
          <t>YARD</t>
        </is>
      </c>
      <c r="E32" s="139" t="inlineStr">
        <is>
          <t>YARD</t>
        </is>
      </c>
      <c r="F32" s="139" t="inlineStr">
        <is>
          <t>YARD</t>
        </is>
      </c>
      <c r="G32" s="139" t="inlineStr">
        <is>
          <t>YARD</t>
        </is>
      </c>
      <c r="H32" s="141" t="inlineStr">
        <is>
          <t>—</t>
        </is>
      </c>
      <c r="I32" s="141" t="inlineStr">
        <is>
          <t>—</t>
        </is>
      </c>
      <c r="J32" s="139" t="inlineStr">
        <is>
          <t>ALL</t>
        </is>
      </c>
      <c r="K32" s="141" t="inlineStr">
        <is>
          <t>—</t>
        </is>
      </c>
    </row>
    <row r="33" ht="36" customHeight="1" s="94">
      <c r="A33" s="129" t="inlineStr">
        <is>
          <t>reefer.field_work.note</t>
        </is>
      </c>
      <c r="B33" s="130" t="inlineStr">
        <is>
          <t>Ghi nhận thông tin An ninh báo cắm/rút ngoài hiện trường</t>
        </is>
      </c>
      <c r="C33" s="130" t="inlineStr">
        <is>
          <t>V1</t>
        </is>
      </c>
      <c r="D33" s="139" t="inlineStr">
        <is>
          <t>YARD</t>
        </is>
      </c>
      <c r="E33" s="139" t="inlineStr">
        <is>
          <t>YARD</t>
        </is>
      </c>
      <c r="F33" s="139" t="inlineStr">
        <is>
          <t>YARD</t>
        </is>
      </c>
      <c r="G33" s="139" t="inlineStr">
        <is>
          <t>YARD</t>
        </is>
      </c>
      <c r="H33" s="140" t="inlineStr">
        <is>
          <t>—</t>
        </is>
      </c>
      <c r="I33" s="140" t="inlineStr">
        <is>
          <t>—</t>
        </is>
      </c>
      <c r="J33" s="139" t="inlineStr">
        <is>
          <t>ALL</t>
        </is>
      </c>
      <c r="K33" s="140" t="inlineStr">
        <is>
          <t>—</t>
        </is>
      </c>
    </row>
    <row r="34" ht="36" customHeight="1" s="94">
      <c r="A34" s="132" t="inlineStr">
        <is>
          <t>reefer.session.read</t>
        </is>
      </c>
      <c r="B34" s="133" t="inlineStr">
        <is>
          <t>Xem phiên điện/trạng thái</t>
        </is>
      </c>
      <c r="C34" s="133" t="inlineStr">
        <is>
          <t>V1</t>
        </is>
      </c>
      <c r="D34" s="139" t="inlineStr">
        <is>
          <t>YARD</t>
        </is>
      </c>
      <c r="E34" s="139" t="inlineStr">
        <is>
          <t>YARD</t>
        </is>
      </c>
      <c r="F34" s="139" t="inlineStr">
        <is>
          <t>YARD</t>
        </is>
      </c>
      <c r="G34" s="139" t="inlineStr">
        <is>
          <t>YARD</t>
        </is>
      </c>
      <c r="H34" s="139" t="inlineStr">
        <is>
          <t>YARD</t>
        </is>
      </c>
      <c r="I34" s="139" t="inlineStr">
        <is>
          <t>YARD</t>
        </is>
      </c>
      <c r="J34" s="139" t="inlineStr">
        <is>
          <t>ALL</t>
        </is>
      </c>
      <c r="K34" s="141" t="inlineStr">
        <is>
          <t>—</t>
        </is>
      </c>
    </row>
    <row r="35" ht="36" customHeight="1" s="94">
      <c r="A35" s="129" t="inlineStr">
        <is>
          <t>reefer.session.actual_start.record</t>
        </is>
      </c>
      <c r="B35" s="130" t="inlineStr">
        <is>
          <t>CCKB nhập giờ cắm thực tế</t>
        </is>
      </c>
      <c r="C35" s="130" t="inlineStr">
        <is>
          <t>V1</t>
        </is>
      </c>
      <c r="D35" s="140" t="inlineStr">
        <is>
          <t>—</t>
        </is>
      </c>
      <c r="E35" s="140" t="inlineStr">
        <is>
          <t>—</t>
        </is>
      </c>
      <c r="F35" s="139" t="inlineStr">
        <is>
          <t>YARD</t>
        </is>
      </c>
      <c r="G35" s="139" t="inlineStr">
        <is>
          <t>YARD</t>
        </is>
      </c>
      <c r="H35" s="140" t="inlineStr">
        <is>
          <t>—</t>
        </is>
      </c>
      <c r="I35" s="140" t="inlineStr">
        <is>
          <t>—</t>
        </is>
      </c>
      <c r="J35" s="139" t="inlineStr">
        <is>
          <t>ALL</t>
        </is>
      </c>
      <c r="K35" s="140" t="inlineStr">
        <is>
          <t>—</t>
        </is>
      </c>
    </row>
    <row r="36" ht="36" customHeight="1" s="94">
      <c r="A36" s="132" t="inlineStr">
        <is>
          <t>reefer.session.actual_end.record</t>
        </is>
      </c>
      <c r="B36" s="133" t="inlineStr">
        <is>
          <t>CCKB nhập giờ rút thực tế</t>
        </is>
      </c>
      <c r="C36" s="133" t="inlineStr">
        <is>
          <t>V1</t>
        </is>
      </c>
      <c r="D36" s="141" t="inlineStr">
        <is>
          <t>—</t>
        </is>
      </c>
      <c r="E36" s="141" t="inlineStr">
        <is>
          <t>—</t>
        </is>
      </c>
      <c r="F36" s="139" t="inlineStr">
        <is>
          <t>YARD</t>
        </is>
      </c>
      <c r="G36" s="139" t="inlineStr">
        <is>
          <t>YARD</t>
        </is>
      </c>
      <c r="H36" s="141" t="inlineStr">
        <is>
          <t>—</t>
        </is>
      </c>
      <c r="I36" s="141" t="inlineStr">
        <is>
          <t>—</t>
        </is>
      </c>
      <c r="J36" s="139" t="inlineStr">
        <is>
          <t>ALL</t>
        </is>
      </c>
      <c r="K36" s="141" t="inlineStr">
        <is>
          <t>—</t>
        </is>
      </c>
    </row>
    <row r="37" ht="36" customHeight="1" s="94">
      <c r="A37" s="129" t="inlineStr">
        <is>
          <t>reefer.session.time.edit_unpaid</t>
        </is>
      </c>
      <c r="B37" s="130" t="inlineStr">
        <is>
          <t>CCKB sửa giờ cắm/rút trước khi thu</t>
        </is>
      </c>
      <c r="C37" s="130" t="inlineStr">
        <is>
          <t>V1</t>
        </is>
      </c>
      <c r="D37" s="140" t="inlineStr">
        <is>
          <t>—</t>
        </is>
      </c>
      <c r="E37" s="140" t="inlineStr">
        <is>
          <t>—</t>
        </is>
      </c>
      <c r="F37" s="139" t="inlineStr">
        <is>
          <t>YARD</t>
        </is>
      </c>
      <c r="G37" s="139" t="inlineStr">
        <is>
          <t>YARD</t>
        </is>
      </c>
      <c r="H37" s="140" t="inlineStr">
        <is>
          <t>—</t>
        </is>
      </c>
      <c r="I37" s="140" t="inlineStr">
        <is>
          <t>—</t>
        </is>
      </c>
      <c r="J37" s="139" t="inlineStr">
        <is>
          <t>ALL</t>
        </is>
      </c>
      <c r="K37" s="140" t="inlineStr">
        <is>
          <t>—</t>
        </is>
      </c>
    </row>
    <row r="38" ht="36" customHeight="1" s="94">
      <c r="A38" s="132" t="inlineStr">
        <is>
          <t>reefer.session.billable.override_unpaid</t>
        </is>
      </c>
      <c r="B38" s="133" t="inlineStr">
        <is>
          <t>Chỉnh thời lượng tính tiền trước khi thu</t>
        </is>
      </c>
      <c r="C38" s="133" t="inlineStr">
        <is>
          <t>V1</t>
        </is>
      </c>
      <c r="D38" s="141" t="inlineStr">
        <is>
          <t>—</t>
        </is>
      </c>
      <c r="E38" s="141" t="inlineStr">
        <is>
          <t>—</t>
        </is>
      </c>
      <c r="F38" s="139" t="inlineStr">
        <is>
          <t>YARD</t>
        </is>
      </c>
      <c r="G38" s="139" t="inlineStr">
        <is>
          <t>YARD</t>
        </is>
      </c>
      <c r="H38" s="141" t="inlineStr">
        <is>
          <t>—</t>
        </is>
      </c>
      <c r="I38" s="141" t="inlineStr">
        <is>
          <t>—</t>
        </is>
      </c>
      <c r="J38" s="139" t="inlineStr">
        <is>
          <t>ALL</t>
        </is>
      </c>
      <c r="K38" s="141" t="inlineStr">
        <is>
          <t>—</t>
        </is>
      </c>
    </row>
    <row r="39" ht="36" customHeight="1" s="94">
      <c r="A39" s="129" t="inlineStr">
        <is>
          <t>reefer.session.amendment.request</t>
        </is>
      </c>
      <c r="B39" s="130" t="inlineStr">
        <is>
          <t>Đề nghị điều chỉnh giờ/tiền sau thu</t>
        </is>
      </c>
      <c r="C39" s="130" t="inlineStr">
        <is>
          <t>V1</t>
        </is>
      </c>
      <c r="D39" s="140" t="inlineStr">
        <is>
          <t>—</t>
        </is>
      </c>
      <c r="E39" s="140" t="inlineStr">
        <is>
          <t>—</t>
        </is>
      </c>
      <c r="F39" s="139" t="inlineStr">
        <is>
          <t>YARD</t>
        </is>
      </c>
      <c r="G39" s="139" t="inlineStr">
        <is>
          <t>YARD</t>
        </is>
      </c>
      <c r="H39" s="140" t="inlineStr">
        <is>
          <t>—</t>
        </is>
      </c>
      <c r="I39" s="140" t="inlineStr">
        <is>
          <t>—</t>
        </is>
      </c>
      <c r="J39" s="139" t="inlineStr">
        <is>
          <t>ALL</t>
        </is>
      </c>
      <c r="K39" s="140" t="inlineStr">
        <is>
          <t>—</t>
        </is>
      </c>
    </row>
    <row r="40" ht="36" customHeight="1" s="94">
      <c r="A40" s="132" t="inlineStr">
        <is>
          <t>reefer.session.amendment.approve</t>
        </is>
      </c>
      <c r="B40" s="133" t="inlineStr">
        <is>
          <t>Duyệt chênh lệch sau thu điện</t>
        </is>
      </c>
      <c r="C40" s="133" t="inlineStr">
        <is>
          <t>V1</t>
        </is>
      </c>
      <c r="D40" s="141" t="inlineStr">
        <is>
          <t>—</t>
        </is>
      </c>
      <c r="E40" s="141" t="inlineStr">
        <is>
          <t>—</t>
        </is>
      </c>
      <c r="F40" s="141" t="inlineStr">
        <is>
          <t>—</t>
        </is>
      </c>
      <c r="G40" s="139" t="inlineStr">
        <is>
          <t>DEPARTMENT</t>
        </is>
      </c>
      <c r="H40" s="141" t="inlineStr">
        <is>
          <t>—</t>
        </is>
      </c>
      <c r="I40" s="141" t="inlineStr">
        <is>
          <t>—</t>
        </is>
      </c>
      <c r="J40" s="139" t="inlineStr">
        <is>
          <t>ALL</t>
        </is>
      </c>
      <c r="K40" s="141" t="inlineStr">
        <is>
          <t>—</t>
        </is>
      </c>
    </row>
    <row r="41" ht="36" customHeight="1" s="94">
      <c r="A41" s="129" t="inlineStr">
        <is>
          <t>reefer.payment.collect</t>
        </is>
      </c>
      <c r="B41" s="130" t="inlineStr">
        <is>
          <t>Thu tiền điện từng phiên hoặc tổng hợp</t>
        </is>
      </c>
      <c r="C41" s="130" t="inlineStr">
        <is>
          <t>V1</t>
        </is>
      </c>
      <c r="D41" s="140" t="inlineStr">
        <is>
          <t>—</t>
        </is>
      </c>
      <c r="E41" s="140" t="inlineStr">
        <is>
          <t>—</t>
        </is>
      </c>
      <c r="F41" s="139" t="inlineStr">
        <is>
          <t>YARD</t>
        </is>
      </c>
      <c r="G41" s="139" t="inlineStr">
        <is>
          <t>YARD</t>
        </is>
      </c>
      <c r="H41" s="140" t="inlineStr">
        <is>
          <t>—</t>
        </is>
      </c>
      <c r="I41" s="140" t="inlineStr">
        <is>
          <t>—</t>
        </is>
      </c>
      <c r="J41" s="139" t="inlineStr">
        <is>
          <t>ALL</t>
        </is>
      </c>
      <c r="K41" s="140" t="inlineStr">
        <is>
          <t>—</t>
        </is>
      </c>
    </row>
    <row r="42" ht="36" customHeight="1" s="94">
      <c r="A42" s="132" t="inlineStr">
        <is>
          <t>reefer.payment.partial_collect</t>
        </is>
      </c>
      <c r="B42" s="133" t="inlineStr">
        <is>
          <t>Thu một phần phí điện</t>
        </is>
      </c>
      <c r="C42" s="133" t="inlineStr">
        <is>
          <t>V1</t>
        </is>
      </c>
      <c r="D42" s="141" t="inlineStr">
        <is>
          <t>—</t>
        </is>
      </c>
      <c r="E42" s="141" t="inlineStr">
        <is>
          <t>—</t>
        </is>
      </c>
      <c r="F42" s="139" t="inlineStr">
        <is>
          <t>YARD</t>
        </is>
      </c>
      <c r="G42" s="139" t="inlineStr">
        <is>
          <t>YARD</t>
        </is>
      </c>
      <c r="H42" s="141" t="inlineStr">
        <is>
          <t>—</t>
        </is>
      </c>
      <c r="I42" s="141" t="inlineStr">
        <is>
          <t>—</t>
        </is>
      </c>
      <c r="J42" s="139" t="inlineStr">
        <is>
          <t>ALL</t>
        </is>
      </c>
      <c r="K42" s="141" t="inlineStr">
        <is>
          <t>—</t>
        </is>
      </c>
    </row>
    <row r="43" ht="36" customHeight="1" s="94">
      <c r="A43" s="129" t="inlineStr">
        <is>
          <t>storage.payment.collect</t>
        </is>
      </c>
      <c r="B43" s="130" t="inlineStr">
        <is>
          <t>An ninh tính/thu phí lưu tại giờ cont ra</t>
        </is>
      </c>
      <c r="C43" s="130" t="inlineStr">
        <is>
          <t>V1</t>
        </is>
      </c>
      <c r="D43" s="139" t="inlineStr">
        <is>
          <t>YARD</t>
        </is>
      </c>
      <c r="E43" s="139" t="inlineStr">
        <is>
          <t>YARD</t>
        </is>
      </c>
      <c r="F43" s="140" t="inlineStr">
        <is>
          <t>—</t>
        </is>
      </c>
      <c r="G43" s="140" t="inlineStr">
        <is>
          <t>—</t>
        </is>
      </c>
      <c r="H43" s="140" t="inlineStr">
        <is>
          <t>—</t>
        </is>
      </c>
      <c r="I43" s="140" t="inlineStr">
        <is>
          <t>—</t>
        </is>
      </c>
      <c r="J43" s="139" t="inlineStr">
        <is>
          <t>ALL</t>
        </is>
      </c>
      <c r="K43" s="140" t="inlineStr">
        <is>
          <t>—</t>
        </is>
      </c>
    </row>
    <row r="44" ht="36" customHeight="1" s="94">
      <c r="A44" s="132" t="inlineStr">
        <is>
          <t>payment.bank_evidence.attach</t>
        </is>
      </c>
      <c r="B44" s="133" t="inlineStr">
        <is>
          <t>Đính kèm ảnh chứng từ thanh toán</t>
        </is>
      </c>
      <c r="C44" s="133" t="inlineStr">
        <is>
          <t>V1</t>
        </is>
      </c>
      <c r="D44" s="139" t="inlineStr">
        <is>
          <t>YARD</t>
        </is>
      </c>
      <c r="E44" s="139" t="inlineStr">
        <is>
          <t>YARD</t>
        </is>
      </c>
      <c r="F44" s="139" t="inlineStr">
        <is>
          <t>YARD</t>
        </is>
      </c>
      <c r="G44" s="139" t="inlineStr">
        <is>
          <t>YARD</t>
        </is>
      </c>
      <c r="H44" s="141" t="inlineStr">
        <is>
          <t>—</t>
        </is>
      </c>
      <c r="I44" s="141" t="inlineStr">
        <is>
          <t>—</t>
        </is>
      </c>
      <c r="J44" s="139" t="inlineStr">
        <is>
          <t>ALL</t>
        </is>
      </c>
      <c r="K44" s="141" t="inlineStr">
        <is>
          <t>—</t>
        </is>
      </c>
    </row>
    <row r="45" ht="36" customHeight="1" s="94">
      <c r="A45" s="129" t="inlineStr">
        <is>
          <t>payment.bank.reconcile</t>
        </is>
      </c>
      <c r="B45" s="130" t="inlineStr">
        <is>
          <t>Đối soát chuyển khoản theo bộ phận</t>
        </is>
      </c>
      <c r="C45" s="130" t="inlineStr">
        <is>
          <t>V1</t>
        </is>
      </c>
      <c r="D45" s="140" t="inlineStr">
        <is>
          <t>—</t>
        </is>
      </c>
      <c r="E45" s="139" t="inlineStr">
        <is>
          <t>DEPARTMENT</t>
        </is>
      </c>
      <c r="F45" s="140" t="inlineStr">
        <is>
          <t>—</t>
        </is>
      </c>
      <c r="G45" s="139" t="inlineStr">
        <is>
          <t>DEPARTMENT</t>
        </is>
      </c>
      <c r="H45" s="140" t="inlineStr">
        <is>
          <t>—</t>
        </is>
      </c>
      <c r="I45" s="140" t="inlineStr">
        <is>
          <t>—</t>
        </is>
      </c>
      <c r="J45" s="139" t="inlineStr">
        <is>
          <t>ALL</t>
        </is>
      </c>
      <c r="K45" s="140" t="inlineStr">
        <is>
          <t>—</t>
        </is>
      </c>
    </row>
    <row r="46" ht="36" customHeight="1" s="94">
      <c r="A46" s="132" t="inlineStr">
        <is>
          <t>payment.post_correction.request</t>
        </is>
      </c>
      <c r="B46" s="133" t="inlineStr">
        <is>
          <t>Yêu cầu xử lý chênh lệch khi sửa mã cont đã thu</t>
        </is>
      </c>
      <c r="C46" s="133" t="inlineStr">
        <is>
          <t>V1</t>
        </is>
      </c>
      <c r="D46" s="141" t="inlineStr">
        <is>
          <t>—</t>
        </is>
      </c>
      <c r="E46" s="139" t="inlineStr">
        <is>
          <t>YARD</t>
        </is>
      </c>
      <c r="F46" s="139" t="inlineStr">
        <is>
          <t>YARD</t>
        </is>
      </c>
      <c r="G46" s="139" t="inlineStr">
        <is>
          <t>YARD</t>
        </is>
      </c>
      <c r="H46" s="141" t="inlineStr">
        <is>
          <t>—</t>
        </is>
      </c>
      <c r="I46" s="141" t="inlineStr">
        <is>
          <t>—</t>
        </is>
      </c>
      <c r="J46" s="139" t="inlineStr">
        <is>
          <t>ALL</t>
        </is>
      </c>
      <c r="K46" s="141" t="inlineStr">
        <is>
          <t>—</t>
        </is>
      </c>
    </row>
    <row r="47" ht="36" customHeight="1" s="94">
      <c r="A47" s="129" t="inlineStr">
        <is>
          <t>payment.post_correction.approve</t>
        </is>
      </c>
      <c r="B47" s="130" t="inlineStr">
        <is>
          <t>Duyệt chênh lệch tiền do sửa số cont</t>
        </is>
      </c>
      <c r="C47" s="130" t="inlineStr">
        <is>
          <t>V1</t>
        </is>
      </c>
      <c r="D47" s="140" t="inlineStr">
        <is>
          <t>—</t>
        </is>
      </c>
      <c r="E47" s="140" t="inlineStr">
        <is>
          <t>—</t>
        </is>
      </c>
      <c r="F47" s="140" t="inlineStr">
        <is>
          <t>—</t>
        </is>
      </c>
      <c r="G47" s="139" t="inlineStr">
        <is>
          <t>DEPARTMENT</t>
        </is>
      </c>
      <c r="H47" s="140" t="inlineStr">
        <is>
          <t>—</t>
        </is>
      </c>
      <c r="I47" s="140" t="inlineStr">
        <is>
          <t>—</t>
        </is>
      </c>
      <c r="J47" s="139" t="inlineStr">
        <is>
          <t>ALL</t>
        </is>
      </c>
      <c r="K47" s="140" t="inlineStr">
        <is>
          <t>—</t>
        </is>
      </c>
    </row>
    <row r="48" ht="36" customHeight="1" s="94">
      <c r="A48" s="132" t="inlineStr">
        <is>
          <t>charge.adjust.request</t>
        </is>
      </c>
      <c r="B48" s="133" t="inlineStr">
        <is>
          <t>Gửi đề nghị miễn/giảm/điều chỉnh tiền</t>
        </is>
      </c>
      <c r="C48" s="133" t="inlineStr">
        <is>
          <t>GĐ sau</t>
        </is>
      </c>
      <c r="D48" s="141" t="inlineStr">
        <is>
          <t>—</t>
        </is>
      </c>
      <c r="E48" s="141" t="inlineStr">
        <is>
          <t>—</t>
        </is>
      </c>
      <c r="F48" s="141" t="inlineStr">
        <is>
          <t>—</t>
        </is>
      </c>
      <c r="G48" s="141" t="inlineStr">
        <is>
          <t>—</t>
        </is>
      </c>
      <c r="H48" s="141" t="inlineStr">
        <is>
          <t>—</t>
        </is>
      </c>
      <c r="I48" s="141" t="inlineStr">
        <is>
          <t>—</t>
        </is>
      </c>
      <c r="J48" s="141" t="inlineStr">
        <is>
          <t>—</t>
        </is>
      </c>
      <c r="K48" s="141" t="inlineStr">
        <is>
          <t>—</t>
        </is>
      </c>
    </row>
    <row r="49" ht="36" customHeight="1" s="94">
      <c r="A49" s="129" t="inlineStr">
        <is>
          <t>charge.adjust.approve</t>
        </is>
      </c>
      <c r="B49" s="130" t="inlineStr">
        <is>
          <t>Duyệt miễn/giảm/điều chỉnh tiền</t>
        </is>
      </c>
      <c r="C49" s="130" t="inlineStr">
        <is>
          <t>GĐ sau</t>
        </is>
      </c>
      <c r="D49" s="140" t="inlineStr">
        <is>
          <t>—</t>
        </is>
      </c>
      <c r="E49" s="140" t="inlineStr">
        <is>
          <t>—</t>
        </is>
      </c>
      <c r="F49" s="140" t="inlineStr">
        <is>
          <t>—</t>
        </is>
      </c>
      <c r="G49" s="140" t="inlineStr">
        <is>
          <t>—</t>
        </is>
      </c>
      <c r="H49" s="140" t="inlineStr">
        <is>
          <t>—</t>
        </is>
      </c>
      <c r="I49" s="140" t="inlineStr">
        <is>
          <t>—</t>
        </is>
      </c>
      <c r="J49" s="140" t="inlineStr">
        <is>
          <t>—</t>
        </is>
      </c>
      <c r="K49" s="140" t="inlineStr">
        <is>
          <t>—</t>
        </is>
      </c>
    </row>
    <row r="50" ht="36" customHeight="1" s="94">
      <c r="A50" s="132" t="inlineStr">
        <is>
          <t>payment.refund.request</t>
        </is>
      </c>
      <c r="B50" s="133" t="inlineStr">
        <is>
          <t>Đề nghị hoàn tiền</t>
        </is>
      </c>
      <c r="C50" s="133" t="inlineStr">
        <is>
          <t>GĐ sau</t>
        </is>
      </c>
      <c r="D50" s="141" t="inlineStr">
        <is>
          <t>—</t>
        </is>
      </c>
      <c r="E50" s="141" t="inlineStr">
        <is>
          <t>—</t>
        </is>
      </c>
      <c r="F50" s="141" t="inlineStr">
        <is>
          <t>—</t>
        </is>
      </c>
      <c r="G50" s="141" t="inlineStr">
        <is>
          <t>—</t>
        </is>
      </c>
      <c r="H50" s="141" t="inlineStr">
        <is>
          <t>—</t>
        </is>
      </c>
      <c r="I50" s="141" t="inlineStr">
        <is>
          <t>—</t>
        </is>
      </c>
      <c r="J50" s="141" t="inlineStr">
        <is>
          <t>—</t>
        </is>
      </c>
      <c r="K50" s="141" t="inlineStr">
        <is>
          <t>—</t>
        </is>
      </c>
    </row>
    <row r="51" ht="36" customHeight="1" s="94">
      <c r="A51" s="129" t="inlineStr">
        <is>
          <t>payment.refund.approve</t>
        </is>
      </c>
      <c r="B51" s="130" t="inlineStr">
        <is>
          <t>Duyệt hoàn tiền / hủy bút toán</t>
        </is>
      </c>
      <c r="C51" s="130" t="inlineStr">
        <is>
          <t>GĐ sau</t>
        </is>
      </c>
      <c r="D51" s="140" t="inlineStr">
        <is>
          <t>—</t>
        </is>
      </c>
      <c r="E51" s="140" t="inlineStr">
        <is>
          <t>—</t>
        </is>
      </c>
      <c r="F51" s="140" t="inlineStr">
        <is>
          <t>—</t>
        </is>
      </c>
      <c r="G51" s="140" t="inlineStr">
        <is>
          <t>—</t>
        </is>
      </c>
      <c r="H51" s="140" t="inlineStr">
        <is>
          <t>—</t>
        </is>
      </c>
      <c r="I51" s="140" t="inlineStr">
        <is>
          <t>—</t>
        </is>
      </c>
      <c r="J51" s="140" t="inlineStr">
        <is>
          <t>—</t>
        </is>
      </c>
      <c r="K51" s="140" t="inlineStr">
        <is>
          <t>—</t>
        </is>
      </c>
    </row>
    <row r="52" ht="36" customHeight="1" s="94">
      <c r="A52" s="132" t="inlineStr">
        <is>
          <t>exit.clearance.read</t>
        </is>
      </c>
      <c r="B52" s="133" t="inlineStr">
        <is>
          <t>Xem tình trạng tài chính và cho ra</t>
        </is>
      </c>
      <c r="C52" s="133" t="inlineStr">
        <is>
          <t>V1</t>
        </is>
      </c>
      <c r="D52" s="139" t="inlineStr">
        <is>
          <t>YARD</t>
        </is>
      </c>
      <c r="E52" s="139" t="inlineStr">
        <is>
          <t>YARD</t>
        </is>
      </c>
      <c r="F52" s="139" t="inlineStr">
        <is>
          <t>YARD</t>
        </is>
      </c>
      <c r="G52" s="139" t="inlineStr">
        <is>
          <t>YARD</t>
        </is>
      </c>
      <c r="H52" s="139" t="inlineStr">
        <is>
          <t>YARD</t>
        </is>
      </c>
      <c r="I52" s="139" t="inlineStr">
        <is>
          <t>YARD</t>
        </is>
      </c>
      <c r="J52" s="139" t="inlineStr">
        <is>
          <t>ALL</t>
        </is>
      </c>
      <c r="K52" s="141" t="inlineStr">
        <is>
          <t>—</t>
        </is>
      </c>
    </row>
    <row r="53" ht="36" customHeight="1" s="94">
      <c r="A53" s="129" t="inlineStr">
        <is>
          <t>exit.clearance.issue</t>
        </is>
      </c>
      <c r="B53" s="130" t="inlineStr">
        <is>
          <t>CCKB xác nhận điều kiện tài chính</t>
        </is>
      </c>
      <c r="C53" s="130" t="inlineStr">
        <is>
          <t>V1</t>
        </is>
      </c>
      <c r="D53" s="140" t="inlineStr">
        <is>
          <t>—</t>
        </is>
      </c>
      <c r="E53" s="140" t="inlineStr">
        <is>
          <t>—</t>
        </is>
      </c>
      <c r="F53" s="139" t="inlineStr">
        <is>
          <t>YARD</t>
        </is>
      </c>
      <c r="G53" s="139" t="inlineStr">
        <is>
          <t>YARD</t>
        </is>
      </c>
      <c r="H53" s="140" t="inlineStr">
        <is>
          <t>—</t>
        </is>
      </c>
      <c r="I53" s="140" t="inlineStr">
        <is>
          <t>—</t>
        </is>
      </c>
      <c r="J53" s="139" t="inlineStr">
        <is>
          <t>ALL</t>
        </is>
      </c>
      <c r="K53" s="140" t="inlineStr">
        <is>
          <t>—</t>
        </is>
      </c>
    </row>
    <row r="54" ht="36" customHeight="1" s="94">
      <c r="A54" s="132" t="inlineStr">
        <is>
          <t>exit.clearance.debt_exception</t>
        </is>
      </c>
      <c r="B54" s="133" t="inlineStr">
        <is>
          <t>CCKB xác nhận cho ra còn khoản chưa thu</t>
        </is>
      </c>
      <c r="C54" s="133" t="inlineStr">
        <is>
          <t>V1</t>
        </is>
      </c>
      <c r="D54" s="141" t="inlineStr">
        <is>
          <t>—</t>
        </is>
      </c>
      <c r="E54" s="141" t="inlineStr">
        <is>
          <t>—</t>
        </is>
      </c>
      <c r="F54" s="139" t="inlineStr">
        <is>
          <t>YARD</t>
        </is>
      </c>
      <c r="G54" s="139" t="inlineStr">
        <is>
          <t>YARD</t>
        </is>
      </c>
      <c r="H54" s="141" t="inlineStr">
        <is>
          <t>—</t>
        </is>
      </c>
      <c r="I54" s="141" t="inlineStr">
        <is>
          <t>—</t>
        </is>
      </c>
      <c r="J54" s="139" t="inlineStr">
        <is>
          <t>ALL</t>
        </is>
      </c>
      <c r="K54" s="141" t="inlineStr">
        <is>
          <t>—</t>
        </is>
      </c>
    </row>
    <row r="55" ht="36" customHeight="1" s="94">
      <c r="A55" s="129" t="inlineStr">
        <is>
          <t>exit.clearance.revoke.request</t>
        </is>
      </c>
      <c r="B55" s="130" t="inlineStr">
        <is>
          <t>Đề nghị thu hồi chấp thuận xuất trước khi xe ra</t>
        </is>
      </c>
      <c r="C55" s="130" t="inlineStr">
        <is>
          <t>V1</t>
        </is>
      </c>
      <c r="D55" s="140" t="inlineStr">
        <is>
          <t>—</t>
        </is>
      </c>
      <c r="E55" s="140" t="inlineStr">
        <is>
          <t>—</t>
        </is>
      </c>
      <c r="F55" s="139" t="inlineStr">
        <is>
          <t>YARD</t>
        </is>
      </c>
      <c r="G55" s="139" t="inlineStr">
        <is>
          <t>YARD</t>
        </is>
      </c>
      <c r="H55" s="140" t="inlineStr">
        <is>
          <t>—</t>
        </is>
      </c>
      <c r="I55" s="140" t="inlineStr">
        <is>
          <t>—</t>
        </is>
      </c>
      <c r="J55" s="139" t="inlineStr">
        <is>
          <t>ALL</t>
        </is>
      </c>
      <c r="K55" s="140" t="inlineStr">
        <is>
          <t>—</t>
        </is>
      </c>
    </row>
    <row r="56" ht="36" customHeight="1" s="94">
      <c r="A56" s="132" t="inlineStr">
        <is>
          <t>exit.clearance.revoke.approve</t>
        </is>
      </c>
      <c r="B56" s="133" t="inlineStr">
        <is>
          <t>Thu hồi chấp thuận cho ra trước khi thực xuất</t>
        </is>
      </c>
      <c r="C56" s="133" t="inlineStr">
        <is>
          <t>V1</t>
        </is>
      </c>
      <c r="D56" s="141" t="inlineStr">
        <is>
          <t>—</t>
        </is>
      </c>
      <c r="E56" s="141" t="inlineStr">
        <is>
          <t>—</t>
        </is>
      </c>
      <c r="F56" s="141" t="inlineStr">
        <is>
          <t>—</t>
        </is>
      </c>
      <c r="G56" s="139" t="inlineStr">
        <is>
          <t>DEPARTMENT</t>
        </is>
      </c>
      <c r="H56" s="141" t="inlineStr">
        <is>
          <t>—</t>
        </is>
      </c>
      <c r="I56" s="141" t="inlineStr">
        <is>
          <t>—</t>
        </is>
      </c>
      <c r="J56" s="139" t="inlineStr">
        <is>
          <t>ALL</t>
        </is>
      </c>
      <c r="K56" s="141" t="inlineStr">
        <is>
          <t>—</t>
        </is>
      </c>
    </row>
    <row r="57" ht="36" customHeight="1" s="94">
      <c r="A57" s="129" t="inlineStr">
        <is>
          <t>exit.actual.confirm</t>
        </is>
      </c>
      <c r="B57" s="130" t="inlineStr">
        <is>
          <t>An ninh xác nhận cont/xe ra thật</t>
        </is>
      </c>
      <c r="C57" s="130" t="inlineStr">
        <is>
          <t>V1</t>
        </is>
      </c>
      <c r="D57" s="139" t="inlineStr">
        <is>
          <t>YARD</t>
        </is>
      </c>
      <c r="E57" s="139" t="inlineStr">
        <is>
          <t>YARD</t>
        </is>
      </c>
      <c r="F57" s="140" t="inlineStr">
        <is>
          <t>—</t>
        </is>
      </c>
      <c r="G57" s="140" t="inlineStr">
        <is>
          <t>—</t>
        </is>
      </c>
      <c r="H57" s="140" t="inlineStr">
        <is>
          <t>—</t>
        </is>
      </c>
      <c r="I57" s="140" t="inlineStr">
        <is>
          <t>—</t>
        </is>
      </c>
      <c r="J57" s="139" t="inlineStr">
        <is>
          <t>ALL</t>
        </is>
      </c>
      <c r="K57" s="140" t="inlineStr">
        <is>
          <t>—</t>
        </is>
      </c>
    </row>
    <row r="58" ht="36" customHeight="1" s="94">
      <c r="A58" s="132" t="inlineStr">
        <is>
          <t>exit.reefer_state.exception</t>
        </is>
      </c>
      <c r="B58" s="133" t="inlineStr">
        <is>
          <t>CCKB ghi ngoại lệ trạng thái điện chưa cập nhật</t>
        </is>
      </c>
      <c r="C58" s="133" t="inlineStr">
        <is>
          <t>V1</t>
        </is>
      </c>
      <c r="D58" s="141" t="inlineStr">
        <is>
          <t>—</t>
        </is>
      </c>
      <c r="E58" s="141" t="inlineStr">
        <is>
          <t>—</t>
        </is>
      </c>
      <c r="F58" s="139" t="inlineStr">
        <is>
          <t>YARD</t>
        </is>
      </c>
      <c r="G58" s="139" t="inlineStr">
        <is>
          <t>YARD</t>
        </is>
      </c>
      <c r="H58" s="141" t="inlineStr">
        <is>
          <t>—</t>
        </is>
      </c>
      <c r="I58" s="141" t="inlineStr">
        <is>
          <t>—</t>
        </is>
      </c>
      <c r="J58" s="139" t="inlineStr">
        <is>
          <t>ALL</t>
        </is>
      </c>
      <c r="K58" s="141" t="inlineStr">
        <is>
          <t>—</t>
        </is>
      </c>
    </row>
    <row r="59" ht="36" customHeight="1" s="94">
      <c r="A59" s="129" t="inlineStr">
        <is>
          <t>report.revenue.read</t>
        </is>
      </c>
      <c r="B59" s="130" t="inlineStr">
        <is>
          <t>Xem doanh thu và khoản thu theo phạm vi</t>
        </is>
      </c>
      <c r="C59" s="130" t="inlineStr">
        <is>
          <t>V1</t>
        </is>
      </c>
      <c r="D59" s="139" t="inlineStr">
        <is>
          <t>SELF</t>
        </is>
      </c>
      <c r="E59" s="139" t="inlineStr">
        <is>
          <t>DEPARTMENT</t>
        </is>
      </c>
      <c r="F59" s="139" t="inlineStr">
        <is>
          <t>SELF</t>
        </is>
      </c>
      <c r="G59" s="139" t="inlineStr">
        <is>
          <t>DEPARTMENT</t>
        </is>
      </c>
      <c r="H59" s="140" t="inlineStr">
        <is>
          <t>—</t>
        </is>
      </c>
      <c r="I59" s="140" t="inlineStr">
        <is>
          <t>—</t>
        </is>
      </c>
      <c r="J59" s="139" t="inlineStr">
        <is>
          <t>ALL</t>
        </is>
      </c>
      <c r="K59" s="140" t="inlineStr">
        <is>
          <t>—</t>
        </is>
      </c>
    </row>
    <row r="60" ht="36" customHeight="1" s="94">
      <c r="A60" s="132" t="inlineStr">
        <is>
          <t>report.revenue.export</t>
        </is>
      </c>
      <c r="B60" s="133" t="inlineStr">
        <is>
          <t>Xuất báo cáo doanh thu theo bộ phận</t>
        </is>
      </c>
      <c r="C60" s="133" t="inlineStr">
        <is>
          <t>V1</t>
        </is>
      </c>
      <c r="D60" s="141" t="inlineStr">
        <is>
          <t>—</t>
        </is>
      </c>
      <c r="E60" s="139" t="inlineStr">
        <is>
          <t>DEPARTMENT</t>
        </is>
      </c>
      <c r="F60" s="141" t="inlineStr">
        <is>
          <t>—</t>
        </is>
      </c>
      <c r="G60" s="139" t="inlineStr">
        <is>
          <t>DEPARTMENT</t>
        </is>
      </c>
      <c r="H60" s="141" t="inlineStr">
        <is>
          <t>—</t>
        </is>
      </c>
      <c r="I60" s="141" t="inlineStr">
        <is>
          <t>—</t>
        </is>
      </c>
      <c r="J60" s="139" t="inlineStr">
        <is>
          <t>ALL</t>
        </is>
      </c>
      <c r="K60" s="141" t="inlineStr">
        <is>
          <t>—</t>
        </is>
      </c>
    </row>
    <row r="61" ht="36" customHeight="1" s="94">
      <c r="A61" s="129" t="inlineStr">
        <is>
          <t>audit.read</t>
        </is>
      </c>
      <c r="B61" s="130" t="inlineStr">
        <is>
          <t>Xem lịch sử thao tác thuộc phạm vi</t>
        </is>
      </c>
      <c r="C61" s="130" t="inlineStr">
        <is>
          <t>V1</t>
        </is>
      </c>
      <c r="D61" s="140" t="inlineStr">
        <is>
          <t>—</t>
        </is>
      </c>
      <c r="E61" s="139" t="inlineStr">
        <is>
          <t>DEPARTMENT</t>
        </is>
      </c>
      <c r="F61" s="140" t="inlineStr">
        <is>
          <t>—</t>
        </is>
      </c>
      <c r="G61" s="139" t="inlineStr">
        <is>
          <t>DEPARTMENT</t>
        </is>
      </c>
      <c r="H61" s="140" t="inlineStr">
        <is>
          <t>—</t>
        </is>
      </c>
      <c r="I61" s="139" t="inlineStr">
        <is>
          <t>DEPARTMENT</t>
        </is>
      </c>
      <c r="J61" s="139" t="inlineStr">
        <is>
          <t>ALL</t>
        </is>
      </c>
      <c r="K61" s="140" t="inlineStr">
        <is>
          <t>—</t>
        </is>
      </c>
    </row>
    <row r="62" ht="36" customHeight="1" s="94">
      <c r="A62" s="132" t="inlineStr">
        <is>
          <t>audit.export_all</t>
        </is>
      </c>
      <c r="B62" s="133" t="inlineStr">
        <is>
          <t>Xuất nhật ký kiểm toán toàn hệ thống</t>
        </is>
      </c>
      <c r="C62" s="133" t="inlineStr">
        <is>
          <t>V1</t>
        </is>
      </c>
      <c r="D62" s="141" t="inlineStr">
        <is>
          <t>—</t>
        </is>
      </c>
      <c r="E62" s="141" t="inlineStr">
        <is>
          <t>—</t>
        </is>
      </c>
      <c r="F62" s="141" t="inlineStr">
        <is>
          <t>—</t>
        </is>
      </c>
      <c r="G62" s="141" t="inlineStr">
        <is>
          <t>—</t>
        </is>
      </c>
      <c r="H62" s="141" t="inlineStr">
        <is>
          <t>—</t>
        </is>
      </c>
      <c r="I62" s="141" t="inlineStr">
        <is>
          <t>—</t>
        </is>
      </c>
      <c r="J62" s="139" t="inlineStr">
        <is>
          <t>ALL</t>
        </is>
      </c>
      <c r="K62" s="141" t="inlineStr">
        <is>
          <t>—</t>
        </is>
      </c>
    </row>
    <row r="63" ht="36" customHeight="1" s="94">
      <c r="A63" s="129" t="inlineStr">
        <is>
          <t>tariff.read</t>
        </is>
      </c>
      <c r="B63" s="130" t="inlineStr">
        <is>
          <t>Xem giá dịch vụ theo hiệu lực</t>
        </is>
      </c>
      <c r="C63" s="130" t="inlineStr">
        <is>
          <t>V1</t>
        </is>
      </c>
      <c r="D63" s="139" t="inlineStr">
        <is>
          <t>YARD</t>
        </is>
      </c>
      <c r="E63" s="139" t="inlineStr">
        <is>
          <t>YARD</t>
        </is>
      </c>
      <c r="F63" s="139" t="inlineStr">
        <is>
          <t>YARD</t>
        </is>
      </c>
      <c r="G63" s="139" t="inlineStr">
        <is>
          <t>YARD</t>
        </is>
      </c>
      <c r="H63" s="139" t="inlineStr">
        <is>
          <t>YARD</t>
        </is>
      </c>
      <c r="I63" s="139" t="inlineStr">
        <is>
          <t>YARD</t>
        </is>
      </c>
      <c r="J63" s="139" t="inlineStr">
        <is>
          <t>ALL</t>
        </is>
      </c>
      <c r="K63" s="140" t="inlineStr">
        <is>
          <t>—</t>
        </is>
      </c>
    </row>
    <row r="64" ht="36" customHeight="1" s="94">
      <c r="A64" s="132" t="inlineStr">
        <is>
          <t>tariff.change.request</t>
        </is>
      </c>
      <c r="B64" s="133" t="inlineStr">
        <is>
          <t>Gửi đề nghị thay đổi bảng giá</t>
        </is>
      </c>
      <c r="C64" s="133" t="inlineStr">
        <is>
          <t>V1</t>
        </is>
      </c>
      <c r="D64" s="141" t="inlineStr">
        <is>
          <t>—</t>
        </is>
      </c>
      <c r="E64" s="141" t="inlineStr">
        <is>
          <t>—</t>
        </is>
      </c>
      <c r="F64" s="141" t="inlineStr">
        <is>
          <t>—</t>
        </is>
      </c>
      <c r="G64" s="139" t="inlineStr">
        <is>
          <t>DEPARTMENT</t>
        </is>
      </c>
      <c r="H64" s="141" t="inlineStr">
        <is>
          <t>—</t>
        </is>
      </c>
      <c r="I64" s="141" t="inlineStr">
        <is>
          <t>—</t>
        </is>
      </c>
      <c r="J64" s="139" t="inlineStr">
        <is>
          <t>ALL</t>
        </is>
      </c>
      <c r="K64" s="141" t="inlineStr">
        <is>
          <t>—</t>
        </is>
      </c>
    </row>
    <row r="65" ht="36" customHeight="1" s="94">
      <c r="A65" s="129" t="inlineStr">
        <is>
          <t>tariff.change.publish</t>
        </is>
      </c>
      <c r="B65" s="130" t="inlineStr">
        <is>
          <t>Ban hành mức giá và ngày hiệu lực</t>
        </is>
      </c>
      <c r="C65" s="130" t="inlineStr">
        <is>
          <t>V1</t>
        </is>
      </c>
      <c r="D65" s="140" t="inlineStr">
        <is>
          <t>—</t>
        </is>
      </c>
      <c r="E65" s="140" t="inlineStr">
        <is>
          <t>—</t>
        </is>
      </c>
      <c r="F65" s="140" t="inlineStr">
        <is>
          <t>—</t>
        </is>
      </c>
      <c r="G65" s="140" t="inlineStr">
        <is>
          <t>—</t>
        </is>
      </c>
      <c r="H65" s="140" t="inlineStr">
        <is>
          <t>—</t>
        </is>
      </c>
      <c r="I65" s="140" t="inlineStr">
        <is>
          <t>—</t>
        </is>
      </c>
      <c r="J65" s="139" t="inlineStr">
        <is>
          <t>ALL</t>
        </is>
      </c>
      <c r="K65" s="140" t="inlineStr">
        <is>
          <t>—</t>
        </is>
      </c>
    </row>
    <row r="66" ht="36" customHeight="1" s="94">
      <c r="A66" s="132" t="inlineStr">
        <is>
          <t>admin.users.manage</t>
        </is>
      </c>
      <c r="B66" s="133" t="inlineStr">
        <is>
          <t>Tạo/khóa user và gán role theo phạm vi</t>
        </is>
      </c>
      <c r="C66" s="133" t="inlineStr">
        <is>
          <t>V1</t>
        </is>
      </c>
      <c r="D66" s="141" t="inlineStr">
        <is>
          <t>—</t>
        </is>
      </c>
      <c r="E66" s="141" t="inlineStr">
        <is>
          <t>—</t>
        </is>
      </c>
      <c r="F66" s="141" t="inlineStr">
        <is>
          <t>—</t>
        </is>
      </c>
      <c r="G66" s="141" t="inlineStr">
        <is>
          <t>—</t>
        </is>
      </c>
      <c r="H66" s="141" t="inlineStr">
        <is>
          <t>—</t>
        </is>
      </c>
      <c r="I66" s="141" t="inlineStr">
        <is>
          <t>—</t>
        </is>
      </c>
      <c r="J66" s="139" t="inlineStr">
        <is>
          <t>ALL</t>
        </is>
      </c>
      <c r="K66" s="141" t="inlineStr">
        <is>
          <t>—</t>
        </is>
      </c>
    </row>
    <row r="67" ht="36" customHeight="1" s="94">
      <c r="A67" s="129" t="inlineStr">
        <is>
          <t>admin.roles.manage</t>
        </is>
      </c>
      <c r="B67" s="130" t="inlineStr">
        <is>
          <t>Thêm/sửa tên vai trò và thành phần vai trò</t>
        </is>
      </c>
      <c r="C67" s="130" t="inlineStr">
        <is>
          <t>V1</t>
        </is>
      </c>
      <c r="D67" s="140" t="inlineStr">
        <is>
          <t>—</t>
        </is>
      </c>
      <c r="E67" s="140" t="inlineStr">
        <is>
          <t>—</t>
        </is>
      </c>
      <c r="F67" s="140" t="inlineStr">
        <is>
          <t>—</t>
        </is>
      </c>
      <c r="G67" s="140" t="inlineStr">
        <is>
          <t>—</t>
        </is>
      </c>
      <c r="H67" s="140" t="inlineStr">
        <is>
          <t>—</t>
        </is>
      </c>
      <c r="I67" s="140" t="inlineStr">
        <is>
          <t>—</t>
        </is>
      </c>
      <c r="J67" s="139" t="inlineStr">
        <is>
          <t>ALL</t>
        </is>
      </c>
      <c r="K67" s="140" t="inlineStr">
        <is>
          <t>—</t>
        </is>
      </c>
    </row>
    <row r="68" ht="36" customHeight="1" s="94">
      <c r="A68" s="132" t="inlineStr">
        <is>
          <t>admin.role_permissions.manage</t>
        </is>
      </c>
      <c r="B68" s="133" t="inlineStr">
        <is>
          <t>Cấp/thu hồi quyền của vai trò</t>
        </is>
      </c>
      <c r="C68" s="133" t="inlineStr">
        <is>
          <t>V1</t>
        </is>
      </c>
      <c r="D68" s="141" t="inlineStr">
        <is>
          <t>—</t>
        </is>
      </c>
      <c r="E68" s="141" t="inlineStr">
        <is>
          <t>—</t>
        </is>
      </c>
      <c r="F68" s="141" t="inlineStr">
        <is>
          <t>—</t>
        </is>
      </c>
      <c r="G68" s="141" t="inlineStr">
        <is>
          <t>—</t>
        </is>
      </c>
      <c r="H68" s="141" t="inlineStr">
        <is>
          <t>—</t>
        </is>
      </c>
      <c r="I68" s="141" t="inlineStr">
        <is>
          <t>—</t>
        </is>
      </c>
      <c r="J68" s="139" t="inlineStr">
        <is>
          <t>ALL</t>
        </is>
      </c>
      <c r="K68" s="141" t="inlineStr">
        <is>
          <t>—</t>
        </is>
      </c>
    </row>
    <row r="69" ht="36" customHeight="1" s="94">
      <c r="A69" s="129" t="inlineStr">
        <is>
          <t>admin.billing_settings.manage</t>
        </is>
      </c>
      <c r="B69" s="130" t="inlineStr">
        <is>
          <t>Quản lý tham số tính phí và chức năng mở rộng</t>
        </is>
      </c>
      <c r="C69" s="130" t="inlineStr">
        <is>
          <t>V1</t>
        </is>
      </c>
      <c r="D69" s="140" t="inlineStr">
        <is>
          <t>—</t>
        </is>
      </c>
      <c r="E69" s="140" t="inlineStr">
        <is>
          <t>—</t>
        </is>
      </c>
      <c r="F69" s="140" t="inlineStr">
        <is>
          <t>—</t>
        </is>
      </c>
      <c r="G69" s="140" t="inlineStr">
        <is>
          <t>—</t>
        </is>
      </c>
      <c r="H69" s="140" t="inlineStr">
        <is>
          <t>—</t>
        </is>
      </c>
      <c r="I69" s="140" t="inlineStr">
        <is>
          <t>—</t>
        </is>
      </c>
      <c r="J69" s="139" t="inlineStr">
        <is>
          <t>ALL</t>
        </is>
      </c>
      <c r="K69" s="140" t="inlineStr">
        <is>
          <t>—</t>
        </is>
      </c>
    </row>
    <row r="70" ht="36" customHeight="1" s="94">
      <c r="A70" s="132" t="inlineStr">
        <is>
          <t>admin.legacy_correct</t>
        </is>
      </c>
      <c r="B70" s="133" t="inlineStr">
        <is>
          <t>Sửa dữ liệu nhập lịch sử AppSheet có audit</t>
        </is>
      </c>
      <c r="C70" s="133" t="inlineStr">
        <is>
          <t>V1</t>
        </is>
      </c>
      <c r="D70" s="141" t="inlineStr">
        <is>
          <t>—</t>
        </is>
      </c>
      <c r="E70" s="141" t="inlineStr">
        <is>
          <t>—</t>
        </is>
      </c>
      <c r="F70" s="141" t="inlineStr">
        <is>
          <t>—</t>
        </is>
      </c>
      <c r="G70" s="141" t="inlineStr">
        <is>
          <t>—</t>
        </is>
      </c>
      <c r="H70" s="141" t="inlineStr">
        <is>
          <t>—</t>
        </is>
      </c>
      <c r="I70" s="141" t="inlineStr">
        <is>
          <t>—</t>
        </is>
      </c>
      <c r="J70" s="139" t="inlineStr">
        <is>
          <t>ALL</t>
        </is>
      </c>
      <c r="K70" s="141" t="inlineStr">
        <is>
          <t>—</t>
        </is>
      </c>
    </row>
    <row r="71" ht="36" customHeight="1" s="94">
      <c r="A71" s="129" t="inlineStr">
        <is>
          <t>accounting.invoice.prepare</t>
        </is>
      </c>
      <c r="B71" s="130" t="inlineStr">
        <is>
          <t>Nhập dữ liệu hóa đơn từ bộ phận Kế toán</t>
        </is>
      </c>
      <c r="C71" s="130" t="inlineStr">
        <is>
          <t>GĐ sau</t>
        </is>
      </c>
      <c r="D71" s="140" t="inlineStr">
        <is>
          <t>—</t>
        </is>
      </c>
      <c r="E71" s="140" t="inlineStr">
        <is>
          <t>—</t>
        </is>
      </c>
      <c r="F71" s="140" t="inlineStr">
        <is>
          <t>—</t>
        </is>
      </c>
      <c r="G71" s="140" t="inlineStr">
        <is>
          <t>—</t>
        </is>
      </c>
      <c r="H71" s="140" t="inlineStr">
        <is>
          <t>—</t>
        </is>
      </c>
      <c r="I71" s="140" t="inlineStr">
        <is>
          <t>—</t>
        </is>
      </c>
      <c r="J71" s="140" t="inlineStr">
        <is>
          <t>—</t>
        </is>
      </c>
      <c r="K71" s="140" t="inlineStr">
        <is>
          <t>—</t>
        </is>
      </c>
    </row>
  </sheetData>
  <autoFilter ref="A4:K71"/>
  <mergeCells count="2">
    <mergeCell ref="A2:K2"/>
    <mergeCell ref="A1:K1"/>
  </mergeCells>
  <printOptions horizontalCentered="1"/>
  <pageMargins left="0.75" right="0.75" top="1" bottom="1" header="0.5" footer="0.5"/>
  <pageSetup fitToWidth="1"/>
</worksheet>
</file>

<file path=xl/worksheets/sheet24.xml><?xml version="1.0" encoding="utf-8"?>
<worksheet xmlns="http://schemas.openxmlformats.org/spreadsheetml/2006/main">
  <sheetPr>
    <tabColor rgb="000A9444"/>
    <outlinePr summaryBelow="1" summaryRight="1"/>
    <pageSetUpPr fitToPage="1"/>
  </sheetPr>
  <dimension ref="A1:I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style="94" min="1" max="1"/>
    <col width="50" customWidth="1" style="94" min="2" max="2"/>
    <col width="43" customWidth="1" style="94" min="3" max="3"/>
    <col width="44" customWidth="1" style="94" min="4" max="4"/>
    <col width="38" customWidth="1" style="94" min="5" max="5"/>
    <col width="32" customWidth="1" style="94" min="6" max="6"/>
    <col width="24" customWidth="1" style="94" min="7" max="7"/>
    <col width="17" customWidth="1" style="94" min="8" max="8"/>
    <col width="92" customWidth="1" style="94" min="9" max="9"/>
  </cols>
  <sheetData>
    <row r="1" ht="34" customHeight="1" s="94">
      <c r="A1" s="126" t="inlineStr">
        <is>
          <t>V5 — CHÍNH SÁCH XỬ LÝ &amp; PHÊ DUYỆT</t>
        </is>
      </c>
    </row>
    <row r="2" ht="38" customHeight="1" s="94">
      <c r="A2" s="127" t="inlineStr">
        <is>
          <t>Không đồng nhất quyền sửa mã container với quyền sửa TIỀN đã thu. Trạng thái phê duyệt, lý do và người thực hiện đều được lưu.</t>
        </is>
      </c>
    </row>
    <row r="4" ht="38" customHeight="1" s="94">
      <c r="A4" s="128" t="inlineStr">
        <is>
          <t>Mã</t>
        </is>
      </c>
      <c r="B4" s="128" t="inlineStr">
        <is>
          <t>Tình huống</t>
        </is>
      </c>
      <c r="C4" s="128" t="inlineStr">
        <is>
          <t>Quyền khởi tạo</t>
        </is>
      </c>
      <c r="D4" s="128" t="inlineStr">
        <is>
          <t>Quyền phê duyệt</t>
        </is>
      </c>
      <c r="E4" s="128" t="inlineStr">
        <is>
          <t>Trách nhiệm</t>
        </is>
      </c>
      <c r="F4" s="128" t="inlineStr">
        <is>
          <t>Tách người</t>
        </is>
      </c>
      <c r="G4" s="128" t="inlineStr">
        <is>
          <t>Lý do</t>
        </is>
      </c>
      <c r="H4" s="128" t="inlineStr">
        <is>
          <t>Giai đoạn</t>
        </is>
      </c>
      <c r="I4" s="128" t="inlineStr">
        <is>
          <t>Quy tắc</t>
        </is>
      </c>
    </row>
    <row r="5" ht="36" customHeight="1" s="94">
      <c r="A5" s="129" t="inlineStr">
        <is>
          <t>AP01</t>
        </is>
      </c>
      <c r="B5" s="130" t="inlineStr">
        <is>
          <t>Sửa giờ điện/chênh tiền SAU khi thu</t>
        </is>
      </c>
      <c r="C5" s="130" t="inlineStr">
        <is>
          <t>reefer.session.amendment.request</t>
        </is>
      </c>
      <c r="D5" s="130" t="inlineStr">
        <is>
          <t>reefer.session.amendment.approve</t>
        </is>
      </c>
      <c r="E5" s="130" t="inlineStr">
        <is>
          <t>PORT_LEAD / SYS_ADMIN</t>
        </is>
      </c>
      <c r="F5" s="130" t="inlineStr">
        <is>
          <t>Không tự duyệt</t>
        </is>
      </c>
      <c r="G5" s="130" t="inlineStr">
        <is>
          <t>Bắt buộc</t>
        </is>
      </c>
      <c r="H5" s="130" t="inlineStr">
        <is>
          <t>V1</t>
        </is>
      </c>
      <c r="I5" s="130" t="inlineStr">
        <is>
          <t>Giữ giao dịch đã thu; tạo điều chỉnh công nợ/hoàn trả, không ghi đè.</t>
        </is>
      </c>
    </row>
    <row r="6" ht="36" customHeight="1" s="94">
      <c r="A6" s="132" t="inlineStr">
        <is>
          <t>AP02</t>
        </is>
      </c>
      <c r="B6" s="133" t="inlineStr">
        <is>
          <t>Sửa giờ điện TRƯỚC khi thu</t>
        </is>
      </c>
      <c r="C6" s="133" t="inlineStr">
        <is>
          <t>reefer.session.time.edit_unpaid</t>
        </is>
      </c>
      <c r="D6" s="133" t="inlineStr"/>
      <c r="E6" s="133" t="inlineStr">
        <is>
          <t>PORT_STAFF / PORT_LEAD</t>
        </is>
      </c>
      <c r="F6" s="133" t="inlineStr">
        <is>
          <t>Không cần duyệt</t>
        </is>
      </c>
      <c r="G6" s="133" t="inlineStr">
        <is>
          <t>Bắt buộc</t>
        </is>
      </c>
      <c r="H6" s="133" t="inlineStr">
        <is>
          <t>V1</t>
        </is>
      </c>
      <c r="I6" s="133" t="inlineStr">
        <is>
          <t>Ghi trước/sau, lý do, giờ thực tế khác giờ nhập.</t>
        </is>
      </c>
    </row>
    <row r="7" ht="36" customHeight="1" s="94">
      <c r="A7" s="129" t="inlineStr">
        <is>
          <t>AP03</t>
        </is>
      </c>
      <c r="B7" s="130" t="inlineStr">
        <is>
          <t>Điều chỉnh thời lượng điện trước thu</t>
        </is>
      </c>
      <c r="C7" s="130" t="inlineStr">
        <is>
          <t>reefer.session.billable.override_unpaid</t>
        </is>
      </c>
      <c r="D7" s="130" t="inlineStr"/>
      <c r="E7" s="130" t="inlineStr">
        <is>
          <t>PORT_STAFF / PORT_LEAD</t>
        </is>
      </c>
      <c r="F7" s="130" t="inlineStr">
        <is>
          <t>Không cần duyệt</t>
        </is>
      </c>
      <c r="G7" s="130" t="inlineStr">
        <is>
          <t>Bắt buộc</t>
        </is>
      </c>
      <c r="H7" s="130" t="inlineStr">
        <is>
          <t>V1</t>
        </is>
      </c>
      <c r="I7" s="130" t="inlineStr">
        <is>
          <t>Lưu số tự tính làm tròn 15p và số sửa tay, hiện chênh lệch.</t>
        </is>
      </c>
    </row>
    <row r="8" ht="36" customHeight="1" s="94">
      <c r="A8" s="132" t="inlineStr">
        <is>
          <t>AP04</t>
        </is>
      </c>
      <c r="B8" s="133" t="inlineStr">
        <is>
          <t>Sửa số cont SAU đã thu</t>
        </is>
      </c>
      <c r="C8" s="133" t="inlineStr">
        <is>
          <t>container.number.correct</t>
        </is>
      </c>
      <c r="D8" s="133" t="inlineStr">
        <is>
          <t>payment.post_correction.approve</t>
        </is>
      </c>
      <c r="E8" s="133" t="inlineStr">
        <is>
          <t>SEC_STAFF; CCKB đối soát</t>
        </is>
      </c>
      <c r="F8" s="133" t="inlineStr">
        <is>
          <t>Không bắt buộc duyệt sửa SỐ</t>
        </is>
      </c>
      <c r="G8" s="133" t="inlineStr">
        <is>
          <t>Bắt buộc</t>
        </is>
      </c>
      <c r="H8" s="133" t="inlineStr">
        <is>
          <t>V1</t>
        </is>
      </c>
      <c r="I8" s="133" t="inlineStr">
        <is>
          <t>Sửa mã ngay có audit/CCKB nhận cảnh báo. Chỉ sửa TIỀN chênh sau thu mới phải duyệt.</t>
        </is>
      </c>
    </row>
    <row r="9" ht="36" customHeight="1" s="94">
      <c r="A9" s="129" t="inlineStr">
        <is>
          <t>AP05</t>
        </is>
      </c>
      <c r="B9" s="130" t="inlineStr">
        <is>
          <t>Chỉnh HÀNG/RỖNG SAU cont ra</t>
        </is>
      </c>
      <c r="C9" s="130" t="inlineStr">
        <is>
          <t>container.cargo.post_exit.request</t>
        </is>
      </c>
      <c r="D9" s="130" t="inlineStr">
        <is>
          <t>container.cargo.post_exit.approve</t>
        </is>
      </c>
      <c r="E9" s="130" t="inlineStr">
        <is>
          <t>DIS_LEAD / SYS_ADMIN</t>
        </is>
      </c>
      <c r="F9" s="130" t="inlineStr">
        <is>
          <t>Không tự duyệt</t>
        </is>
      </c>
      <c r="G9" s="130" t="inlineStr">
        <is>
          <t>Bắt buộc</t>
        </is>
      </c>
      <c r="H9" s="130" t="inlineStr">
        <is>
          <t>V1</t>
        </is>
      </c>
      <c r="I9" s="130" t="inlineStr">
        <is>
          <t>Không cấp sửa sau ra trực tiếp cho NV/An ninh.</t>
        </is>
      </c>
    </row>
    <row r="10" ht="36" customHeight="1" s="94">
      <c r="A10" s="132" t="inlineStr">
        <is>
          <t>AP06</t>
        </is>
      </c>
      <c r="B10" s="133" t="inlineStr">
        <is>
          <t>CCKB cho xuất còn công nợ</t>
        </is>
      </c>
      <c r="C10" s="133" t="inlineStr">
        <is>
          <t>exit.clearance.debt_exception</t>
        </is>
      </c>
      <c r="D10" s="133" t="inlineStr"/>
      <c r="E10" s="133" t="inlineStr">
        <is>
          <t>PORT_STAFF / PORT_LEAD</t>
        </is>
      </c>
      <c r="F10" s="133" t="inlineStr">
        <is>
          <t>Theo quyền CCKB, có cảnh báo</t>
        </is>
      </c>
      <c r="G10" s="133" t="inlineStr">
        <is>
          <t>Bắt buộc</t>
        </is>
      </c>
      <c r="H10" s="133" t="inlineStr">
        <is>
          <t>V1</t>
        </is>
      </c>
      <c r="I10" s="133" t="inlineStr">
        <is>
          <t>Không xóa công nợ; thời điểm An ninh xác nhận cont ra vẫn tính tiền lưu mới.</t>
        </is>
      </c>
    </row>
    <row r="11" ht="36" customHeight="1" s="94">
      <c r="A11" s="129" t="inlineStr">
        <is>
          <t>AP07</t>
        </is>
      </c>
      <c r="B11" s="130" t="inlineStr">
        <is>
          <t>Có tiền lưu phát sinh ngay cửa ra</t>
        </is>
      </c>
      <c r="C11" s="130" t="inlineStr">
        <is>
          <t>storage.payment.collect</t>
        </is>
      </c>
      <c r="D11" s="130" t="inlineStr">
        <is>
          <t>exit.clearance.debt_exception</t>
        </is>
      </c>
      <c r="E11" s="130" t="inlineStr">
        <is>
          <t>SEC_STAFF thu; CCKB xác nhận nợ</t>
        </is>
      </c>
      <c r="F11" s="130" t="inlineStr">
        <is>
          <t>Nếu không thu cần CCKB xác nhận nợ</t>
        </is>
      </c>
      <c r="G11" s="130" t="inlineStr">
        <is>
          <t>Bắt buộc</t>
        </is>
      </c>
      <c r="H11" s="130" t="inlineStr">
        <is>
          <t>V1</t>
        </is>
      </c>
      <c r="I11" s="130" t="inlineStr">
        <is>
          <t>Cảnh báo/đồng bộ lại số phí lưu tại giờ thực ra, không khóa tiền trước khi ra.</t>
        </is>
      </c>
    </row>
    <row r="12" ht="36" customHeight="1" s="94">
      <c r="A12" s="132" t="inlineStr">
        <is>
          <t>AP08</t>
        </is>
      </c>
      <c r="B12" s="133" t="inlineStr">
        <is>
          <t>Trạng thái PWA Đang cắm nhưng ngoài hiện trường đã rút</t>
        </is>
      </c>
      <c r="C12" s="133" t="inlineStr">
        <is>
          <t>exit.reefer_state.exception</t>
        </is>
      </c>
      <c r="D12" s="133" t="inlineStr"/>
      <c r="E12" s="133" t="inlineStr">
        <is>
          <t>CCKB + An ninh xác minh</t>
        </is>
      </c>
      <c r="F12" s="133" t="inlineStr">
        <is>
          <t>Có xác nhận tình trạng thực tế</t>
        </is>
      </c>
      <c r="G12" s="133" t="inlineStr">
        <is>
          <t>Bắt buộc</t>
        </is>
      </c>
      <c r="H12" s="133" t="inlineStr">
        <is>
          <t>V1</t>
        </is>
      </c>
      <c r="I12" s="133" t="inlineStr">
        <is>
          <t>Không cho phép xuất khi cont thực tế vẫn đang nối điện; lưu giải trình khi dữ liệu app chưa cập nhật.</t>
        </is>
      </c>
    </row>
    <row r="13" ht="36" customHeight="1" s="94">
      <c r="A13" s="129" t="inlineStr">
        <is>
          <t>AP09</t>
        </is>
      </c>
      <c r="B13" s="130" t="inlineStr">
        <is>
          <t>Thu hồi CCKB đã xác nhận cho ra</t>
        </is>
      </c>
      <c r="C13" s="130" t="inlineStr">
        <is>
          <t>exit.clearance.revoke.request</t>
        </is>
      </c>
      <c r="D13" s="130" t="inlineStr">
        <is>
          <t>exit.clearance.revoke.approve</t>
        </is>
      </c>
      <c r="E13" s="130" t="inlineStr">
        <is>
          <t>PORT_LEAD / SYS_ADMIN</t>
        </is>
      </c>
      <c r="F13" s="130" t="inlineStr">
        <is>
          <t>Không tự duyệt</t>
        </is>
      </c>
      <c r="G13" s="130" t="inlineStr">
        <is>
          <t>Bắt buộc</t>
        </is>
      </c>
      <c r="H13" s="130" t="inlineStr">
        <is>
          <t>V1</t>
        </is>
      </c>
      <c r="I13" s="130" t="inlineStr">
        <is>
          <t>Chỉ thu hồi trước khi xác nhận ra thực tế; sau ra dùng sửa lịch sử.</t>
        </is>
      </c>
    </row>
    <row r="14" ht="36" customHeight="1" s="94">
      <c r="A14" s="132" t="inlineStr">
        <is>
          <t>AP10</t>
        </is>
      </c>
      <c r="B14" s="133" t="inlineStr">
        <is>
          <t>Bảng giá thay đổi</t>
        </is>
      </c>
      <c r="C14" s="133" t="inlineStr">
        <is>
          <t>tariff.change.request</t>
        </is>
      </c>
      <c r="D14" s="133" t="inlineStr">
        <is>
          <t>tariff.change.publish</t>
        </is>
      </c>
      <c r="E14" s="133" t="inlineStr">
        <is>
          <t>SYS_ADMIN</t>
        </is>
      </c>
      <c r="F14" s="133" t="inlineStr">
        <is>
          <t>Đề nghị/ban hành tách biệt</t>
        </is>
      </c>
      <c r="G14" s="133" t="inlineStr">
        <is>
          <t>Bắt buộc</t>
        </is>
      </c>
      <c r="H14" s="133" t="inlineStr">
        <is>
          <t>V1</t>
        </is>
      </c>
      <c r="I14" s="133" t="inlineStr">
        <is>
          <t>Lưu phiên bản giá/hiệu lực; không thay tiền của lịch sử.</t>
        </is>
      </c>
    </row>
    <row r="15" ht="36" customHeight="1" s="94">
      <c r="A15" s="129" t="inlineStr">
        <is>
          <t>AP11</t>
        </is>
      </c>
      <c r="B15" s="130" t="inlineStr">
        <is>
          <t>Hoàn tiền / miễn giảm</t>
        </is>
      </c>
      <c r="C15" s="130" t="inlineStr">
        <is>
          <t>payment.refund.request</t>
        </is>
      </c>
      <c r="D15" s="130" t="inlineStr">
        <is>
          <t>payment.refund.approve</t>
        </is>
      </c>
      <c r="E15" s="130" t="inlineStr">
        <is>
          <t>Chưa triển khai</t>
        </is>
      </c>
      <c r="F15" s="130" t="inlineStr">
        <is>
          <t>Không kích hoạt</t>
        </is>
      </c>
      <c r="G15" s="130" t="inlineStr">
        <is>
          <t>Bắt buộc nếu triển khai</t>
        </is>
      </c>
      <c r="H15" s="130" t="inlineStr">
        <is>
          <t>GĐ sau</t>
        </is>
      </c>
      <c r="I15" s="130" t="inlineStr">
        <is>
          <t>Các quyền seed chưa cấp cho ai, cờ tính năng tắt.</t>
        </is>
      </c>
    </row>
    <row r="16" ht="36" customHeight="1" s="94">
      <c r="A16" s="132" t="inlineStr">
        <is>
          <t>AP12</t>
        </is>
      </c>
      <c r="B16" s="133" t="inlineStr">
        <is>
          <t>Đăng nhập bốt An ninh dùng chung thiết bị</t>
        </is>
      </c>
      <c r="C16" s="133" t="inlineStr">
        <is>
          <t>admin.users.manage</t>
        </is>
      </c>
      <c r="D16" s="133" t="inlineStr"/>
      <c r="E16" s="133" t="inlineStr">
        <is>
          <t>SEC_STAFF / SEC_LEAD</t>
        </is>
      </c>
      <c r="F16" s="133" t="inlineStr">
        <is>
          <t>Bắt buộc xác định người thao tác</t>
        </is>
      </c>
      <c r="G16" s="133" t="inlineStr">
        <is>
          <t>Có</t>
        </is>
      </c>
      <c r="H16" s="133" t="inlineStr">
        <is>
          <t>V1</t>
        </is>
      </c>
      <c r="I16" s="133" t="inlineStr">
        <is>
          <t>Ưu tiên đăng nhập cá nhân; nếu chế độ bốt thì phải xác minh người trực/phiên, không gắn mọi khoản thu vào email dùng chung.</t>
        </is>
      </c>
    </row>
  </sheetData>
  <autoFilter ref="A4:I16"/>
  <mergeCells count="2">
    <mergeCell ref="A1:I1"/>
    <mergeCell ref="A2:I2"/>
  </mergeCells>
  <printOptions horizontalCentered="1"/>
  <pageMargins left="0.75" right="0.75" top="1" bottom="1" header="0.5" footer="0.5"/>
  <pageSetup fitToWidth="1"/>
</worksheet>
</file>

<file path=xl/worksheets/sheet25.xml><?xml version="1.0" encoding="utf-8"?>
<worksheet xmlns="http://schemas.openxmlformats.org/spreadsheetml/2006/main">
  <sheetPr>
    <tabColor rgb="000A9444"/>
    <outlinePr summaryBelow="1" summaryRight="1"/>
    <pageSetUpPr fitToPage="1"/>
  </sheetPr>
  <dimension ref="A1:F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style="94" min="1" max="1"/>
    <col width="45" customWidth="1" style="94" min="2" max="2"/>
    <col width="28" customWidth="1" style="94" min="3" max="3"/>
    <col width="23" customWidth="1" style="94" min="4" max="4"/>
    <col width="24" customWidth="1" style="94" min="5" max="5"/>
    <col width="99" customWidth="1" style="94" min="6" max="6"/>
  </cols>
  <sheetData>
    <row r="1" ht="34" customHeight="1" s="94">
      <c r="A1" s="126" t="inlineStr">
        <is>
          <t>V5 — THAM SỐ CÓ THỂ CẤU HÌNH</t>
        </is>
      </c>
    </row>
    <row r="2" ht="38" customHeight="1" s="94">
      <c r="A2" s="127" t="inlineStr">
        <is>
          <t>Không chỉnh công thức/role cứng khi đổi giá hoặc chính sách. Tham số kỹ thuật không vượt qua các ràng buộc an toàn.</t>
        </is>
      </c>
    </row>
    <row r="4" ht="38" customHeight="1" s="94">
      <c r="A4" s="128" t="inlineStr">
        <is>
          <t>STT</t>
        </is>
      </c>
      <c r="B4" s="128" t="inlineStr">
        <is>
          <t>Mã tham số</t>
        </is>
      </c>
      <c r="C4" s="128" t="inlineStr">
        <is>
          <t>Giá trị khởi tạo</t>
        </is>
      </c>
      <c r="D4" s="128" t="inlineStr">
        <is>
          <t>Loại</t>
        </is>
      </c>
      <c r="E4" s="128" t="inlineStr">
        <is>
          <t>Trạng thái</t>
        </is>
      </c>
      <c r="F4" s="128" t="inlineStr">
        <is>
          <t>Ghi chú</t>
        </is>
      </c>
    </row>
    <row r="5" ht="44" customHeight="1" s="94">
      <c r="A5" s="129" t="inlineStr">
        <is>
          <t>RF01</t>
        </is>
      </c>
      <c r="B5" s="130" t="inlineStr">
        <is>
          <t>ELECTRIC_ROUNDING_MINUTES</t>
        </is>
      </c>
      <c r="C5" s="130" t="inlineStr">
        <is>
          <t>15</t>
        </is>
      </c>
      <c r="D5" s="130" t="inlineStr">
        <is>
          <t>Cấu hình</t>
        </is>
      </c>
      <c r="E5" s="130" t="inlineStr">
        <is>
          <t>Đã chốt</t>
        </is>
      </c>
      <c r="F5" s="130" t="inlineStr">
        <is>
          <t>Làm tròn lên bội 15 phút theo từng phiên điện; mặc định do server tính.</t>
        </is>
      </c>
    </row>
    <row r="6" ht="44" customHeight="1" s="94">
      <c r="A6" s="132" t="inlineStr">
        <is>
          <t>RF02</t>
        </is>
      </c>
      <c r="B6" s="133" t="inlineStr">
        <is>
          <t>ELECTRIC_RATE_HOURLY_VND</t>
        </is>
      </c>
      <c r="C6" s="133" t="inlineStr">
        <is>
          <t>100000</t>
        </is>
      </c>
      <c r="D6" s="133" t="inlineStr">
        <is>
          <t>Bảng giá</t>
        </is>
      </c>
      <c r="E6" s="133" t="inlineStr">
        <is>
          <t>Đã chốt</t>
        </is>
      </c>
      <c r="F6" s="133" t="inlineStr">
        <is>
          <t>Mã DIEN_CONT_GIO; quản lý phiên bản giá trong DB.</t>
        </is>
      </c>
    </row>
    <row r="7" ht="44" customHeight="1" s="94">
      <c r="A7" s="129" t="inlineStr">
        <is>
          <t>RF03</t>
        </is>
      </c>
      <c r="B7" s="130" t="inlineStr">
        <is>
          <t>ELECTRIC_RATE_CONTINUOUS_VND</t>
        </is>
      </c>
      <c r="C7" s="130" t="inlineStr">
        <is>
          <t>100000</t>
        </is>
      </c>
      <c r="D7" s="130" t="inlineStr">
        <is>
          <t>Bảng giá</t>
        </is>
      </c>
      <c r="E7" s="130" t="inlineStr">
        <is>
          <t>Đã chốt</t>
        </is>
      </c>
      <c r="F7" s="130" t="inlineStr">
        <is>
          <t>Mã DIEN_CONT_LIEN_TUC; cấu hình độc lập dù giá hiện giống nhau.</t>
        </is>
      </c>
    </row>
    <row r="8" ht="44" customHeight="1" s="94">
      <c r="A8" s="132" t="inlineStr">
        <is>
          <t>RF04</t>
        </is>
      </c>
      <c r="B8" s="133" t="inlineStr">
        <is>
          <t>STORAGE_RATE_NIGHT_VND</t>
        </is>
      </c>
      <c r="C8" s="133" t="inlineStr">
        <is>
          <t>100000</t>
        </is>
      </c>
      <c r="D8" s="133" t="inlineStr">
        <is>
          <t>Bảng giá</t>
        </is>
      </c>
      <c r="E8" s="133" t="inlineStr">
        <is>
          <t>Đã chốt</t>
        </is>
      </c>
      <c r="F8" s="133" t="inlineStr">
        <is>
          <t>Phí lưu chỉ tính khi cont thực tế ra.</t>
        </is>
      </c>
    </row>
    <row r="9" ht="44" customHeight="1" s="94">
      <c r="A9" s="129" t="inlineStr">
        <is>
          <t>RF05</t>
        </is>
      </c>
      <c r="B9" s="130" t="inlineStr">
        <is>
          <t>STORAGE_FREE_NIGHTS</t>
        </is>
      </c>
      <c r="C9" s="130" t="inlineStr">
        <is>
          <t>1</t>
        </is>
      </c>
      <c r="D9" s="130" t="inlineStr">
        <is>
          <t>Cấu hình</t>
        </is>
      </c>
      <c r="E9" s="130" t="inlineStr">
        <is>
          <t>Đã chốt</t>
        </is>
      </c>
      <c r="F9" s="130" t="inlineStr">
        <is>
          <t>01 đêm miễn phí theo chính sách hiện tại.</t>
        </is>
      </c>
    </row>
    <row r="10" ht="44" customHeight="1" s="94">
      <c r="A10" s="132" t="inlineStr">
        <is>
          <t>RF06</t>
        </is>
      </c>
      <c r="B10" s="133" t="inlineStr">
        <is>
          <t>STORAGE_NIGHT_START</t>
        </is>
      </c>
      <c r="C10" s="133" t="inlineStr">
        <is>
          <t>22:00</t>
        </is>
      </c>
      <c r="D10" s="133" t="inlineStr">
        <is>
          <t>Cấu hình</t>
        </is>
      </c>
      <c r="E10" s="133" t="inlineStr">
        <is>
          <t>Đã chốt</t>
        </is>
      </c>
      <c r="F10" s="133" t="inlineStr">
        <is>
          <t>Mốc đêm 22h; giờ địa phương Asia/Ho_Chi_Minh.</t>
        </is>
      </c>
    </row>
    <row r="11" ht="44" customHeight="1" s="94">
      <c r="A11" s="129" t="inlineStr">
        <is>
          <t>RF07</t>
        </is>
      </c>
      <c r="B11" s="130" t="inlineStr">
        <is>
          <t>STORAGE_NIGHT_END</t>
        </is>
      </c>
      <c r="C11" s="130" t="inlineStr">
        <is>
          <t>06:00</t>
        </is>
      </c>
      <c r="D11" s="130" t="inlineStr">
        <is>
          <t>Cấu hình</t>
        </is>
      </c>
      <c r="E11" s="130" t="inlineStr">
        <is>
          <t>Đã chốt</t>
        </is>
      </c>
      <c r="F11" s="130" t="inlineStr">
        <is>
          <t>Mốc kết thúc đêm 06h hôm sau.</t>
        </is>
      </c>
    </row>
    <row r="12" ht="44" customHeight="1" s="94">
      <c r="A12" s="132" t="inlineStr">
        <is>
          <t>RF08</t>
        </is>
      </c>
      <c r="B12" s="133" t="inlineStr">
        <is>
          <t>ALLOW_EXIT_WITH_DEBT</t>
        </is>
      </c>
      <c r="C12" s="133" t="inlineStr">
        <is>
          <t>true</t>
        </is>
      </c>
      <c r="D12" s="133" t="inlineStr">
        <is>
          <t>Cờ nghiệp vụ</t>
        </is>
      </c>
      <c r="E12" s="133" t="inlineStr">
        <is>
          <t>Đã chốt</t>
        </is>
      </c>
      <c r="F12" s="133" t="inlineStr">
        <is>
          <t>CCKB xác nhận có lý do, giữ nợ; không tự miễn khoản thu.</t>
        </is>
      </c>
    </row>
    <row r="13" ht="44" customHeight="1" s="94">
      <c r="A13" s="129" t="inlineStr">
        <is>
          <t>RF09</t>
        </is>
      </c>
      <c r="B13" s="130" t="inlineStr">
        <is>
          <t>PLANNED_REEFER_REQUEST_ENABLED</t>
        </is>
      </c>
      <c r="C13" s="130" t="inlineStr">
        <is>
          <t>true</t>
        </is>
      </c>
      <c r="D13" s="130" t="inlineStr">
        <is>
          <t>Cờ tính năng</t>
        </is>
      </c>
      <c r="E13" s="130" t="inlineStr">
        <is>
          <t>Đã chốt</t>
        </is>
      </c>
      <c r="F13" s="130" t="inlineStr">
        <is>
          <t>Cho CCKB tạo phiếu cont chưa vào; cảnh báo An ninh khi container tới.</t>
        </is>
      </c>
    </row>
    <row r="14" ht="44" customHeight="1" s="94">
      <c r="A14" s="132" t="inlineStr">
        <is>
          <t>RF10</t>
        </is>
      </c>
      <c r="B14" s="133" t="inlineStr">
        <is>
          <t>CONTAINER_NUMBER_CORRECTION_ENABLED</t>
        </is>
      </c>
      <c r="C14" s="133" t="inlineStr">
        <is>
          <t>true</t>
        </is>
      </c>
      <c r="D14" s="133" t="inlineStr">
        <is>
          <t>Cờ tính năng</t>
        </is>
      </c>
      <c r="E14" s="133" t="inlineStr">
        <is>
          <t>Đã chốt</t>
        </is>
      </c>
      <c r="F14" s="133" t="inlineStr">
        <is>
          <t>An ninh sửa mã có lịch sử và thông báo CCKB.</t>
        </is>
      </c>
    </row>
    <row r="15" ht="44" customHeight="1" s="94">
      <c r="A15" s="129" t="inlineStr">
        <is>
          <t>RF11</t>
        </is>
      </c>
      <c r="B15" s="130" t="inlineStr">
        <is>
          <t>ALLOW_REEFER_RETRO_ENTRY</t>
        </is>
      </c>
      <c r="C15" s="130" t="inlineStr">
        <is>
          <t>true</t>
        </is>
      </c>
      <c r="D15" s="130" t="inlineStr">
        <is>
          <t>Cờ tính năng</t>
        </is>
      </c>
      <c r="E15" s="130" t="inlineStr">
        <is>
          <t>Đã chốt</t>
        </is>
      </c>
      <c r="F15" s="130" t="inlineStr">
        <is>
          <t>Cho phép nhập giờ cắm/rút thực tế sau khi An ninh báo qua Zalo.</t>
        </is>
      </c>
    </row>
    <row r="16" ht="44" customHeight="1" s="94">
      <c r="A16" s="132" t="inlineStr">
        <is>
          <t>RF12</t>
        </is>
      </c>
      <c r="B16" s="133" t="inlineStr">
        <is>
          <t>ACCOUNTING_MODULE_ENABLED</t>
        </is>
      </c>
      <c r="C16" s="133" t="inlineStr">
        <is>
          <t>false</t>
        </is>
      </c>
      <c r="D16" s="133" t="inlineStr">
        <is>
          <t>Cờ tính năng</t>
        </is>
      </c>
      <c r="E16" s="133" t="inlineStr">
        <is>
          <t>GĐ sau</t>
        </is>
      </c>
      <c r="F16" s="133" t="inlineStr">
        <is>
          <t>V1 chưa phát hành hóa đơn; Kế toán ở trạng thái dự phòng.</t>
        </is>
      </c>
    </row>
    <row r="17" ht="44" customHeight="1" s="94">
      <c r="A17" s="129" t="inlineStr">
        <is>
          <t>RF13</t>
        </is>
      </c>
      <c r="B17" s="130" t="inlineStr">
        <is>
          <t>TICKET_AUTOPRINT_ENABLED</t>
        </is>
      </c>
      <c r="C17" s="130" t="inlineStr">
        <is>
          <t>false</t>
        </is>
      </c>
      <c r="D17" s="130" t="inlineStr">
        <is>
          <t>Cờ tính năng</t>
        </is>
      </c>
      <c r="E17" s="130" t="inlineStr">
        <is>
          <t>GĐ sau</t>
        </is>
      </c>
      <c r="F17" s="130" t="inlineStr">
        <is>
          <t>Vé giấy hiện vẫn có nghiệp vụ, chưa làm chức năng in tự động.</t>
        </is>
      </c>
    </row>
    <row r="18" ht="44" customHeight="1" s="94">
      <c r="A18" s="132" t="inlineStr">
        <is>
          <t>RF14</t>
        </is>
      </c>
      <c r="B18" s="133" t="inlineStr">
        <is>
          <t>CHARGE_DISCOUNT_ENABLED</t>
        </is>
      </c>
      <c r="C18" s="133" t="inlineStr">
        <is>
          <t>false</t>
        </is>
      </c>
      <c r="D18" s="133" t="inlineStr">
        <is>
          <t>Cờ tính năng</t>
        </is>
      </c>
      <c r="E18" s="133" t="inlineStr">
        <is>
          <t>GĐ sau</t>
        </is>
      </c>
      <c r="F18" s="133" t="inlineStr">
        <is>
          <t>Không triển khai miễn/giảm toàn phần trong V1.</t>
        </is>
      </c>
    </row>
    <row r="19" ht="44" customHeight="1" s="94">
      <c r="A19" s="129" t="inlineStr">
        <is>
          <t>RF15</t>
        </is>
      </c>
      <c r="B19" s="130" t="inlineStr">
        <is>
          <t>REFUND_MODULE_ENABLED</t>
        </is>
      </c>
      <c r="C19" s="130" t="inlineStr">
        <is>
          <t>false</t>
        </is>
      </c>
      <c r="D19" s="130" t="inlineStr">
        <is>
          <t>Cờ tính năng</t>
        </is>
      </c>
      <c r="E19" s="130" t="inlineStr">
        <is>
          <t>GĐ sau</t>
        </is>
      </c>
      <c r="F19" s="130" t="inlineStr">
        <is>
          <t>Không triển khai hoàn tiền/hủy ghi thu toàn phần trong V1.</t>
        </is>
      </c>
    </row>
    <row r="20" ht="44" customHeight="1" s="94">
      <c r="A20" s="132" t="inlineStr">
        <is>
          <t>RF16</t>
        </is>
      </c>
      <c r="B20" s="133" t="inlineStr">
        <is>
          <t>YARD_SLOT_MANAGEMENT_ENABLED</t>
        </is>
      </c>
      <c r="C20" s="133" t="inlineStr">
        <is>
          <t>false</t>
        </is>
      </c>
      <c r="D20" s="133" t="inlineStr">
        <is>
          <t>Cờ tính năng</t>
        </is>
      </c>
      <c r="E20" s="133" t="inlineStr">
        <is>
          <t>GĐ sau</t>
        </is>
      </c>
      <c r="F20" s="133" t="inlineStr">
        <is>
          <t>Vị trí khu/dãy/ô dự phòng, không gắn logic phí lưu.</t>
        </is>
      </c>
    </row>
    <row r="21" ht="44" customHeight="1" s="94">
      <c r="A21" s="129" t="inlineStr">
        <is>
          <t>RF17</t>
        </is>
      </c>
      <c r="B21" s="130" t="inlineStr">
        <is>
          <t>BANK_TRANSFER_PROOF_REQUIRED</t>
        </is>
      </c>
      <c r="C21" s="130" t="inlineStr">
        <is>
          <t>configurable</t>
        </is>
      </c>
      <c r="D21" s="130" t="inlineStr">
        <is>
          <t>Quy định thu</t>
        </is>
      </c>
      <c r="E21" s="130" t="inlineStr">
        <is>
          <t>Cần UAT</t>
        </is>
      </c>
      <c r="F21" s="130" t="inlineStr">
        <is>
          <t>Không mặc định bắt buộc mọi chứng từ, do file trả lời V1 cho phép triển khai dần.</t>
        </is>
      </c>
    </row>
    <row r="22" ht="44" customHeight="1" s="94">
      <c r="A22" s="132" t="inlineStr">
        <is>
          <t>RF18</t>
        </is>
      </c>
      <c r="B22" s="133" t="inlineStr">
        <is>
          <t>PRICE_SNAPSHOT_AT</t>
        </is>
      </c>
      <c r="C22" s="133" t="inlineStr">
        <is>
          <t>configurable</t>
        </is>
      </c>
      <c r="D22" s="133" t="inlineStr">
        <is>
          <t>Quy định giá</t>
        </is>
      </c>
      <c r="E22" s="133" t="inlineStr">
        <is>
          <t>Cần UAT</t>
        </is>
      </c>
      <c r="F22" s="133" t="inlineStr">
        <is>
          <t>Cần thống nhất khi đổi giá giữa phiên; không tự động đổi các phiên đã thu.</t>
        </is>
      </c>
    </row>
    <row r="23" ht="44" customHeight="1" s="94">
      <c r="A23" s="129" t="inlineStr">
        <is>
          <t>RF19</t>
        </is>
      </c>
      <c r="B23" s="130" t="inlineStr">
        <is>
          <t>SHARED_GATE_KIOSK_MODE</t>
        </is>
      </c>
      <c r="C23" s="130" t="inlineStr">
        <is>
          <t>configurable</t>
        </is>
      </c>
      <c r="D23" s="130" t="inlineStr">
        <is>
          <t>Truy cập</t>
        </is>
      </c>
      <c r="E23" s="130" t="inlineStr">
        <is>
          <t>Cần UAT</t>
        </is>
      </c>
      <c r="F23" s="130" t="inlineStr">
        <is>
          <t>Phải ghi nhân viên thực thu/thực xác nhận, không chỉ ghi user chung tại bốt.</t>
        </is>
      </c>
    </row>
    <row r="24" ht="44" customHeight="1" s="94">
      <c r="A24" s="132" t="inlineStr">
        <is>
          <t>RF20</t>
        </is>
      </c>
      <c r="B24" s="133" t="inlineStr">
        <is>
          <t>OFFLINE_GATE_EXIT_ALLOWED</t>
        </is>
      </c>
      <c r="C24" s="133" t="inlineStr">
        <is>
          <t>false</t>
        </is>
      </c>
      <c r="D24" s="133" t="inlineStr">
        <is>
          <t>An toàn</t>
        </is>
      </c>
      <c r="E24" s="133" t="inlineStr">
        <is>
          <t>Đã chốt</t>
        </is>
      </c>
      <c r="F24" s="133" t="inlineStr">
        <is>
          <t>Không tự xác nhận thành công ra cổng khi mất Internet.</t>
        </is>
      </c>
    </row>
  </sheetData>
  <autoFilter ref="A4:F24"/>
  <mergeCells count="2">
    <mergeCell ref="A2:F2"/>
    <mergeCell ref="A1:F1"/>
  </mergeCells>
  <printOptions horizontalCentered="1"/>
  <pageMargins left="0.75" right="0.75" top="1" bottom="1" header="0.5" footer="0.5"/>
  <pageSetup fitToWidth="1"/>
</worksheet>
</file>

<file path=xl/worksheets/sheet26.xml><?xml version="1.0" encoding="utf-8"?>
<worksheet xmlns="http://schemas.openxmlformats.org/spreadsheetml/2006/main">
  <sheetPr>
    <tabColor rgb="000A9444"/>
    <outlinePr summaryBelow="1" summaryRight="1"/>
    <pageSetUpPr fitToPage="1"/>
  </sheetPr>
  <dimension ref="A1:E4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style="94" min="1" max="1"/>
    <col width="55" customWidth="1" style="94" min="2" max="2"/>
    <col width="95" customWidth="1" style="94" min="3" max="3"/>
    <col width="43" customWidth="1" style="94" min="4" max="4"/>
    <col width="98" customWidth="1" style="94" min="5" max="5"/>
  </cols>
  <sheetData>
    <row r="1" ht="34" customHeight="1" s="94">
      <c r="A1" s="126" t="inlineStr">
        <is>
          <t>V5 — ĐỐI CHIẾU 39 YÊU CẦU PHÂN QUYỀN</t>
        </is>
      </c>
    </row>
    <row r="2" ht="38" customHeight="1" s="94">
      <c r="A2" s="127" t="inlineStr">
        <is>
          <t>Q01–Q39 của file gốc không mất, nhưng được tách thành permission_code nhỏ để cấp quyền linh hoạt và tránh cấp nhầm.</t>
        </is>
      </c>
    </row>
    <row r="4" ht="38" customHeight="1" s="94">
      <c r="A4" s="128" t="inlineStr">
        <is>
          <t>Mã gốc</t>
        </is>
      </c>
      <c r="B4" s="128" t="inlineStr">
        <is>
          <t>Chức năng gốc</t>
        </is>
      </c>
      <c r="C4" s="128" t="inlineStr">
        <is>
          <t>Các permission_code liên quan</t>
        </is>
      </c>
      <c r="D4" s="128" t="inlineStr">
        <is>
          <t>Hướng xử lý V5</t>
        </is>
      </c>
      <c r="E4" s="128" t="inlineStr">
        <is>
          <t>Ghi chú bản rà soát V4.1</t>
        </is>
      </c>
    </row>
    <row r="5" ht="44" customHeight="1" s="94">
      <c r="A5" s="129" t="inlineStr">
        <is>
          <t>Q01</t>
        </is>
      </c>
      <c r="B5" s="130" t="inlineStr">
        <is>
          <t>Tạo lượt xe vào và giờ vào</t>
        </is>
      </c>
      <c r="C5" s="130" t="inlineStr">
        <is>
          <t>vehicle.visit.read, vehicle.visit.create</t>
        </is>
      </c>
      <c r="D5" s="130" t="inlineStr">
        <is>
          <t>Đã tách thành quyền thao tác cụ thể</t>
        </is>
      </c>
      <c r="E5" s="130" t="inlineStr">
        <is>
          <t>Giữ như bản bạn điền; vẫn phải triển khai RBAC phía server, không chỉ ẩn nút trên giao diện.</t>
        </is>
      </c>
    </row>
    <row r="6" ht="44" customHeight="1" s="94">
      <c r="A6" s="132" t="inlineStr">
        <is>
          <t>Q02</t>
        </is>
      </c>
      <c r="B6" s="133" t="inlineStr">
        <is>
          <t>Thu tiền vé vào, đính kèm ảnh chuyển khoản</t>
        </is>
      </c>
      <c r="C6" s="133" t="inlineStr">
        <is>
          <t>ticket.payment.collect, payment.bank_evidence.attach</t>
        </is>
      </c>
      <c r="D6" s="133" t="inlineStr">
        <is>
          <t>Đã tách thành quyền thao tác cụ thể</t>
        </is>
      </c>
      <c r="E6" s="133" t="inlineStr">
        <is>
          <t>Giữ như bản bạn điền; vẫn phải triển khai RBAC phía server, không chỉ ẩn nút trên giao diện.</t>
        </is>
      </c>
    </row>
    <row r="7" ht="44" customHeight="1" s="94">
      <c r="A7" s="129" t="inlineStr">
        <is>
          <t>Q03</t>
        </is>
      </c>
      <c r="B7" s="130" t="inlineStr">
        <is>
          <t>Sửa biển số / loại xe / GIO_VAO</t>
        </is>
      </c>
      <c r="C7" s="130" t="inlineStr">
        <is>
          <t>vehicle.visit.read, vehicle.visit.update_basic, vehicle.visit.time_correction.request, vehicle.visit.time_correction.approve, admin.legacy_correct</t>
        </is>
      </c>
      <c r="D7" s="130" t="inlineStr">
        <is>
          <t>Đã tách thành quyền thao tác cụ thể</t>
        </is>
      </c>
      <c r="E7" s="130" t="inlineStr">
        <is>
          <t>Tách sửa biển số, loại xe và GIO_VAO thành các quyền riêng. Trước khi xuất cho An ninh sửa có audit; sau khi đã thu/đã xuất phải kiểm tra ảnh hưởng phí và cho TBP xử lý. Không tự sửa chứng từ đã thu.</t>
        </is>
      </c>
    </row>
    <row r="8" ht="44" customHeight="1" s="94">
      <c r="A8" s="132" t="inlineStr">
        <is>
          <t>Q04</t>
        </is>
      </c>
      <c r="B8" s="133" t="inlineStr">
        <is>
          <t>Tạo/điều chỉnh số vé giấy</t>
        </is>
      </c>
      <c r="C8" s="133" t="inlineStr">
        <is>
          <t>ticket.paper_number.adjust</t>
        </is>
      </c>
      <c r="D8" s="133" t="inlineStr">
        <is>
          <t>Giai đoạn sau (không cấp quyền V1)</t>
        </is>
      </c>
      <c r="E8" s="133" t="inlineStr">
        <is>
          <t>Bạn ghi hiện chưa dùng chỉnh số vé giấy; do đó tắt thao tác thay đổi số vé giấy ở V1. Nếu cần vẫn có thể nhập số vé tham chiếu tùy chọn, không cấp quyền sửa tùy ý.</t>
        </is>
      </c>
    </row>
    <row r="9" ht="44" customHeight="1" s="94">
      <c r="A9" s="129" t="inlineStr">
        <is>
          <t>Q05</t>
        </is>
      </c>
      <c r="B9" s="130" t="inlineStr">
        <is>
          <t>Tạo lượt container vào, ghi GIO_CONT_VAO</t>
        </is>
      </c>
      <c r="C9" s="130" t="inlineStr">
        <is>
          <t>container.visit.read, container.visit.create</t>
        </is>
      </c>
      <c r="D9" s="130" t="inlineStr">
        <is>
          <t>Đã tách thành quyền thao tác cụ thể</t>
        </is>
      </c>
      <c r="E9" s="130" t="inlineStr">
        <is>
          <t>Giữ như bản bạn điền; vẫn phải triển khai RBAC phía server, không chỉ ẩn nút trên giao diện.</t>
        </is>
      </c>
    </row>
    <row r="10" ht="44" customHeight="1" s="94">
      <c r="A10" s="132" t="inlineStr">
        <is>
          <t>Q06</t>
        </is>
      </c>
      <c r="B10" s="133" t="inlineStr">
        <is>
          <t>Thay đổi số container sau khi lưu</t>
        </is>
      </c>
      <c r="C10" s="133" t="inlineStr">
        <is>
          <t>container.visit.read, container.number.correct, admin.legacy_correct</t>
        </is>
      </c>
      <c r="D10" s="133" t="inlineStr">
        <is>
          <t>Đã tách thành quyền thao tác cụ thể</t>
        </is>
      </c>
      <c r="E10" s="133" t="inlineStr">
        <is>
          <t>Giữ quyền sửa số cont cho An ninh như bạn chọn; bắt buộc ghi số trước/sau, lý do, người sửa, giờ sửa và tự gửi cảnh báo tới CCKB. Nếu đã thu thì giữ giao dịch cũ; thay đổi số cont không tự động thay tiền.</t>
        </is>
      </c>
    </row>
    <row r="11" ht="44" customHeight="1" s="94">
      <c r="A11" s="129" t="inlineStr">
        <is>
          <t>Q07</t>
        </is>
      </c>
      <c r="B11" s="130" t="inlineStr">
        <is>
          <t>Xác nhận hạ/xếp container (quản lý vị trí)</t>
        </is>
      </c>
      <c r="C11" s="130" t="inlineStr">
        <is>
          <t>container.handling.record</t>
        </is>
      </c>
      <c r="D11" s="130" t="inlineStr">
        <is>
          <t>Giai đoạn sau (không cấp quyền V1)</t>
        </is>
      </c>
      <c r="E11" s="130" t="inlineStr">
        <is>
          <t>Nghiệp vụ hạ/xếp/vị trí là thông tin vận hành, không phải điều kiện tính phí lưu. Nếu chưa áp dụng kiểm soát vị trí trong V1, ẩn phần vị trí; vẫn lưu trạng thái xe ra không container.</t>
        </is>
      </c>
    </row>
    <row r="12" ht="44" customHeight="1" s="94">
      <c r="A12" s="132" t="inlineStr">
        <is>
          <t>Q08</t>
        </is>
      </c>
      <c r="B12" s="133" t="inlineStr">
        <is>
          <t>Cập nhật HÀNG/RỖNG</t>
        </is>
      </c>
      <c r="C12" s="133" t="inlineStr">
        <is>
          <t>container.cargo.read, container.cargo.update</t>
        </is>
      </c>
      <c r="D12" s="133" t="inlineStr">
        <is>
          <t>Đã tách thành quyền thao tác cụ thể</t>
        </is>
      </c>
      <c r="E12" s="133" t="inlineStr">
        <is>
          <t>Chỉ Điều phối nhập HÀNG/RỖNG; An ninh xem để đối chiếu. Tránh 2 bộ phận cập nhật chéo làm mất nguồn dữ liệu chuẩn.</t>
        </is>
      </c>
    </row>
    <row r="13" ht="44" customHeight="1" s="94">
      <c r="A13" s="129" t="inlineStr">
        <is>
          <t>Q09</t>
        </is>
      </c>
      <c r="B13" s="130" t="inlineStr">
        <is>
          <t>Sửa HÀNG/RỖNG sau khi đã ra</t>
        </is>
      </c>
      <c r="C13" s="130" t="inlineStr">
        <is>
          <t>container.cargo.read, container.cargo.post_exit.request, container.cargo.post_exit.approve</t>
        </is>
      </c>
      <c r="D13" s="130" t="inlineStr">
        <is>
          <t>Đã tách thành quyền thao tác cụ thể</t>
        </is>
      </c>
      <c r="E13" s="130" t="inlineStr">
        <is>
          <t>Sau khi container đã xuất: NV Điều phối chỉ đề nghị sửa; TBP Điều phối/Quản trị duyệt, ghi nhật ký trước/sau. Nếu chỉ sửa chú thích không ảnh hưởng phí thì có thể đơn giản hóa.</t>
        </is>
      </c>
    </row>
    <row r="14" ht="44" customHeight="1" s="94">
      <c r="A14" s="132" t="inlineStr">
        <is>
          <t>Q10</t>
        </is>
      </c>
      <c r="B14" s="133" t="inlineStr">
        <is>
          <t>Tạo yêu cầu cắm/rút từ khách hàng</t>
        </is>
      </c>
      <c r="C14" s="133" t="inlineStr">
        <is>
          <t>reefer.request.read, reefer.request.create</t>
        </is>
      </c>
      <c r="D14" s="133" t="inlineStr">
        <is>
          <t>Đã tách thành quyền thao tác cụ thể</t>
        </is>
      </c>
      <c r="E14" s="133" t="inlineStr">
        <is>
          <t>Giữ như bản bạn điền; vẫn phải triển khai RBAC phía server, không chỉ ẩn nút trên giao diện.</t>
        </is>
      </c>
    </row>
    <row r="15" ht="44" customHeight="1" s="94">
      <c r="A15" s="129" t="inlineStr">
        <is>
          <t>Q11</t>
        </is>
      </c>
      <c r="B15" s="130" t="inlineStr">
        <is>
          <t>Thực hiện cắm/rút điện tại hiện trường</t>
        </is>
      </c>
      <c r="C15" s="130" t="inlineStr">
        <is>
          <t>reefer.field_work.note</t>
        </is>
      </c>
      <c r="D15" s="130" t="inlineStr">
        <is>
          <t>Ngoài hệ thống / ghi nhận thông tin</t>
        </is>
      </c>
      <c r="E15" s="130" t="inlineStr">
        <is>
          <t>Thao tác cắm/rút PHYSICAL chỉ An ninh thực hiện. CCKB tiếp nhận thông báo qua Zalo, sau đó nhập giờ tại Q12/Q13. Không bắt buộc An ninh nhập giờ trên PWA.</t>
        </is>
      </c>
    </row>
    <row r="16" ht="44" customHeight="1" s="94">
      <c r="A16" s="132" t="inlineStr">
        <is>
          <t>Q12</t>
        </is>
      </c>
      <c r="B16" s="133" t="inlineStr">
        <is>
          <t>Nhập GIO_CAM_THUC_TE</t>
        </is>
      </c>
      <c r="C16" s="133" t="inlineStr">
        <is>
          <t>reefer.session.read, reefer.session.actual_start.record</t>
        </is>
      </c>
      <c r="D16" s="133" t="inlineStr">
        <is>
          <t>Đã tách thành quyền thao tác cụ thể</t>
        </is>
      </c>
      <c r="E16" s="133" t="inlineStr">
        <is>
          <t>Giữ như bản bạn điền; vẫn phải triển khai RBAC phía server, không chỉ ẩn nút trên giao diện.</t>
        </is>
      </c>
    </row>
    <row r="17" ht="44" customHeight="1" s="94">
      <c r="A17" s="129" t="inlineStr">
        <is>
          <t>Q13</t>
        </is>
      </c>
      <c r="B17" s="130" t="inlineStr">
        <is>
          <t>Nhập GIO_RUT_THUC_TE</t>
        </is>
      </c>
      <c r="C17" s="130" t="inlineStr">
        <is>
          <t>reefer.session.read, reefer.session.actual_end.record</t>
        </is>
      </c>
      <c r="D17" s="130" t="inlineStr">
        <is>
          <t>Đã tách thành quyền thao tác cụ thể</t>
        </is>
      </c>
      <c r="E17" s="130" t="inlineStr">
        <is>
          <t>Giữ như bản bạn điền; vẫn phải triển khai RBAC phía server, không chỉ ẩn nút trên giao diện.</t>
        </is>
      </c>
    </row>
    <row r="18" ht="44" customHeight="1" s="94">
      <c r="A18" s="132" t="inlineStr">
        <is>
          <t>Q14</t>
        </is>
      </c>
      <c r="B18" s="133" t="inlineStr">
        <is>
          <t>Sửa giờ cắm/rút trước khi thu</t>
        </is>
      </c>
      <c r="C18" s="133" t="inlineStr">
        <is>
          <t>reefer.session.time.edit_unpaid, reefer.session.billable.override_unpaid</t>
        </is>
      </c>
      <c r="D18" s="133" t="inlineStr">
        <is>
          <t>Đã tách thành quyền thao tác cụ thể</t>
        </is>
      </c>
      <c r="E18" s="133" t="inlineStr">
        <is>
          <t>CCKB sửa giờ cắm/rút trước thu, hệ thống tính lại từng phiên bằng CEILING(số phút/15)*15; bắt buộc audit khi đã lưu trước đó.</t>
        </is>
      </c>
    </row>
    <row r="19" ht="44" customHeight="1" s="94">
      <c r="A19" s="129" t="inlineStr">
        <is>
          <t>Q15</t>
        </is>
      </c>
      <c r="B19" s="130" t="inlineStr">
        <is>
          <t>Đề nghị sửa giờ sau khi đã thu</t>
        </is>
      </c>
      <c r="C19" s="130" t="inlineStr">
        <is>
          <t>reefer.session.amendment.request</t>
        </is>
      </c>
      <c r="D19" s="130" t="inlineStr">
        <is>
          <t>Đã tách thành quyền thao tác cụ thể</t>
        </is>
      </c>
      <c r="E19" s="130" t="inlineStr">
        <is>
          <t>Nhân viên/TBP CCKB đề nghị điều chỉnh sau thu; Trưởng BP có quyền phê duyệt theo Q16. Không ghi đè trực tiếp khoản đã thanh toán.</t>
        </is>
      </c>
    </row>
    <row r="20" ht="44" customHeight="1" s="94">
      <c r="A20" s="132" t="inlineStr">
        <is>
          <t>Q16</t>
        </is>
      </c>
      <c r="B20" s="133" t="inlineStr">
        <is>
          <t>Phê duyệt chênh lệch sau khi thu</t>
        </is>
      </c>
      <c r="C20" s="133" t="inlineStr">
        <is>
          <t>reefer.session.amendment.approve</t>
        </is>
      </c>
      <c r="D20" s="133" t="inlineStr">
        <is>
          <t>Đã tách thành quyền thao tác cụ thể</t>
        </is>
      </c>
      <c r="E20" s="133" t="inlineStr">
        <is>
          <t>Chỉ TBP CCKB hoặc Quản trị phê duyệt chênh lệch sau đã thu; người vừa đề nghị KHÔNG tự duyệt. Nếu TBP tự chỉnh thì cần giải trình/audit. Bút toán chênh lệch/hoàn tiền giữ nguyên chứng từ gốc.</t>
        </is>
      </c>
    </row>
    <row r="21" ht="44" customHeight="1" s="94">
      <c r="A21" s="129" t="inlineStr">
        <is>
          <t>Q17</t>
        </is>
      </c>
      <c r="B21" s="130" t="inlineStr">
        <is>
          <t>Quản lý danh mục giá điện và ngày hiệu lực</t>
        </is>
      </c>
      <c r="C21" s="130" t="inlineStr">
        <is>
          <t>tariff.read, tariff.change.request, tariff.change.publish, admin.billing_settings.manage</t>
        </is>
      </c>
      <c r="D21" s="130" t="inlineStr">
        <is>
          <t>Đã tách thành quyền thao tác cụ thể</t>
        </is>
      </c>
      <c r="E21" s="130" t="inlineStr">
        <is>
          <t>Giữ như bản bạn điền; vẫn phải triển khai RBAC phía server, không chỉ ẩn nút trên giao diện.</t>
        </is>
      </c>
    </row>
    <row r="22" ht="44" customHeight="1" s="94">
      <c r="A22" s="132" t="inlineStr">
        <is>
          <t>Q18</t>
        </is>
      </c>
      <c r="B22" s="133" t="inlineStr">
        <is>
          <t>Tính/thu phí lưu container</t>
        </is>
      </c>
      <c r="C22" s="133" t="inlineStr">
        <is>
          <t>container.visit.read, storage.payment.collect</t>
        </is>
      </c>
      <c r="D22" s="133" t="inlineStr">
        <is>
          <t>Đã tách thành quyền thao tác cụ thể</t>
        </is>
      </c>
      <c r="E22" s="133" t="inlineStr">
        <is>
          <t>An ninh thu PHÍ LƯU CONTAINER đúng lúc GIO_CONT_RA thực tế được xác nhận, không khóa phí trước 22:00. Nếu chưa thu, phải ghi rõ nợ/ngoại lệ và kiểm tra quyền cho ra.</t>
        </is>
      </c>
    </row>
    <row r="23" ht="44" customHeight="1" s="94">
      <c r="A23" s="129" t="inlineStr">
        <is>
          <t>Q19</t>
        </is>
      </c>
      <c r="B23" s="130" t="inlineStr">
        <is>
          <t>Tính/thu phí điện</t>
        </is>
      </c>
      <c r="C23" s="130" t="inlineStr">
        <is>
          <t>reefer.payment.collect, reefer.payment.partial_collect, payment.bank_evidence.attach</t>
        </is>
      </c>
      <c r="D23" s="130" t="inlineStr">
        <is>
          <t>Đã tách thành quyền thao tác cụ thể</t>
        </is>
      </c>
      <c r="E23" s="130" t="inlineStr">
        <is>
          <t>Giữ như bản bạn điền; vẫn phải triển khai RBAC phía server, không chỉ ẩn nút trên giao diện.</t>
        </is>
      </c>
    </row>
    <row r="24" ht="44" customHeight="1" s="94">
      <c r="A24" s="132" t="inlineStr">
        <is>
          <t>Q20</t>
        </is>
      </c>
      <c r="B24" s="133" t="inlineStr">
        <is>
          <t>Thu phạt mất vé</t>
        </is>
      </c>
      <c r="C24" s="133" t="inlineStr">
        <is>
          <t>ticket.lost_fee.collect</t>
        </is>
      </c>
      <c r="D24" s="133" t="inlineStr">
        <is>
          <t>Đã tách thành quyền thao tác cụ thể</t>
        </is>
      </c>
      <c r="E24" s="133" t="inlineStr">
        <is>
          <t>Giữ như bản bạn điền; vẫn phải triển khai RBAC phía server, không chỉ ẩn nút trên giao diện.</t>
        </is>
      </c>
    </row>
    <row r="25" ht="44" customHeight="1" s="94">
      <c r="A25" s="129" t="inlineStr">
        <is>
          <t>Q21</t>
        </is>
      </c>
      <c r="B25" s="130" t="inlineStr">
        <is>
          <t>Đối soát chuyển khoản/chứng từ</t>
        </is>
      </c>
      <c r="C25" s="130" t="inlineStr">
        <is>
          <t>payment.bank_evidence.attach, payment.bank.reconcile</t>
        </is>
      </c>
      <c r="D25" s="130" t="inlineStr">
        <is>
          <t>Đã tách thành quyền thao tác cụ thể</t>
        </is>
      </c>
      <c r="E25" s="130" t="inlineStr">
        <is>
          <t>TBP An ninh đối soát vé/lưu, TBP CCKB đối soát điện trong phạm vi của mình. Nhân viên chỉ xem khoản do mình thu; Quản trị xem toàn bộ. Không coi ảnh CK là xác nhận tiền đã về.</t>
        </is>
      </c>
    </row>
    <row r="26" ht="44" customHeight="1" s="94">
      <c r="A26" s="132" t="inlineStr">
        <is>
          <t>Q22</t>
        </is>
      </c>
      <c r="B26" s="133" t="inlineStr">
        <is>
          <t>Miễn/giảm/điều chỉnh tiền phải thu</t>
        </is>
      </c>
      <c r="C26" s="133" t="inlineStr">
        <is>
          <t>charge.adjust.request, charge.adjust.approve</t>
        </is>
      </c>
      <c r="D26" s="133" t="inlineStr">
        <is>
          <t>Giai đoạn sau (không cấp quyền V1)</t>
        </is>
      </c>
      <c r="E26" s="133" t="inlineStr">
        <is>
          <t>Chỉ Quản trị được truy cập nếu bật tính năng. Chính sách miễn/giảm toàn phần CHƯA bắt buộc trong V1; không dùng Q22 thay cho chỉnh giờ điện có kiểm soát.</t>
        </is>
      </c>
    </row>
    <row r="27" ht="44" customHeight="1" s="94">
      <c r="A27" s="129" t="inlineStr">
        <is>
          <t>Q23</t>
        </is>
      </c>
      <c r="B27" s="130" t="inlineStr">
        <is>
          <t>Hoàn tiền/hủy giao dịch đã thu</t>
        </is>
      </c>
      <c r="C27" s="130" t="inlineStr">
        <is>
          <t>payment.refund.request, payment.refund.approve</t>
        </is>
      </c>
      <c r="D27" s="130" t="inlineStr">
        <is>
          <t>Giai đoạn sau (không cấp quyền V1)</t>
        </is>
      </c>
      <c r="E27" s="130" t="inlineStr">
        <is>
          <t>Hoàn tiền/hủy giao dịch đã thu là nghiệp vụ tài chính nhạy cảm, đề xuất chưa kích hoạt V1. Khi làm phải tạo chứng từ bù trừ, không xóa/ghi đè giao dịch đã nhận.</t>
        </is>
      </c>
    </row>
    <row r="28" ht="44" customHeight="1" s="94">
      <c r="A28" s="132" t="inlineStr">
        <is>
          <t>Q24</t>
        </is>
      </c>
      <c r="B28" s="133" t="inlineStr">
        <is>
          <t>Xác nhận đủ điều kiện tài chính</t>
        </is>
      </c>
      <c r="C28" s="133" t="inlineStr">
        <is>
          <t>exit.clearance.read, exit.clearance.issue, exit.clearance.debt_exception, exit.reefer_state.exception</t>
        </is>
      </c>
      <c r="D28" s="133" t="inlineStr">
        <is>
          <t>Đã tách thành quyền thao tác cụ thể</t>
        </is>
      </c>
      <c r="E28" s="133" t="inlineStr">
        <is>
          <t>CCKB kiểm tra và cho xuất hoặc cho ra ngoại lệ có lý do/công nợ. KHÔNG đồng nghĩa đã thu đủ phí lưu tại thời điểm CCKB duyệt; An ninh chốt phí lưu khi ra thực.</t>
        </is>
      </c>
    </row>
    <row r="29" ht="44" customHeight="1" s="94">
      <c r="A29" s="129" t="inlineStr">
        <is>
          <t>Q25</t>
        </is>
      </c>
      <c r="B29" s="130" t="inlineStr">
        <is>
          <t>Xác nhận xe/container thực tế ra</t>
        </is>
      </c>
      <c r="C29" s="130" t="inlineStr">
        <is>
          <t>vehicle.visit.read, vehicle.visit.exit_confirm, exit.clearance.read, exit.actual.confirm</t>
        </is>
      </c>
      <c r="D29" s="130" t="inlineStr">
        <is>
          <t>Đã tách thành quyền thao tác cụ thể</t>
        </is>
      </c>
      <c r="E29" s="130" t="inlineStr">
        <is>
          <t>An ninh xác nhận xe/container thực tế ra; lấy GIO_CONT_RA của lượt container và tính phí lưu tại cùng giao dịch server; không tự báo ra khi offline. Quản trị dùng quyền thay mặt chỉ trong sự cố có audit.</t>
        </is>
      </c>
    </row>
    <row r="30" ht="44" customHeight="1" s="94">
      <c r="A30" s="132" t="inlineStr">
        <is>
          <t>Q26</t>
        </is>
      </c>
      <c r="B30" s="133" t="inlineStr">
        <is>
          <t>Hủy trạng thái duyệt ra/khóa xuất ngoại lệ</t>
        </is>
      </c>
      <c r="C30" s="133" t="inlineStr">
        <is>
          <t>exit.clearance.revoke.request, exit.clearance.revoke.approve</t>
        </is>
      </c>
      <c r="D30" s="133" t="inlineStr">
        <is>
          <t>Đã tách thành quyền thao tác cụ thể</t>
        </is>
      </c>
      <c r="E30" s="133" t="inlineStr">
        <is>
          <t>Hủy phê duyệt chỉ khi CHƯA xác nhận ra thực tế. Sau khi đã xuất phải dùng quy trình sửa/hồi tố riêng với lịch sử; nhân viên CCKB chỉ đề nghị hủy.</t>
        </is>
      </c>
    </row>
    <row r="31" ht="44" customHeight="1" s="94">
      <c r="A31" s="129" t="inlineStr">
        <is>
          <t>Q27</t>
        </is>
      </c>
      <c r="B31" s="130" t="inlineStr">
        <is>
          <t>Tạo/khóa tài khoản và cấp vai trò</t>
        </is>
      </c>
      <c r="C31" s="130" t="inlineStr">
        <is>
          <t>admin.users.manage, admin.roles.manage, admin.role_permissions.manage</t>
        </is>
      </c>
      <c r="D31" s="130" t="inlineStr">
        <is>
          <t>Đã tách thành quyền thao tác cụ thể</t>
        </is>
      </c>
      <c r="E31" s="130" t="inlineStr">
        <is>
          <t>Giữ như bản bạn điền; vẫn phải triển khai RBAC phía server, không chỉ ẩn nút trên giao diện.</t>
        </is>
      </c>
    </row>
    <row r="32" ht="44" customHeight="1" s="94">
      <c r="A32" s="132" t="inlineStr">
        <is>
          <t>Q28</t>
        </is>
      </c>
      <c r="B32" s="133" t="inlineStr">
        <is>
          <t>Xem nhật ký chỉnh sửa/audit</t>
        </is>
      </c>
      <c r="C32" s="133" t="inlineStr">
        <is>
          <t>audit.read</t>
        </is>
      </c>
      <c r="D32" s="133" t="inlineStr">
        <is>
          <t>Đã tách thành quyền thao tác cụ thể</t>
        </is>
      </c>
      <c r="E32" s="133" t="inlineStr">
        <is>
          <t>TBP xem audit thuộc bộ phận mình để xử lý sai sót; Quản trị thấy toàn bộ. Không cho TBP sửa/xóa audit.</t>
        </is>
      </c>
    </row>
    <row r="33" ht="44" customHeight="1" s="94">
      <c r="A33" s="129" t="inlineStr">
        <is>
          <t>Q29</t>
        </is>
      </c>
      <c r="B33" s="130" t="inlineStr">
        <is>
          <t>Xem doanh thu theo ca/bộ phận/người thu</t>
        </is>
      </c>
      <c r="C33" s="130" t="inlineStr">
        <is>
          <t>report.revenue.read</t>
        </is>
      </c>
      <c r="D33" s="130" t="inlineStr">
        <is>
          <t>Đã tách thành quyền thao tác cụ thể</t>
        </is>
      </c>
      <c r="E33" s="130" t="inlineStr">
        <is>
          <t>NV xem khoản mình trực tiếp thu; TBP xem doanh thu bộ phận. NV/TBP Điều phối không cần xem doanh thu nếu không được cấp thêm.</t>
        </is>
      </c>
    </row>
    <row r="34" ht="44" customHeight="1" s="94">
      <c r="A34" s="132" t="inlineStr">
        <is>
          <t>Q30</t>
        </is>
      </c>
      <c r="B34" s="133" t="inlineStr">
        <is>
          <t>Xuất Excel/báo cáo phục vụ kiểm toán</t>
        </is>
      </c>
      <c r="C34" s="133" t="inlineStr">
        <is>
          <t>report.revenue.export, audit.export_all</t>
        </is>
      </c>
      <c r="D34" s="133" t="inlineStr">
        <is>
          <t>Đã tách thành quyền thao tác cụ thể</t>
        </is>
      </c>
      <c r="E34" s="133" t="inlineStr">
        <is>
          <t>Cho TBP An ninh/CCKB xuất báo cáo thuộc BP để bàn giao đối soát. Báo cáo kiểm toán toàn bộ dữ liệu chỉ Quản trị.</t>
        </is>
      </c>
    </row>
    <row r="35" ht="44" customHeight="1" s="94">
      <c r="A35" s="129" t="inlineStr">
        <is>
          <t>Q31</t>
        </is>
      </c>
      <c r="B35" s="130" t="inlineStr">
        <is>
          <t>Tạo yêu cầu cắm điện cho cont chưa vào (một hoặc nhiều số)</t>
        </is>
      </c>
      <c r="C35" s="130" t="inlineStr">
        <is>
          <t>reefer.request.read, reefer.request.create</t>
        </is>
      </c>
      <c r="D35" s="130" t="inlineStr">
        <is>
          <t>Đã tách thành quyền thao tác cụ thể</t>
        </is>
      </c>
      <c r="E35" s="130" t="inlineStr">
        <is>
          <t>CCKB nhập yêu cầu cho từng cont trước khi cont đến; An ninh phải nhìn thấy yêu cầu chờ để nhận diện lúc vào. Chưa có cont visit thì không tính phí lưu.</t>
        </is>
      </c>
    </row>
    <row r="36" ht="44" customHeight="1" s="94">
      <c r="A36" s="132" t="inlineStr">
        <is>
          <t>Q32</t>
        </is>
      </c>
      <c r="B36" s="133" t="inlineStr">
        <is>
          <t>Sửa hoặc hủy yêu cầu điện dự kiến khi khách đổi số cont</t>
        </is>
      </c>
      <c r="C36" s="133" t="inlineStr">
        <is>
          <t>reefer.request.update, reefer.request.cancel</t>
        </is>
      </c>
      <c r="D36" s="133" t="inlineStr">
        <is>
          <t>Đã tách thành quyền thao tác cụ thể</t>
        </is>
      </c>
      <c r="E36" s="133" t="inlineStr">
        <is>
          <t>CCKB sửa/hủy yêu cầu dự kiến khi KH báo nhầm; phải lưu lịch sử và gửi thông báo lại An ninh. Không xóa mất bằng chứng đã nhận từ khách.</t>
        </is>
      </c>
    </row>
    <row r="37" ht="44" customHeight="1" s="94">
      <c r="A37" s="129" t="inlineStr">
        <is>
          <t>Q33</t>
        </is>
      </c>
      <c r="B37" s="130" t="inlineStr">
        <is>
          <t>Xem cảnh báo danh sách cont có yêu cầu cắm điện dự kiến</t>
        </is>
      </c>
      <c r="C37" s="130" t="inlineStr">
        <is>
          <t>reefer.request.read, reefer.request.alert.view</t>
        </is>
      </c>
      <c r="D37" s="130" t="inlineStr">
        <is>
          <t>Đã tách thành quyền thao tác cụ thể</t>
        </is>
      </c>
      <c r="E37" s="130" t="inlineStr">
        <is>
          <t>An ninh phải THẤY cảnh báo cont có yêu cầu cắm điện dự kiến khi nhập tại cổng. Không chờ Quản trị mới xem được.</t>
        </is>
      </c>
    </row>
    <row r="38" ht="44" customHeight="1" s="94">
      <c r="A38" s="132" t="inlineStr">
        <is>
          <t>Q34</t>
        </is>
      </c>
      <c r="B38" s="133" t="inlineStr">
        <is>
          <t>Xác nhận ghép số cont dự kiến với lượt cont vào thực tế</t>
        </is>
      </c>
      <c r="C38" s="133" t="inlineStr">
        <is>
          <t>container.visit.link_request, reefer.request.match_confirm</t>
        </is>
      </c>
      <c r="D38" s="133" t="inlineStr">
        <is>
          <t>Đã tách thành quyền thao tác cụ thể</t>
        </is>
      </c>
      <c r="E38" s="133" t="inlineStr">
        <is>
          <t>An ninh đối chiếu cont thực vào với danh sách dự kiến và xác nhận ghép; CCKB kiểm tra/chỉnh phiếu theo kết quả. Gợi ý 7 số cuối/gần giống chỉ hỗ trợ, KHÔNG tự ghép.</t>
        </is>
      </c>
    </row>
    <row r="39" ht="44" customHeight="1" s="94">
      <c r="A39" s="129" t="inlineStr">
        <is>
          <t>Q35</t>
        </is>
      </c>
      <c r="B39" s="130" t="inlineStr">
        <is>
          <t>Sửa số cont đã nhập sai và ghi nhận đã báo CCKB</t>
        </is>
      </c>
      <c r="C39" s="130" t="inlineStr">
        <is>
          <t>container.number.correct, container.number.discrepancy.view, container.number.discrepancy.sec_ack</t>
        </is>
      </c>
      <c r="D39" s="130" t="inlineStr">
        <is>
          <t>Đã tách thành quyền thao tác cụ thể</t>
        </is>
      </c>
      <c r="E39" s="130" t="inlineStr">
        <is>
          <t>Tương đồng Q06: giữ AN được sửa đúng cont tại hiện trường và bấm Đã báo CCKB; số cũ, số mới, ảnh/video nếu có, lý do và audit bắt buộc. Nên gộp chức năng với Q06 trong UI.</t>
        </is>
      </c>
    </row>
    <row r="40" ht="44" customHeight="1" s="94">
      <c r="A40" s="132" t="inlineStr">
        <is>
          <t>Q36</t>
        </is>
      </c>
      <c r="B40" s="133" t="inlineStr">
        <is>
          <t>Tiếp nhận cảnh báo sửa số cont, kiểm tra và cập nhật yêu cầu dự kiến</t>
        </is>
      </c>
      <c r="C40" s="133" t="inlineStr">
        <is>
          <t>container.number.discrepancy.view, container.number.discrepancy.port_reconcile, reefer.request.update</t>
        </is>
      </c>
      <c r="D40" s="133" t="inlineStr">
        <is>
          <t>Đã tách thành quyền thao tác cụ thể</t>
        </is>
      </c>
      <c r="E40" s="133" t="inlineStr">
        <is>
          <t>CCKB tiếp nhận cảnh báo AN sửa số cont và được cập nhật phiếu dự kiến; lưu trạng thái đã xem/đã xử lý. Không tạo thêm phiên mới ngoài ý muốn.</t>
        </is>
      </c>
    </row>
    <row r="41" ht="44" customHeight="1" s="94">
      <c r="A41" s="129" t="inlineStr">
        <is>
          <t>Q37</t>
        </is>
      </c>
      <c r="B41" s="130" t="inlineStr">
        <is>
          <t>Đính kèm ảnh/video nhận diện sai số container</t>
        </is>
      </c>
      <c r="C41" s="130" t="inlineStr">
        <is>
          <t>container.number.evidence.attach</t>
        </is>
      </c>
      <c r="D41" s="130" t="inlineStr">
        <is>
          <t>Đã tách thành quyền thao tác cụ thể</t>
        </is>
      </c>
      <c r="E41" s="130" t="inlineStr">
        <is>
          <t>AN hoặc CCKB được đính kèm ảnh/video đối chiếu. Khuyến khích ảnh/video; khi không có phải có lý do, không chặn thao tác nếu nguồn thực tế không cho chụp.</t>
        </is>
      </c>
    </row>
    <row r="42" ht="44" customHeight="1" s="94">
      <c r="A42" s="132" t="inlineStr">
        <is>
          <t>Q38</t>
        </is>
      </c>
      <c r="B42" s="133" t="inlineStr">
        <is>
          <t>Đối soát chênh lệch tiền sau khi sửa số container đã thu/đã ra</t>
        </is>
      </c>
      <c r="C42" s="133" t="inlineStr">
        <is>
          <t>container.number.discrepancy.port_reconcile, payment.post_correction.request, payment.post_correction.approve</t>
        </is>
      </c>
      <c r="D42" s="133" t="inlineStr">
        <is>
          <t>Đã tách thành quyền thao tác cụ thể</t>
        </is>
      </c>
      <c r="E42" s="133" t="inlineStr">
        <is>
          <t>SỬA MÃ CONTAINER luôn theo Q06/Q35 (AN được sửa có nhật ký). Q38 chỉ dùng khi phải ĐIỀU CHỈNH TIỀN đã thu do sửa số; cần TBP CCKB/Quản trị duyệt giao dịch điều chỉnh, không thay khoản đã thu gốc.</t>
        </is>
      </c>
    </row>
    <row r="43" ht="44" customHeight="1" s="94">
      <c r="A43" s="129" t="inlineStr">
        <is>
          <t>Q39</t>
        </is>
      </c>
      <c r="B43" s="130" t="inlineStr">
        <is>
          <t>Xem và xác nhận đã xử lý cảnh báo sai số cont/không ghép được yêu cầu dự kiến</t>
        </is>
      </c>
      <c r="C43" s="130" t="inlineStr">
        <is>
          <t>container.number.discrepancy.view, container.number.discrepancy.sec_ack, container.number.discrepancy.port_reconcile</t>
        </is>
      </c>
      <c r="D43" s="130" t="inlineStr">
        <is>
          <t>Đã tách thành quyền thao tác cụ thể</t>
        </is>
      </c>
      <c r="E43" s="130" t="inlineStr">
        <is>
          <t>An ninh ghi đã báo/chụp hiện trường; CCKB đánh dấu đã kiểm tra/đối soát và đóng cảnh báo; trạng thái riêng từng BP, ai hoàn tất thao tác của mình.</t>
        </is>
      </c>
    </row>
  </sheetData>
  <autoFilter ref="A4:E43"/>
  <mergeCells count="2">
    <mergeCell ref="A2:E2"/>
    <mergeCell ref="A1:E1"/>
  </mergeCells>
  <printOptions horizontalCentered="1"/>
  <pageMargins left="0.75" right="0.75" top="1" bottom="1" header="0.5" footer="0.5"/>
  <pageSetup fitToWidth="1"/>
</worksheet>
</file>

<file path=xl/worksheets/sheet27.xml><?xml version="1.0" encoding="utf-8"?>
<worksheet xmlns="http://schemas.openxmlformats.org/spreadsheetml/2006/main">
  <sheetPr>
    <tabColor rgb="000A9444"/>
    <outlinePr summaryBelow="1" summaryRight="1"/>
    <pageSetUpPr fitToPage="1"/>
  </sheetPr>
  <dimension ref="A1:F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style="94" min="1" max="1"/>
    <col width="34" customWidth="1" style="94" min="2" max="2"/>
    <col width="29" customWidth="1" style="94" min="3" max="3"/>
    <col width="74" customWidth="1" style="94" min="4" max="4"/>
    <col width="65" customWidth="1" style="94" min="5" max="5"/>
    <col width="99" customWidth="1" style="94" min="6" max="6"/>
  </cols>
  <sheetData>
    <row r="1" ht="34" customHeight="1" s="94">
      <c r="A1" s="126" t="inlineStr">
        <is>
          <t>V5 — LUỒNG THAO TÁC THỰC TẾ</t>
        </is>
      </c>
    </row>
    <row r="2" ht="38" customHeight="1" s="94">
      <c r="A2" s="127" t="inlineStr">
        <is>
          <t>Người thực hiện thực tế, người nhập hệ thống và người thu là ba khái niệm riêng. Mỗi bước đối chiếu quyền theo action và scope.</t>
        </is>
      </c>
    </row>
    <row r="4" ht="38" customHeight="1" s="94">
      <c r="A4" s="128" t="inlineStr">
        <is>
          <t>Mã</t>
        </is>
      </c>
      <c r="B4" s="128" t="inlineStr">
        <is>
          <t>Bước</t>
        </is>
      </c>
      <c r="C4" s="128" t="inlineStr">
        <is>
          <t>Vai trò</t>
        </is>
      </c>
      <c r="D4" s="128" t="inlineStr">
        <is>
          <t>Quyền kiểm tra</t>
        </is>
      </c>
      <c r="E4" s="128" t="inlineStr">
        <is>
          <t>Dữ liệu/hiệu lực</t>
        </is>
      </c>
      <c r="F4" s="128" t="inlineStr">
        <is>
          <t>Lưu ý thực tế</t>
        </is>
      </c>
    </row>
    <row r="5" ht="44" customHeight="1" s="94">
      <c r="A5" s="129" t="inlineStr">
        <is>
          <t>WF01</t>
        </is>
      </c>
      <c r="B5" s="130" t="inlineStr">
        <is>
          <t>Xe vào</t>
        </is>
      </c>
      <c r="C5" s="130" t="inlineStr">
        <is>
          <t>SEC_STAFF</t>
        </is>
      </c>
      <c r="D5" s="130" t="inlineStr">
        <is>
          <t>vehicle.visit.create</t>
        </is>
      </c>
      <c r="E5" s="130" t="inlineStr">
        <is>
          <t>Tạo lượt xe; thu vé theo loại xe</t>
        </is>
      </c>
      <c r="F5" s="130" t="inlineStr">
        <is>
          <t>Nếu cont có điện dự kiến hiển thị cảnh báo; không tự ghép mã gần giống.</t>
        </is>
      </c>
    </row>
    <row r="6" ht="44" customHeight="1" s="94">
      <c r="A6" s="132" t="inlineStr">
        <is>
          <t>WF02</t>
        </is>
      </c>
      <c r="B6" s="133" t="inlineStr">
        <is>
          <t>Cont vào</t>
        </is>
      </c>
      <c r="C6" s="133" t="inlineStr">
        <is>
          <t>SEC_STAFF</t>
        </is>
      </c>
      <c r="D6" s="133" t="inlineStr">
        <is>
          <t>container.visit.create</t>
        </is>
      </c>
      <c r="E6" s="133" t="inlineStr">
        <is>
          <t>Tạo lượt cont, giữ GIO_CONT_VAO</t>
        </is>
      </c>
      <c r="F6" s="133" t="inlineStr">
        <is>
          <t>Hạ hay không hạ không ảnh hưởng tính số đêm lưu.</t>
        </is>
      </c>
    </row>
    <row r="7" ht="44" customHeight="1" s="94">
      <c r="A7" s="129" t="inlineStr">
        <is>
          <t>WF03</t>
        </is>
      </c>
      <c r="B7" s="130" t="inlineStr">
        <is>
          <t>Điện dự kiến</t>
        </is>
      </c>
      <c r="C7" s="130" t="inlineStr">
        <is>
          <t>PORT_STAFF</t>
        </is>
      </c>
      <c r="D7" s="130" t="inlineStr">
        <is>
          <t>reefer.request.create</t>
        </is>
      </c>
      <c r="E7" s="130" t="inlineStr">
        <is>
          <t>Tạo 1 phiếu/container trước khi cont vào</t>
        </is>
      </c>
      <c r="F7" s="130" t="inlineStr">
        <is>
          <t>Không tự ghi giờ cont vào, không sinh phí lưu/điện.</t>
        </is>
      </c>
    </row>
    <row r="8" ht="44" customHeight="1" s="94">
      <c r="A8" s="132" t="inlineStr">
        <is>
          <t>WF04</t>
        </is>
      </c>
      <c r="B8" s="133" t="inlineStr">
        <is>
          <t>Ghép dự kiến</t>
        </is>
      </c>
      <c r="C8" s="133" t="inlineStr">
        <is>
          <t>SEC_STAFF / PORT_STAFF</t>
        </is>
      </c>
      <c r="D8" s="133" t="inlineStr">
        <is>
          <t>reefer.request.match_confirm</t>
        </is>
      </c>
      <c r="E8" s="133" t="inlineStr">
        <is>
          <t>Xác nhận mã cont thực tế</t>
        </is>
      </c>
      <c r="F8" s="133" t="inlineStr">
        <is>
          <t>Gợi ý theo số đầy đủ, 7 số cuối, gần giống phải xác nhận.</t>
        </is>
      </c>
    </row>
    <row r="9" ht="44" customHeight="1" s="94">
      <c r="A9" s="129" t="inlineStr">
        <is>
          <t>WF05</t>
        </is>
      </c>
      <c r="B9" s="130" t="inlineStr">
        <is>
          <t>An ninh cắm/rút</t>
        </is>
      </c>
      <c r="C9" s="130" t="inlineStr">
        <is>
          <t>SEC_STAFF</t>
        </is>
      </c>
      <c r="D9" s="130" t="inlineStr">
        <is>
          <t>reefer.field_work.note</t>
        </is>
      </c>
      <c r="E9" s="130" t="inlineStr">
        <is>
          <t>Thực hiện hiện trường; báo nhóm Zalo</t>
        </is>
      </c>
      <c r="F9" s="130" t="inlineStr">
        <is>
          <t>Không ép bấm bắt đầu cắm/rút trong PWA để lấy giờ thực.</t>
        </is>
      </c>
    </row>
    <row r="10" ht="44" customHeight="1" s="94">
      <c r="A10" s="132" t="inlineStr">
        <is>
          <t>WF06</t>
        </is>
      </c>
      <c r="B10" s="133" t="inlineStr">
        <is>
          <t>CCKB nhập điện</t>
        </is>
      </c>
      <c r="C10" s="133" t="inlineStr">
        <is>
          <t>PORT_STAFF</t>
        </is>
      </c>
      <c r="D10" s="133" t="inlineStr">
        <is>
          <t>reefer.session.actual_start.record / actual_end.record</t>
        </is>
      </c>
      <c r="E10" s="133" t="inlineStr">
        <is>
          <t>Nhập/bổ sung giờ cắm/rút thực tế</t>
        </is>
      </c>
      <c r="F10" s="133" t="inlineStr">
        <is>
          <t>Server làm tròn 15p theo phiên; hiển thị giá, tiền; sửa có audit.</t>
        </is>
      </c>
    </row>
    <row r="11" ht="44" customHeight="1" s="94">
      <c r="A11" s="129" t="inlineStr">
        <is>
          <t>WF07</t>
        </is>
      </c>
      <c r="B11" s="130" t="inlineStr">
        <is>
          <t>CCKB thu điện</t>
        </is>
      </c>
      <c r="C11" s="130" t="inlineStr">
        <is>
          <t>PORT_STAFF</t>
        </is>
      </c>
      <c r="D11" s="130" t="inlineStr">
        <is>
          <t>reefer.payment.collect</t>
        </is>
      </c>
      <c r="E11" s="130" t="inlineStr">
        <is>
          <t>Thu ngay khi rút hoặc khi cont xuất</t>
        </is>
      </c>
      <c r="F11" s="130" t="inlineStr">
        <is>
          <t>Nhiều lần thu / nhiều khoản; không thu trùng, không sửa dòng đã thu.</t>
        </is>
      </c>
    </row>
    <row r="12" ht="44" customHeight="1" s="94">
      <c r="A12" s="132" t="inlineStr">
        <is>
          <t>WF08</t>
        </is>
      </c>
      <c r="B12" s="133" t="inlineStr">
        <is>
          <t>CCKB kiểm tra ra</t>
        </is>
      </c>
      <c r="C12" s="133" t="inlineStr">
        <is>
          <t>PORT_STAFF</t>
        </is>
      </c>
      <c r="D12" s="133" t="inlineStr">
        <is>
          <t>exit.clearance.issue</t>
        </is>
      </c>
      <c r="E12" s="133" t="inlineStr">
        <is>
          <t>Kiểm tra điện và nợ biết trước khi ra</t>
        </is>
      </c>
      <c r="F12" s="133" t="inlineStr">
        <is>
          <t>Cho phép clearance ngoại lệ có lý do, không khóa phí lưu.</t>
        </is>
      </c>
    </row>
    <row r="13" ht="44" customHeight="1" s="94">
      <c r="A13" s="129" t="inlineStr">
        <is>
          <t>WF09</t>
        </is>
      </c>
      <c r="B13" s="130" t="inlineStr">
        <is>
          <t>An ninh chốt ra</t>
        </is>
      </c>
      <c r="C13" s="130" t="inlineStr">
        <is>
          <t>SEC_STAFF</t>
        </is>
      </c>
      <c r="D13" s="130" t="inlineStr">
        <is>
          <t>exit.actual.confirm / storage.payment.collect</t>
        </is>
      </c>
      <c r="E13" s="130" t="inlineStr">
        <is>
          <t>Ghi GIO_CONT_RA, tính tiền lưu và thu</t>
        </is>
      </c>
      <c r="F13" s="130" t="inlineStr">
        <is>
          <t>Server tính lại theo thời điểm ra; thiếu tiền thì đối soát/CCKB cho nợ có lý do.</t>
        </is>
      </c>
    </row>
    <row r="14" ht="44" customHeight="1" s="94">
      <c r="A14" s="132" t="inlineStr">
        <is>
          <t>WF10</t>
        </is>
      </c>
      <c r="B14" s="133" t="inlineStr">
        <is>
          <t>Sửa mã cont</t>
        </is>
      </c>
      <c r="C14" s="133" t="inlineStr">
        <is>
          <t>SEC_STAFF</t>
        </is>
      </c>
      <c r="D14" s="133" t="inlineStr">
        <is>
          <t>container.number.correct</t>
        </is>
      </c>
      <c r="E14" s="133" t="inlineStr">
        <is>
          <t>Sửa ID hiển thị, báo CCKB</t>
        </is>
      </c>
      <c r="F14" s="133" t="inlineStr">
        <is>
          <t>Giữ container_visit_id; cảnh báo mã trùng; không làm mất tiền điện/lưu.</t>
        </is>
      </c>
    </row>
    <row r="15" ht="44" customHeight="1" s="94">
      <c r="A15" s="129" t="inlineStr">
        <is>
          <t>WF11</t>
        </is>
      </c>
      <c r="B15" s="130" t="inlineStr">
        <is>
          <t>CCKB đóng cảnh báo</t>
        </is>
      </c>
      <c r="C15" s="130" t="inlineStr">
        <is>
          <t>PORT_STAFF</t>
        </is>
      </c>
      <c r="D15" s="130" t="inlineStr">
        <is>
          <t>container.number.discrepancy.port_reconcile</t>
        </is>
      </c>
      <c r="E15" s="130" t="inlineStr">
        <is>
          <t>Đối chiếu dữ liệu và trạng thái tiền</t>
        </is>
      </c>
      <c r="F15" s="130" t="inlineStr">
        <is>
          <t>Không xóa lịch sử số cont cũ/phiếu dự kiến.</t>
        </is>
      </c>
    </row>
    <row r="16" ht="44" customHeight="1" s="94">
      <c r="A16" s="132" t="inlineStr">
        <is>
          <t>WF12</t>
        </is>
      </c>
      <c r="B16" s="133" t="inlineStr">
        <is>
          <t>Điều phối HÀNG/RỖNG</t>
        </is>
      </c>
      <c r="C16" s="133" t="inlineStr">
        <is>
          <t>DIS_STAFF</t>
        </is>
      </c>
      <c r="D16" s="133" t="inlineStr">
        <is>
          <t>container.cargo.update</t>
        </is>
      </c>
      <c r="E16" s="133" t="inlineStr">
        <is>
          <t>Cập nhật, có thể tạm trống</t>
        </is>
      </c>
      <c r="F16" s="133" t="inlineStr">
        <is>
          <t>Sau cont ra: đề nghị/duyệt bởi DIS_LEAD.</t>
        </is>
      </c>
    </row>
  </sheetData>
  <autoFilter ref="A4:F16"/>
  <mergeCells count="2">
    <mergeCell ref="A2:F2"/>
    <mergeCell ref="A1:F1"/>
  </mergeCells>
  <printOptions horizontalCentered="1"/>
  <pageMargins left="0.75" right="0.75" top="1" bottom="1" header="0.5" footer="0.5"/>
  <pageSetup fitToWidth="1"/>
</worksheet>
</file>

<file path=xl/worksheets/sheet28.xml><?xml version="1.0" encoding="utf-8"?>
<worksheet xmlns="http://schemas.openxmlformats.org/spreadsheetml/2006/main">
  <sheetPr>
    <tabColor rgb="000A9444"/>
    <outlinePr summaryBelow="1" summaryRight="1"/>
    <pageSetUpPr fitToPage="1"/>
  </sheetPr>
  <dimension ref="A1:E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style="94" min="1" max="1"/>
    <col width="14" customWidth="1" style="94" min="2" max="2"/>
    <col width="48" customWidth="1" style="94" min="3" max="3"/>
    <col width="112" customWidth="1" style="94" min="4" max="4"/>
    <col width="33" customWidth="1" style="94" min="5" max="5"/>
  </cols>
  <sheetData>
    <row r="1" ht="34" customHeight="1" s="94">
      <c r="A1" s="126" t="inlineStr">
        <is>
          <t>V5 — KIỂM SOÁT RỦI RO KHI TRIỂN KHAI</t>
        </is>
      </c>
    </row>
    <row r="2" ht="38" customHeight="1" s="94">
      <c r="A2" s="127" t="inlineStr">
        <is>
          <t>Các điểm thuộc an toàn dữ liệu và tiền được làm điều kiện kỹ thuật bắt buộc; các ngưỡng còn mở ghi UAT, không tự đoán chính sách.</t>
        </is>
      </c>
    </row>
    <row r="4" ht="38" customHeight="1" s="94">
      <c r="A4" s="128" t="inlineStr">
        <is>
          <t>Mã</t>
        </is>
      </c>
      <c r="B4" s="128" t="inlineStr">
        <is>
          <t>Mức</t>
        </is>
      </c>
      <c r="C4" s="128" t="inlineStr">
        <is>
          <t>Tình huống rủi ro</t>
        </is>
      </c>
      <c r="D4" s="128" t="inlineStr">
        <is>
          <t>Giải pháp</t>
        </is>
      </c>
      <c r="E4" s="128" t="inlineStr">
        <is>
          <t>Trạng thái</t>
        </is>
      </c>
    </row>
    <row r="5" ht="44" customHeight="1" s="94">
      <c r="A5" s="129" t="inlineStr">
        <is>
          <t>RK01</t>
        </is>
      </c>
      <c r="B5" s="130" t="inlineStr">
        <is>
          <t>P0</t>
        </is>
      </c>
      <c r="C5" s="130" t="inlineStr">
        <is>
          <t>Trạng thái Đang cắm trên app nhưng thực tế rút</t>
        </is>
      </c>
      <c r="D5" s="130" t="inlineStr">
        <is>
          <t>An ninh xác nhận tình trạng thực tế đã rút; CCKB bổ sung giờ hoặc tạo ngoại lệ có lý do; không cho xuất cont đang thực cắm điện.</t>
        </is>
      </c>
      <c r="E5" s="130" t="inlineStr">
        <is>
          <t>UAT trước triển khai</t>
        </is>
      </c>
    </row>
    <row r="6" ht="44" customHeight="1" s="94">
      <c r="A6" s="132" t="inlineStr">
        <is>
          <t>RK02</t>
        </is>
      </c>
      <c r="B6" s="133" t="inlineStr">
        <is>
          <t>P0</t>
        </is>
      </c>
      <c r="C6" s="133" t="inlineStr">
        <is>
          <t>Tiền lưu phát sinh đúng lúc container ra</t>
        </is>
      </c>
      <c r="D6" s="133" t="inlineStr">
        <is>
          <t>Backend tính lưu theo GIO_CONT_RA ở giao dịch chốt ra. Nếu không thu được, xin CCKB xác nhận ngoại lệ khoản nợ cập nhật.</t>
        </is>
      </c>
      <c r="E6" s="133" t="inlineStr">
        <is>
          <t>UAT trước triển khai</t>
        </is>
      </c>
    </row>
    <row r="7" ht="44" customHeight="1" s="94">
      <c r="A7" s="129" t="inlineStr">
        <is>
          <t>RK03</t>
        </is>
      </c>
      <c r="B7" s="130" t="inlineStr">
        <is>
          <t>P0</t>
        </is>
      </c>
      <c r="C7" s="130" t="inlineStr">
        <is>
          <t>Cùng nhân viên tự đề nghị và tự duyệt giảm/chỉnh tiền</t>
        </is>
      </c>
      <c r="D7" s="130" t="inlineStr">
        <is>
          <t>Bắt buộc khác user; TBP/Quản trị xử lý; giao dịch đã thu bất biến.</t>
        </is>
      </c>
      <c r="E7" s="130" t="inlineStr">
        <is>
          <t>Khóa thiết kế</t>
        </is>
      </c>
    </row>
    <row r="8" ht="44" customHeight="1" s="94">
      <c r="A8" s="132" t="inlineStr">
        <is>
          <t>RK04</t>
        </is>
      </c>
      <c r="B8" s="133" t="inlineStr">
        <is>
          <t>P0</t>
        </is>
      </c>
      <c r="C8" s="133" t="inlineStr">
        <is>
          <t>Nhân viên dùng chung tài khoản bốt</t>
        </is>
      </c>
      <c r="D8" s="133" t="inlineStr">
        <is>
          <t>Gắn actor_id riêng trên từng hành động; đăng nhập cá nhân hoặc xác minh nhân viên trực ca, bắt buộc trên lệnh thu/ra.</t>
        </is>
      </c>
      <c r="E8" s="133" t="inlineStr">
        <is>
          <t>Khóa thiết kế</t>
        </is>
      </c>
    </row>
    <row r="9" ht="44" customHeight="1" s="94">
      <c r="A9" s="129" t="inlineStr">
        <is>
          <t>RK05</t>
        </is>
      </c>
      <c r="B9" s="130" t="inlineStr">
        <is>
          <t>P0</t>
        </is>
      </c>
      <c r="C9" s="130" t="inlineStr">
        <is>
          <t>Admin thay đổi vai trò và tự cấp thêm quyền cao</t>
        </is>
      </c>
      <c r="D9" s="130" t="inlineStr">
        <is>
          <t>RBAC quản lý tập trung + nhật ký; quyền bootstrap cấp cao nhất không thể tự sinh tùy ý qua UI.</t>
        </is>
      </c>
      <c r="E9" s="130" t="inlineStr">
        <is>
          <t>Khóa thiết kế</t>
        </is>
      </c>
    </row>
    <row r="10" ht="44" customHeight="1" s="94">
      <c r="A10" s="132" t="inlineStr">
        <is>
          <t>RK06</t>
        </is>
      </c>
      <c r="B10" s="133" t="inlineStr">
        <is>
          <t>P0</t>
        </is>
      </c>
      <c r="C10" s="133" t="inlineStr">
        <is>
          <t>RLS hay API không kiểm tra quyền ở server</t>
        </is>
      </c>
      <c r="D10" s="133" t="inlineStr">
        <is>
          <t>Áp dụng auth + has_permission + scope filter + ownership; API không dựa vào nút ẩn.</t>
        </is>
      </c>
      <c r="E10" s="133" t="inlineStr">
        <is>
          <t>Khóa thiết kế</t>
        </is>
      </c>
    </row>
    <row r="11" ht="44" customHeight="1" s="94">
      <c r="A11" s="129" t="inlineStr">
        <is>
          <t>RK07</t>
        </is>
      </c>
      <c r="B11" s="130" t="inlineStr">
        <is>
          <t>P0</t>
        </is>
      </c>
      <c r="C11" s="130" t="inlineStr">
        <is>
          <t>Đã thu tiền rồi sửa số cont</t>
        </is>
      </c>
      <c r="D11" s="130" t="inlineStr">
        <is>
          <t>Cho sửa mã cont có nhật ký/báo CCKB; xử lý tiền chênh thành nghiệp vụ phê duyệt riêng.</t>
        </is>
      </c>
      <c r="E11" s="130" t="inlineStr">
        <is>
          <t>Khóa thiết kế</t>
        </is>
      </c>
    </row>
    <row r="12" ht="44" customHeight="1" s="94">
      <c r="A12" s="132" t="inlineStr">
        <is>
          <t>RK08</t>
        </is>
      </c>
      <c r="B12" s="133" t="inlineStr">
        <is>
          <t>P0</t>
        </is>
      </c>
      <c r="C12" s="133" t="inlineStr">
        <is>
          <t>Hồ sơ legacy thiếu giờ ra, tiền thu không khớp</t>
        </is>
      </c>
      <c r="D12" s="133" t="inlineStr">
        <is>
          <t>Gắn legacy_unverified; báo cáo ngoại lệ, không tự sinh nợ mới.</t>
        </is>
      </c>
      <c r="E12" s="133" t="inlineStr">
        <is>
          <t>UAT chuyển dữ liệu</t>
        </is>
      </c>
    </row>
    <row r="13" ht="44" customHeight="1" s="94">
      <c r="A13" s="129" t="inlineStr">
        <is>
          <t>RK09</t>
        </is>
      </c>
      <c r="B13" s="130" t="inlineStr">
        <is>
          <t>P1</t>
        </is>
      </c>
      <c r="C13" s="130" t="inlineStr">
        <is>
          <t>Giá thay đổi giữa phiên điện/lưu cont</t>
        </is>
      </c>
      <c r="D13" s="130" t="inlineStr">
        <is>
          <t>Bảng phiên bản có hiệu lực, ghi giá đã áp dụng trên charge; cần chuẩn chọn mốc tính phiên điện/lưu.</t>
        </is>
      </c>
      <c r="E13" s="130" t="inlineStr">
        <is>
          <t>Chờ UAT</t>
        </is>
      </c>
    </row>
    <row r="14" ht="44" customHeight="1" s="94">
      <c r="A14" s="132" t="inlineStr">
        <is>
          <t>RK10</t>
        </is>
      </c>
      <c r="B14" s="133" t="inlineStr">
        <is>
          <t>P1</t>
        </is>
      </c>
      <c r="C14" s="133" t="inlineStr">
        <is>
          <t>Thiết bị offline tại cổng khi xe ra</t>
        </is>
      </c>
      <c r="D14" s="133" t="inlineStr">
        <is>
          <t>Chỉ lưu nháp; lệnh chốt xe/cont ra phải đến server thành công.</t>
        </is>
      </c>
      <c r="E14" s="133" t="inlineStr">
        <is>
          <t>Khóa thiết kế</t>
        </is>
      </c>
    </row>
    <row r="15" ht="44" customHeight="1" s="94">
      <c r="A15" s="129" t="inlineStr">
        <is>
          <t>RK11</t>
        </is>
      </c>
      <c r="B15" s="130" t="inlineStr">
        <is>
          <t>P1</t>
        </is>
      </c>
      <c r="C15" s="130" t="inlineStr">
        <is>
          <t>Thêm một vai trò/tài khoản mới</t>
        </is>
      </c>
      <c r="D15" s="130" t="inlineStr">
        <is>
          <t>Thêm role rồi gán nhiều permission_code và scope qua admin UI; không cần sửa điều kiện hardcoded.</t>
        </is>
      </c>
      <c r="E15" s="130" t="inlineStr">
        <is>
          <t>Đã định hướng</t>
        </is>
      </c>
    </row>
    <row r="16" ht="44" customHeight="1" s="94">
      <c r="A16" s="132" t="inlineStr">
        <is>
          <t>RK12</t>
        </is>
      </c>
      <c r="B16" s="133" t="inlineStr">
        <is>
          <t>P1</t>
        </is>
      </c>
      <c r="C16" s="133" t="inlineStr">
        <is>
          <t>Kế toán/giao ca/miễn giảm chưa triển khai</t>
        </is>
      </c>
      <c r="D16" s="133" t="inlineStr">
        <is>
          <t>Đăng ký role và feature flag tắt; seed không cấp quyền hoạt động ngoài V1.</t>
        </is>
      </c>
      <c r="E16" s="133" t="inlineStr">
        <is>
          <t>Đã định hướng</t>
        </is>
      </c>
    </row>
  </sheetData>
  <autoFilter ref="A4:E16"/>
  <mergeCells count="2">
    <mergeCell ref="A2:E2"/>
    <mergeCell ref="A1:E1"/>
  </mergeCells>
  <printOptions horizontalCentered="1"/>
  <pageMargins left="0.75" right="0.75" top="1" bottom="1" header="0.5" footer="0.5"/>
  <pageSetup fitToWidth="1"/>
</worksheet>
</file>

<file path=xl/worksheets/sheet29.xml><?xml version="1.0" encoding="utf-8"?>
<worksheet xmlns="http://schemas.openxmlformats.org/spreadsheetml/2006/main">
  <sheetPr>
    <tabColor rgb="000A9444"/>
    <outlinePr summaryBelow="1" summaryRight="1"/>
    <pageSetUpPr fitToPage="1"/>
  </sheetPr>
  <dimension ref="A1:E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style="94" min="1" max="1"/>
    <col width="26" customWidth="1" style="94" min="2" max="2"/>
    <col width="84" customWidth="1" style="94" min="3" max="3"/>
    <col width="70" customWidth="1" style="94" min="4" max="4"/>
    <col width="46" customWidth="1" style="94" min="5" max="5"/>
  </cols>
  <sheetData>
    <row r="1" ht="34" customHeight="1" s="94">
      <c r="A1" s="126" t="inlineStr">
        <is>
          <t>V5 — NHỮNG THAY ĐỔI SO VỚI V4.1</t>
        </is>
      </c>
    </row>
    <row r="2" ht="38" customHeight="1" s="94">
      <c r="A2" s="127" t="inlineStr">
        <is>
          <t>Các tab V4.1 và câu trả lời người dùng được giữ nguyên. Khi thiết kế CSDL/PWA, dùng tab 19–28 V5 làm bản seed tham chiếu.</t>
        </is>
      </c>
    </row>
    <row r="4" ht="38" customHeight="1" s="94">
      <c r="A4" s="128" t="inlineStr">
        <is>
          <t>Mã</t>
        </is>
      </c>
      <c r="B4" s="128" t="inlineStr">
        <is>
          <t>Nhóm</t>
        </is>
      </c>
      <c r="C4" s="128" t="inlineStr">
        <is>
          <t>Nội dung sửa</t>
        </is>
      </c>
      <c r="D4" s="128" t="inlineStr">
        <is>
          <t>Lý do</t>
        </is>
      </c>
      <c r="E4" s="128" t="inlineStr">
        <is>
          <t>Nguồn</t>
        </is>
      </c>
    </row>
    <row r="5" ht="44" customHeight="1" s="94">
      <c r="A5" s="129" t="inlineStr">
        <is>
          <t>V5-01</t>
        </is>
      </c>
      <c r="B5" s="130" t="inlineStr">
        <is>
          <t>Vai trò</t>
        </is>
      </c>
      <c r="C5" s="130" t="inlineStr">
        <is>
          <t>7 vai trò dùng V1; Kế toán dự phòng và cờ kích hoạt sau.</t>
        </is>
      </c>
      <c r="D5" s="130" t="inlineStr">
        <is>
          <t>Chốt cấu trúc lập trình linh hoạt</t>
        </is>
      </c>
      <c r="E5" s="130" t="inlineStr">
        <is>
          <t>Từ V4.1 và trao đổi mới</t>
        </is>
      </c>
    </row>
    <row r="6" ht="44" customHeight="1" s="94">
      <c r="A6" s="132" t="inlineStr">
        <is>
          <t>V5-02</t>
        </is>
      </c>
      <c r="B6" s="133" t="inlineStr">
        <is>
          <t>Quyền</t>
        </is>
      </c>
      <c r="C6" s="133" t="inlineStr">
        <is>
          <t>Tách 39 dòng Q thành quyền mã action cụ thể, scope và role_permissions.</t>
        </is>
      </c>
      <c r="D6" s="133" t="inlineStr">
        <is>
          <t>Giảm sửa code khi đổi người/đổi phòng/đổi quyền</t>
        </is>
      </c>
      <c r="E6" s="133" t="inlineStr">
        <is>
          <t>Đồng ý phương án V4.1</t>
        </is>
      </c>
    </row>
    <row r="7" ht="44" customHeight="1" s="94">
      <c r="A7" s="129" t="inlineStr">
        <is>
          <t>V5-03</t>
        </is>
      </c>
      <c r="B7" s="130" t="inlineStr">
        <is>
          <t>Điện</t>
        </is>
      </c>
      <c r="C7" s="130" t="inlineStr">
        <is>
          <t>CCKB nhập/sửa giờ, PWA làm tròn mỗi 15 phút, sửa sau thu duyệt chênh lệch.</t>
        </is>
      </c>
      <c r="D7" s="130" t="inlineStr">
        <is>
          <t>Sửa phí điện độc lập phí lưu</t>
        </is>
      </c>
      <c r="E7" s="130" t="inlineStr">
        <is>
          <t>Trao đổi mới nhất</t>
        </is>
      </c>
    </row>
    <row r="8" ht="44" customHeight="1" s="94">
      <c r="A8" s="132" t="inlineStr">
        <is>
          <t>V5-04</t>
        </is>
      </c>
      <c r="B8" s="133" t="inlineStr">
        <is>
          <t>Lưu container</t>
        </is>
      </c>
      <c r="C8" s="133" t="inlineStr">
        <is>
          <t>An ninh chốt ở GIO_CONT_RA thật; CCKB duyệt điều kiện tài chính không khóa phí lưu.</t>
        </is>
      </c>
      <c r="D8" s="133" t="inlineStr">
        <is>
          <t>Loại diễn giải khóa phí lưu trước 22h</t>
        </is>
      </c>
      <c r="E8" s="133" t="inlineStr">
        <is>
          <t>Đính chính mới nhất</t>
        </is>
      </c>
    </row>
    <row r="9" ht="44" customHeight="1" s="94">
      <c r="A9" s="129" t="inlineStr">
        <is>
          <t>V5-05</t>
        </is>
      </c>
      <c r="B9" s="130" t="inlineStr">
        <is>
          <t>Điện dự kiến</t>
        </is>
      </c>
      <c r="C9" s="130" t="inlineStr">
        <is>
          <t>CCKB lập phiếu trước khi cont vào; AN đối chiếu và ghép có xác nhận.</t>
        </is>
      </c>
      <c r="D9" s="130" t="inlineStr">
        <is>
          <t>Không tạo lệ phí khi cont chưa vào</t>
        </is>
      </c>
      <c r="E9" s="130" t="inlineStr">
        <is>
          <t>V1 câu PR và SC</t>
        </is>
      </c>
    </row>
    <row r="10" ht="44" customHeight="1" s="94">
      <c r="A10" s="132" t="inlineStr">
        <is>
          <t>V5-06</t>
        </is>
      </c>
      <c r="B10" s="133" t="inlineStr">
        <is>
          <t>Sửa mã</t>
        </is>
      </c>
      <c r="C10" s="133" t="inlineStr">
        <is>
          <t>AN sửa số cont tại hiện trường có audit/CCKB thông báo; không đụng tiền đã thu.</t>
        </is>
      </c>
      <c r="D10" s="133" t="inlineStr">
        <is>
          <t>Phân quyền sửa mã và phê duyệt tiền riêng</t>
        </is>
      </c>
      <c r="E10" s="133" t="inlineStr">
        <is>
          <t>V1 câu SC02/SC08</t>
        </is>
      </c>
    </row>
    <row r="11" ht="44" customHeight="1" s="94">
      <c r="A11" s="129" t="inlineStr">
        <is>
          <t>V5-07</t>
        </is>
      </c>
      <c r="B11" s="130" t="inlineStr">
        <is>
          <t>Quyền ngoài hiện trường</t>
        </is>
      </c>
      <c r="C11" s="130" t="inlineStr">
        <is>
          <t>Q11 là nhiệm vụ thực tế; mã trên PWA chỉ ghi nhận ghi chú/bằng chứng.</t>
        </is>
      </c>
      <c r="D11" s="130" t="inlineStr">
        <is>
          <t>Không ép An ninh nhập giờ khi cắm/rút</t>
        </is>
      </c>
      <c r="E11" s="130" t="inlineStr">
        <is>
          <t>Đính chính workflow</t>
        </is>
      </c>
    </row>
    <row r="12" ht="44" customHeight="1" s="94">
      <c r="A12" s="132" t="inlineStr">
        <is>
          <t>V5-08</t>
        </is>
      </c>
      <c r="B12" s="133" t="inlineStr">
        <is>
          <t>Phạm vi V1</t>
        </is>
      </c>
      <c r="C12" s="133" t="inlineStr">
        <is>
          <t>Hoàn tiền, vé in tự động, khu/dãy/ô, phát hành hóa đơn tắt theo cờ.</t>
        </is>
      </c>
      <c r="D12" s="133" t="inlineStr">
        <is>
          <t>Không triển khai tính năng ngoài phạm vi</t>
        </is>
      </c>
      <c r="E12" s="133" t="inlineStr">
        <is>
          <t>V4 đặc tả</t>
        </is>
      </c>
    </row>
    <row r="13" ht="44" customHeight="1" s="94">
      <c r="A13" s="129" t="inlineStr">
        <is>
          <t>V5-09</t>
        </is>
      </c>
      <c r="B13" s="130" t="inlineStr">
        <is>
          <t>Tài liệu</t>
        </is>
      </c>
      <c r="C13" s="130" t="inlineStr">
        <is>
          <t>Giữ nguyên 117 câu trả lời và 39 quyền gốc; V5 là đề xuất cấu hình hệ thống.</t>
        </is>
      </c>
      <c r="D13" s="130" t="inlineStr">
        <is>
          <t>Truy vết lịch sử, không phá dữ liệu nguồn</t>
        </is>
      </c>
      <c r="E13" s="130" t="inlineStr">
        <is>
          <t>Workbook V4.1</t>
        </is>
      </c>
    </row>
  </sheetData>
  <autoFilter ref="A4:E13"/>
  <mergeCells count="2">
    <mergeCell ref="A2:E2"/>
    <mergeCell ref="A1:E1"/>
  </mergeCells>
  <printOptions horizontalCentered="1"/>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2026-10-11T05:33:41Z</dcterms:created>
  <dcterms:modified xmlns:dcterms="http://purl.org/dc/terms/" xmlns:xsi="http://www.w3.org/2001/XMLSchema-instance" xsi:type="dcterms:W3CDTF">2026-10-11T06:12:14Z</dcterms:modified>
</cp:coreProperties>
</file>